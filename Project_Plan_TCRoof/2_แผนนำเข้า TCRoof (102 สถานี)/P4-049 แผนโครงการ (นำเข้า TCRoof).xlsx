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<sst xmlns="http://schemas.openxmlformats.org/spreadsheetml/2006/main" count="1289" uniqueCount="667">
  <si>
    <t xml:space="preserve">แผนโครงการ P4-049 – สถานีจ่ายน้ำแพรกหนามแดง 209.76 kWp</t>
  </si>
  <si>
    <t xml:space="preserve">กปภ.สาขาสมุทรสงคราม, ภาคใต้, กฟภ. เขต ต.1, Inverter 185 kW (ไม่ต้อง พค.2), Zero export LV, คำขอ PPIM1A506619, วิศวกร นีโน่, Admin ลูกแก้ว, ผรม. B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</si>
  <si>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</si>
  <si>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</si>
  <si>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</si>
  <si>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</si>
  <si>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</si>
  <si>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</si>
  <si>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</si>
  <si>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</si>
  <si>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</si>
  <si>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</si>
  <si>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</si>
  <si>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</si>
  <si>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</si>
  <si>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</si>
  <si>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</si>
  <si>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</si>
  <si>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</si>
  <si>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</si>
  <si>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</si>
  <si>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</si>
  <si>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</si>
  <si>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</si>
  <si>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</si>
  <si>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</si>
  <si>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</si>
  <si>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</si>
  <si>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</si>
  <si>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P4-049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</si>
  <si>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</si>
  <si>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</si>
  <si>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</si>
  <si>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</si>
  <si>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</si>
  <si>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</si>
  <si>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</si>
  <si>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</si>
  <si>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</si>
  <si>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</si>
  <si>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</si>
  <si>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</si>
  <si>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</si>
  <si>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</si>
  <si>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</si>
  <si>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</si>
  <si>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</si>
  <si>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</si>
  <si>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</si>
  <si>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</si>
  <si>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</si>
  <si>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</si>
  <si>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</si>
  <si>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</si>
  <si>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</si>
  <si>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</si>
  <si>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</si>
  <si>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</si>
  <si>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</si>
  <si>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</si>
  <si>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</si>
  <si>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</si>
  <si>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</si>
  <si>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</si>
  <si>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</si>
  <si>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</si>
  <si>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</si>
  <si>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</si>
  <si>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</si>
  <si>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</si>
  <si>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</si>
  <si>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</si>
  <si>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</si>
  <si>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</si>
  <si>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</si>
  <si>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</si>
  <si>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</si>
  <si>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</si>
  <si>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</si>
  <si>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นีโน่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</si>
  <si>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</si>
  <si>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</si>
  <si>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</si>
  <si>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</si>
  <si>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</si>
  <si>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</si>
  <si>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</si>
  <si>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</si>
  <si>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</si>
  <si>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</si>
  <si>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</si>
  <si>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</si>
  <si>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</si>
  <si>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</si>
  <si>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</si>
  <si>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</si>
  <si>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</si>
  <si>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</si>
  <si>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</si>
  <si>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</si>
  <si>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</si>
  <si>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</si>
  <si>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</si>
  <si>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</si>
  <si>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</si>
  <si>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</si>
  <si>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</si>
  <si>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</si>
  <si>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</si>
  <si>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</si>
  <si>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</si>
  <si>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TC-PML-2026-090, </t>
    </r>
    <r>
      <rPr>
        <sz val="9"/>
        <rFont val="FreeSans"/>
        <family val="2"/>
      </rPr>
      <t xml:space="preserve">ทำหนังสือออกแล้ว</t>
    </r>
  </si>
  <si>
    <t xml:space="preserve">ลูกแก้ว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</si>
  <si>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</si>
  <si>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</si>
  <si>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</si>
  <si>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</si>
  <si>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</si>
  <si>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</si>
  <si>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</si>
  <si>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</si>
  <si>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</si>
  <si>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</si>
  <si>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</si>
  <si>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</si>
  <si>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</si>
  <si>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</si>
  <si>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</si>
  <si>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</si>
  <si>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</si>
  <si>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</si>
  <si>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</si>
  <si>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</si>
  <si>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</si>
  <si>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</si>
  <si>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</si>
  <si>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</si>
  <si>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</si>
  <si>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</si>
  <si>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</si>
  <si>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</si>
  <si>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</si>
  <si>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</si>
  <si>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</si>
  <si>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WBS'!L994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</si>
  <si>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</si>
  <si>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</si>
  <si>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</si>
  <si>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</si>
  <si>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</si>
  <si>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</si>
  <si>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</si>
  <si>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</si>
  <si>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WBS'!L995</t>
    </r>
  </si>
  <si>
    <t xml:space="preserve">0.3</t>
  </si>
  <si>
    <t xml:space="preserve">หนังสือแจ้งขอดับไฟ</t>
  </si>
  <si>
    <t xml:space="preserve">TC-PML-2026-290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</si>
  <si>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</si>
  <si>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</si>
  <si>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</si>
  <si>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</si>
  <si>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</si>
  <si>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</si>
  <si>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</si>
  <si>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</si>
  <si>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</si>
  <si>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</si>
  <si>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</si>
  <si>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</si>
  <si>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</si>
  <si>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</si>
  <si>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</si>
  <si>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</si>
  <si>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</si>
  <si>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</si>
  <si>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</si>
  <si>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</si>
  <si>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</si>
  <si>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</si>
  <si>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</si>
  <si>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</si>
  <si>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</si>
  <si>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</si>
  <si>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</si>
  <si>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</si>
  <si>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</si>
  <si>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</si>
  <si>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</si>
  <si>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</si>
  <si>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</si>
  <si>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</si>
  <si>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</si>
  <si>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</si>
  <si>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</si>
  <si>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</si>
  <si>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</si>
  <si>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</si>
  <si>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</si>
  <si>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</si>
  <si>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</si>
  <si>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</si>
  <si>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</si>
  <si>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</si>
  <si>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</si>
  <si>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</si>
  <si>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</si>
  <si>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</si>
  <si>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</si>
  <si>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</si>
  <si>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</si>
  <si>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</si>
  <si>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</si>
  <si>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</si>
  <si>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</si>
  <si>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</si>
  <si>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</si>
  <si>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</si>
  <si>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</si>
  <si>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</si>
  <si>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</si>
  <si>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</si>
  <si>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</si>
  <si>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</si>
  <si>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</si>
  <si>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</si>
  <si>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</si>
  <si>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</si>
  <si>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</si>
  <si>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</si>
  <si>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</si>
  <si>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</si>
  <si>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</si>
  <si>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</si>
  <si>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</si>
  <si>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</si>
  <si>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WBS'!L1009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</si>
  <si>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</si>
  <si>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</si>
  <si>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</si>
  <si>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</si>
  <si>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</si>
  <si>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</si>
  <si>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</si>
  <si>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</si>
  <si>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</si>
  <si>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</si>
  <si>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</si>
  <si>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</si>
  <si>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</si>
  <si>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</si>
  <si>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</si>
  <si>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</si>
  <si>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</si>
  <si>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</si>
  <si>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</si>
  <si>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</si>
  <si>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</si>
  <si>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</si>
  <si>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</si>
  <si>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</si>
  <si>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</si>
  <si>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</si>
  <si>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</si>
  <si>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</si>
  <si>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</si>
  <si>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</si>
  <si>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</si>
  <si>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</si>
  <si>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</si>
  <si>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</si>
  <si>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</si>
  <si>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</si>
  <si>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WBS'!L1013</t>
    </r>
  </si>
  <si>
    <t xml:space="preserve">1.7.1</t>
  </si>
  <si>
    <t xml:space="preserve">คำขอขนานไฟ PPIM (ชุด 11 ไฟล์)</t>
  </si>
  <si>
    <t xml:space="preserve">PPIM1A506619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</si>
  <si>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</si>
  <si>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</si>
  <si>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</si>
  <si>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</si>
  <si>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</si>
  <si>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</si>
  <si>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</si>
  <si>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</si>
  <si>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</si>
  <si>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7/10/69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</si>
  <si>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</si>
  <si>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</si>
  <si>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</si>
  <si>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</si>
  <si>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</si>
  <si>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</si>
  <si>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</si>
  <si>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</si>
  <si>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</si>
  <si>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</si>
  <si>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</si>
  <si>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</si>
  <si>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</si>
  <si>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B</t>
  </si>
  <si>
    <t xml:space="preserve">ย้อนจาก 2.10 (10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</si>
  <si>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</si>
  <si>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</si>
  <si>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</si>
  <si>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</si>
  <si>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</si>
  <si>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</si>
  <si>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</si>
  <si>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</si>
  <si>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</si>
  <si>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</si>
  <si>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</si>
  <si>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</si>
  <si>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</si>
  <si>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</si>
  <si>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</si>
  <si>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</si>
  <si>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</si>
  <si>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</si>
  <si>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</si>
  <si>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</si>
  <si>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</si>
  <si>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</si>
  <si>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</si>
  <si>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</si>
  <si>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</si>
  <si>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WBS'!L1019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</si>
  <si>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</si>
  <si>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</si>
  <si>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</si>
  <si>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</si>
  <si>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</si>
  <si>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</si>
  <si>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</si>
  <si>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</si>
  <si>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</si>
  <si>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</si>
  <si>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</si>
  <si>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</si>
  <si>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</si>
  <si>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</si>
  <si>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</si>
  <si>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</si>
  <si>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</si>
  <si>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</si>
  <si>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</si>
  <si>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</si>
  <si>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</si>
  <si>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</si>
  <si>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</si>
  <si>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</si>
  <si>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</si>
  <si>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</si>
  <si>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</si>
  <si>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</si>
  <si>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</si>
  <si>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</si>
  <si>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</si>
  <si>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</si>
  <si>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</si>
  <si>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</si>
  <si>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</si>
  <si>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</si>
  <si>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</si>
  <si>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</si>
  <si>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</si>
  <si>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</si>
  <si>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</si>
  <si>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</si>
  <si>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</si>
  <si>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</si>
  <si>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</si>
  <si>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</si>
  <si>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</si>
  <si>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WBS'!L1029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</si>
  <si>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</si>
  <si>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</si>
  <si>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</si>
  <si>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</si>
  <si>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</si>
  <si>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</si>
  <si>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</si>
  <si>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</si>
  <si>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</si>
  <si>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</si>
  <si>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</si>
  <si>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</si>
  <si>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</si>
  <si>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</si>
  <si>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</si>
  <si>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WBS'!L1032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</si>
  <si>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</si>
  <si>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</si>
  <si>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</si>
  <si>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</si>
  <si>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</si>
  <si>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</si>
  <si>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</si>
  <si>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</si>
  <si>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</si>
  <si>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</si>
  <si>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</si>
  <si>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</si>
  <si>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</si>
  <si>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</si>
  <si>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</si>
  <si>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</si>
  <si>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</si>
  <si>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</si>
  <si>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</si>
  <si>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</si>
  <si>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</si>
  <si>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</si>
  <si>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</si>
  <si>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</si>
  <si>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</si>
  <si>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</si>
  <si>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</si>
  <si>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</si>
  <si>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</si>
  <si>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</si>
  <si>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</si>
  <si>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</si>
  <si>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</si>
  <si>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</si>
  <si>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</si>
  <si>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WBS'!L1039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</si>
  <si>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</si>
  <si>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</si>
  <si>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</si>
  <si>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</si>
  <si>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</si>
  <si>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</si>
  <si>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</si>
  <si>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</si>
  <si>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</si>
  <si>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</si>
  <si>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</si>
  <si>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</si>
  <si>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</si>
  <si>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</si>
  <si>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</si>
  <si>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</si>
  <si>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</si>
  <si>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</si>
  <si>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</si>
  <si>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</si>
  <si>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</si>
  <si>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</si>
  <si>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</si>
  <si>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</si>
  <si>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</si>
  <si>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</si>
  <si>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</si>
  <si>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</si>
  <si>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</si>
  <si>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</si>
  <si>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</si>
  <si>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</si>
  <si>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</si>
  <si>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</si>
  <si>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</si>
  <si>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</si>
  <si>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</si>
  <si>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</si>
  <si>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</si>
  <si>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</si>
  <si>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</si>
  <si>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</si>
  <si>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</si>
  <si>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</si>
  <si>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</si>
  <si>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</si>
  <si>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</si>
  <si>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</si>
  <si>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</si>
  <si>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</si>
  <si>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</si>
  <si>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</si>
  <si>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</si>
  <si>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</si>
  <si>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</si>
  <si>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WBS'!L1049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</si>
  <si>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</si>
  <si>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</si>
  <si>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</si>
  <si>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</si>
  <si>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</si>
  <si>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</si>
  <si>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</si>
  <si>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</si>
  <si>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</si>
  <si>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</si>
  <si>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</si>
  <si>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</si>
  <si>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</si>
  <si>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</si>
  <si>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</si>
  <si>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</si>
  <si>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</si>
  <si>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</si>
  <si>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</si>
  <si>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</si>
  <si>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</si>
  <si>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</si>
  <si>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</si>
  <si>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</si>
  <si>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</si>
  <si>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</si>
  <si>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</si>
  <si>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</si>
  <si>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</si>
  <si>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</si>
  <si>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</si>
  <si>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</si>
  <si>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</si>
  <si>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</si>
  <si>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</si>
  <si>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</si>
  <si>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</si>
  <si>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</si>
  <si>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</si>
  <si>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</si>
  <si>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</si>
  <si>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</si>
  <si>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</si>
  <si>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</si>
  <si>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</si>
  <si>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</si>
  <si>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</si>
  <si>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</si>
  <si>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</si>
  <si>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WBS'!L1059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</si>
  <si>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</si>
  <si>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</si>
  <si>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</si>
  <si>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</si>
  <si>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</si>
  <si>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</si>
  <si>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</si>
  <si>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</si>
  <si>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</si>
  <si>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</si>
  <si>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</si>
  <si>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</si>
  <si>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</si>
  <si>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</si>
  <si>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</si>
  <si>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</si>
  <si>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</si>
  <si>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</si>
  <si>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</si>
  <si>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</si>
  <si>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</si>
  <si>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</si>
  <si>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WBS'!L1062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</si>
  <si>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</si>
  <si>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</si>
  <si>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</si>
  <si>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</si>
  <si>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</si>
  <si>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</si>
  <si>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</si>
  <si>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</si>
  <si>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</si>
  <si>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</si>
  <si>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</si>
  <si>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</si>
  <si>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</si>
  <si>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</si>
  <si>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</si>
  <si>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</si>
  <si>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</si>
  <si>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</si>
  <si>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</si>
  <si>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</si>
  <si>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</si>
  <si>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</si>
  <si>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</si>
  <si>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</si>
  <si>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</si>
  <si>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</si>
  <si>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</si>
  <si>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</si>
  <si>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</si>
  <si>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</si>
  <si>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</si>
  <si>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</si>
  <si>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</si>
  <si>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</si>
  <si>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</si>
  <si>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</si>
  <si>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</si>
  <si>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</si>
  <si>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</si>
  <si>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</si>
  <si>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</si>
  <si>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</si>
  <si>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</si>
  <si>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</si>
  <si>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</si>
  <si>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</si>
  <si>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</si>
  <si>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</si>
  <si>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</si>
  <si>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</si>
  <si>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</si>
  <si>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</si>
  <si>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</si>
  <si>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</si>
  <si>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</si>
  <si>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</si>
  <si>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สถานีจ่ายน้ำแพรกหนามแดง การประปาส่วนภูมิภาคสาขาสมุทรสงคราม ขนาดกำลังผลิต </t>
    </r>
    <r>
      <rPr>
        <sz val="10"/>
        <rFont val="Tahoma"/>
        <family val="0"/>
        <charset val="1"/>
      </rPr>
      <t xml:space="preserve">209.76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</si>
  <si>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</si>
  <si>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</si>
  <si>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</si>
  <si>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P4-049,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B, </t>
    </r>
    <r>
      <rPr>
        <sz val="10"/>
        <rFont val="FreeSans"/>
        <family val="2"/>
      </rPr>
      <t xml:space="preserve">วิศวกร นีโน่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</si>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</sst>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1.53571428571429</c:v>
                </c:pt>
                <c:pt idx="3">
                  <c:v>2.78571428571429</c:v>
                </c:pt>
                <c:pt idx="4">
                  <c:v>3</c:v>
                </c:pt>
                <c:pt idx="5">
                  <c:v>3.5</c:v>
                </c:pt>
                <c:pt idx="6">
                  <c:v>11.2777777777778</c:v>
                </c:pt>
                <c:pt idx="7">
                  <c:v>19.0555555555556</c:v>
                </c:pt>
                <c:pt idx="8">
                  <c:v>43.8809523809524</c:v>
                </c:pt>
                <c:pt idx="9">
                  <c:v>93</c:v>
                </c:pt>
                <c:pt idx="10">
                  <c:v>96.1630434782609</c:v>
                </c:pt>
                <c:pt idx="11">
                  <c:v>96.3913043478261</c:v>
                </c:pt>
                <c:pt idx="12">
                  <c:v>96.6195652173913</c:v>
                </c:pt>
                <c:pt idx="13">
                  <c:v>96.8478260869565</c:v>
                </c:pt>
                <c:pt idx="14">
                  <c:v>97.0760869565218</c:v>
                </c:pt>
                <c:pt idx="15">
                  <c:v>97.304347826087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51</c:v>
                </c:pt>
                <c:pt idx="1">
                  <c:v>93.5</c:v>
                </c:pt>
                <c:pt idx="2">
                  <c:v>93.5</c:v>
                </c:pt>
                <c:pt idx="3">
                  <c:v>93.5</c:v>
                </c:pt>
                <c:pt idx="4">
                  <c:v>93.5</c:v>
                </c:pt>
                <c:pt idx="5">
                  <c:v>93.5</c:v>
                </c:pt>
                <c:pt idx="6">
                  <c:v>93.5</c:v>
                </c:pt>
                <c:pt idx="7">
                  <c:v>93.5</c:v>
                </c:pt>
                <c:pt idx="8">
                  <c:v>93.5</c:v>
                </c:pt>
                <c:pt idx="9">
                  <c:v>93.5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93.6667</c:v>
                </c:pt>
                <c:pt idx="15">
                  <c:v>93.8334</c:v>
                </c:pt>
                <c:pt idx="16">
                  <c:v>94.0001</c:v>
                </c:pt>
                <c:pt idx="17">
                  <c:v>94.1668</c:v>
                </c:pt>
                <c:pt idx="18">
                  <c:v>94.3335</c:v>
                </c:pt>
                <c:pt idx="19">
                  <c:v>94.5002</c:v>
                </c:pt>
                <c:pt idx="20">
                  <c:v>94.6669</c:v>
                </c:pt>
                <c:pt idx="21">
                  <c:v>94.8336000000001</c:v>
                </c:pt>
                <c:pt idx="22">
                  <c:v>95.0003000000001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338514"/>
        <c:axId val="24578377"/>
      </c:lineChart>
      <c:catAx>
        <c:axId val="3533851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578377"/>
        <c:crosses val="autoZero"/>
        <c:auto val="1"/>
        <c:lblAlgn val="ctr"/>
        <c:lblOffset val="100"/>
        <c:noMultiLvlLbl val="0"/>
      </c:catAx>
      <c:valAx>
        <c:axId val="24578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385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92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46111</v>
      </c>
      <c r="O8" s="33" t="n">
        <v>46374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46111</v>
      </c>
      <c r="O9" s="45" t="n">
        <v>46374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46111</v>
      </c>
      <c r="O10" s="55" t="n">
        <v>46137</v>
      </c>
      <c r="P10" s="50" t="s">
        <v>75</v>
      </c>
      <c r="Q10" s="52" t="n">
        <v>-44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46111</v>
      </c>
      <c r="O11" s="55" t="n">
        <v>46137</v>
      </c>
      <c r="P11" s="50" t="s">
        <v>75</v>
      </c>
      <c r="Q11" s="52" t="n">
        <v>-44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46111</v>
      </c>
      <c r="O12" s="55" t="n">
        <v>46137</v>
      </c>
      <c r="P12" s="50" t="s">
        <v>75</v>
      </c>
      <c r="Q12" s="52" t="n">
        <v>-44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46111</v>
      </c>
      <c r="O13" s="55" t="n">
        <v>46150</v>
      </c>
      <c r="P13" s="50" t="s">
        <v>75</v>
      </c>
      <c r="Q13" s="52" t="n">
        <v>-38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46137</v>
      </c>
      <c r="O14" s="55" t="n">
        <v>46374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46137</v>
      </c>
      <c r="O15" s="55" t="n">
        <v>46374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46137</v>
      </c>
      <c r="O16" s="45" t="n">
        <v>46146</v>
      </c>
      <c r="P16" s="46" t="s">
        <v>115</v>
      </c>
      <c r="Q16" s="37" t="n">
        <v>-53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46137</v>
      </c>
      <c r="O17" s="55" t="n">
        <v>46139</v>
      </c>
      <c r="P17" s="50" t="s">
        <v>124</v>
      </c>
      <c r="Q17" s="52" t="n">
        <v>-51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46138</v>
      </c>
      <c r="O18" s="55" t="n">
        <v>46141</v>
      </c>
      <c r="P18" s="50" t="s">
        <v>124</v>
      </c>
      <c r="Q18" s="52" t="n">
        <v>-51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46140</v>
      </c>
      <c r="O19" s="55" t="n">
        <v>46143</v>
      </c>
      <c r="P19" s="50" t="s">
        <v>124</v>
      </c>
      <c r="Q19" s="52" t="n">
        <v>-53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46140</v>
      </c>
      <c r="O20" s="55" t="n">
        <v>46143</v>
      </c>
      <c r="P20" s="50" t="s">
        <v>124</v>
      </c>
      <c r="Q20" s="52" t="n">
        <v>-53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46141</v>
      </c>
      <c r="O21" s="55" t="n">
        <v>46144</v>
      </c>
      <c r="P21" s="50" t="s">
        <v>124</v>
      </c>
      <c r="Q21" s="52" t="n">
        <v>-53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46142</v>
      </c>
      <c r="O22" s="55" t="n">
        <v>46145</v>
      </c>
      <c r="P22" s="50" t="s">
        <v>124</v>
      </c>
      <c r="Q22" s="52" t="n">
        <v>-53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46142</v>
      </c>
      <c r="O24" s="55" t="n">
        <v>46146</v>
      </c>
      <c r="P24" s="50" t="s">
        <v>124</v>
      </c>
      <c r="Q24" s="52" t="n">
        <v>-53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46160</v>
      </c>
      <c r="M25" s="43"/>
      <c r="N25" s="44" t="n">
        <v>46160</v>
      </c>
      <c r="O25" s="45" t="n">
        <v>46160</v>
      </c>
      <c r="P25" s="46" t="s">
        <v>60</v>
      </c>
      <c r="Q25" s="37" t="n">
        <v>-33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46160</v>
      </c>
      <c r="O26" s="55" t="n">
        <v>46160</v>
      </c>
      <c r="P26" s="50" t="s">
        <v>124</v>
      </c>
      <c r="Q26" s="52" t="n">
        <v>-33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46160</v>
      </c>
      <c r="O27" s="55" t="n">
        <v>46160</v>
      </c>
      <c r="P27" s="50" t="s">
        <v>124</v>
      </c>
      <c r="Q27" s="52" t="n">
        <v>-33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46160</v>
      </c>
      <c r="O28" s="55" t="n">
        <v>46160</v>
      </c>
      <c r="P28" s="50" t="s">
        <v>124</v>
      </c>
      <c r="Q28" s="52" t="n">
        <v>-33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46111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46111</v>
      </c>
      <c r="O30" s="45" t="n">
        <v>46111</v>
      </c>
      <c r="P30" s="46" t="s">
        <v>115</v>
      </c>
      <c r="Q30" s="37" t="n">
        <v>-58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46111</v>
      </c>
      <c r="O31" s="55" t="n">
        <v>46111</v>
      </c>
      <c r="P31" s="50" t="s">
        <v>124</v>
      </c>
      <c r="Q31" s="52" t="n">
        <v>-58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46111</v>
      </c>
      <c r="O32" s="55" t="n">
        <v>46111</v>
      </c>
      <c r="P32" s="50" t="s">
        <v>124</v>
      </c>
      <c r="Q32" s="52" t="n">
        <v>-58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46111</v>
      </c>
      <c r="O33" s="55" t="n">
        <v>46111</v>
      </c>
      <c r="P33" s="50" t="s">
        <v>124</v>
      </c>
      <c r="Q33" s="52" t="n">
        <v>-58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46117</v>
      </c>
      <c r="O34" s="45" t="n">
        <v>46126</v>
      </c>
      <c r="P34" s="46" t="s">
        <v>115</v>
      </c>
      <c r="Q34" s="37" t="n">
        <v>-59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46117</v>
      </c>
      <c r="O35" s="55" t="n">
        <v>46122</v>
      </c>
      <c r="P35" s="50" t="s">
        <v>124</v>
      </c>
      <c r="Q35" s="52" t="n">
        <v>-58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46117</v>
      </c>
      <c r="O36" s="55" t="n">
        <v>46122</v>
      </c>
      <c r="P36" s="50" t="s">
        <v>124</v>
      </c>
      <c r="Q36" s="52" t="n">
        <v>-59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46120</v>
      </c>
      <c r="O37" s="55" t="n">
        <v>46123</v>
      </c>
      <c r="P37" s="50" t="s">
        <v>124</v>
      </c>
      <c r="Q37" s="52" t="n">
        <v>-59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46122</v>
      </c>
      <c r="O38" s="55" t="n">
        <v>46126</v>
      </c>
      <c r="P38" s="50" t="s">
        <v>124</v>
      </c>
      <c r="Q38" s="52" t="n">
        <v>-59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46136</v>
      </c>
      <c r="O39" s="45" t="n">
        <v>46136</v>
      </c>
      <c r="P39" s="46" t="s">
        <v>115</v>
      </c>
      <c r="Q39" s="37" t="n">
        <v>-63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46136</v>
      </c>
      <c r="O40" s="55" t="n">
        <v>46136</v>
      </c>
      <c r="P40" s="50" t="s">
        <v>124</v>
      </c>
      <c r="Q40" s="52" t="n">
        <v>-63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46136</v>
      </c>
      <c r="O41" s="55" t="n">
        <v>46136</v>
      </c>
      <c r="P41" s="50" t="s">
        <v>124</v>
      </c>
      <c r="Q41" s="52" t="n">
        <v>-63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46136</v>
      </c>
      <c r="O42" s="55" t="n">
        <v>46136</v>
      </c>
      <c r="P42" s="50" t="s">
        <v>124</v>
      </c>
      <c r="Q42" s="52" t="n">
        <v>-63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46118</v>
      </c>
      <c r="O43" s="45" t="n">
        <v>46131</v>
      </c>
      <c r="P43" s="46" t="s">
        <v>115</v>
      </c>
      <c r="Q43" s="37" t="n">
        <v>-58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46118</v>
      </c>
      <c r="O44" s="55" t="n">
        <v>46121</v>
      </c>
      <c r="P44" s="50" t="s">
        <v>124</v>
      </c>
      <c r="Q44" s="52" t="n">
        <v>-58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46119</v>
      </c>
      <c r="O45" s="55" t="n">
        <v>46125</v>
      </c>
      <c r="P45" s="50" t="s">
        <v>124</v>
      </c>
      <c r="Q45" s="52" t="n">
        <v>-57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46125</v>
      </c>
      <c r="O46" s="55" t="n">
        <v>46131</v>
      </c>
      <c r="P46" s="50" t="s">
        <v>124</v>
      </c>
      <c r="Q46" s="52" t="n">
        <v>-58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46260</v>
      </c>
      <c r="M55" s="43"/>
      <c r="N55" s="44" t="n">
        <v>46260</v>
      </c>
      <c r="O55" s="45" t="n">
        <v>46260</v>
      </c>
      <c r="P55" s="46" t="s">
        <v>60</v>
      </c>
      <c r="Q55" s="37" t="n">
        <v>28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46260</v>
      </c>
      <c r="L57" s="42"/>
      <c r="M57" s="43" t="s">
        <v>114</v>
      </c>
      <c r="N57" s="44" t="n">
        <v>46260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80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46141</v>
      </c>
      <c r="O61" s="33" t="n">
        <v>46171</v>
      </c>
      <c r="P61" s="34" t="s">
        <v>60</v>
      </c>
      <c r="Q61" s="31" t="n">
        <v>-60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21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46141</v>
      </c>
      <c r="O62" s="45" t="n">
        <v>46161</v>
      </c>
      <c r="P62" s="46" t="s">
        <v>115</v>
      </c>
      <c r="Q62" s="37" t="n">
        <v>-58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306</v>
      </c>
      <c r="N63" s="55" t="n">
        <v>46141</v>
      </c>
      <c r="O63" s="55" t="n">
        <v>46143</v>
      </c>
      <c r="P63" s="50" t="s">
        <v>124</v>
      </c>
      <c r="Q63" s="52" t="n">
        <v>-61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310</v>
      </c>
      <c r="N64" s="55" t="n">
        <v>46141</v>
      </c>
      <c r="O64" s="55" t="n">
        <v>46145</v>
      </c>
      <c r="P64" s="50" t="s">
        <v>124</v>
      </c>
      <c r="Q64" s="52" t="n">
        <v>-60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314</v>
      </c>
      <c r="N65" s="55" t="n">
        <v>46143</v>
      </c>
      <c r="O65" s="55" t="n">
        <v>46151</v>
      </c>
      <c r="P65" s="50" t="s">
        <v>124</v>
      </c>
      <c r="Q65" s="52" t="n">
        <v>-59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318</v>
      </c>
      <c r="N66" s="55" t="n">
        <v>46149</v>
      </c>
      <c r="O66" s="55" t="n">
        <v>46158</v>
      </c>
      <c r="P66" s="50" t="s">
        <v>124</v>
      </c>
      <c r="Q66" s="52" t="n">
        <v>-58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322</v>
      </c>
      <c r="N67" s="55" t="n">
        <v>46153</v>
      </c>
      <c r="O67" s="55" t="n">
        <v>46160</v>
      </c>
      <c r="P67" s="50" t="s">
        <v>124</v>
      </c>
      <c r="Q67" s="52" t="n">
        <v>-58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326</v>
      </c>
      <c r="N68" s="55" t="n">
        <v>46157</v>
      </c>
      <c r="O68" s="55" t="n">
        <v>46161</v>
      </c>
      <c r="P68" s="50" t="s">
        <v>124</v>
      </c>
      <c r="Q68" s="52" t="n">
        <v>-58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330</v>
      </c>
      <c r="N69" s="55" t="n">
        <v>46160</v>
      </c>
      <c r="O69" s="55" t="n">
        <v>46161</v>
      </c>
      <c r="P69" s="50" t="s">
        <v>124</v>
      </c>
      <c r="Q69" s="52" t="n">
        <v>-58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46165</v>
      </c>
      <c r="O70" s="45" t="n">
        <v>46168</v>
      </c>
      <c r="P70" s="46" t="s">
        <v>115</v>
      </c>
      <c r="Q70" s="37" t="n">
        <v>-61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338</v>
      </c>
      <c r="N71" s="55" t="n">
        <v>46165</v>
      </c>
      <c r="O71" s="55" t="n">
        <v>46166</v>
      </c>
      <c r="P71" s="50" t="s">
        <v>124</v>
      </c>
      <c r="Q71" s="52" t="n">
        <v>-58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342</v>
      </c>
      <c r="N72" s="55" t="n">
        <v>46166</v>
      </c>
      <c r="O72" s="55" t="n">
        <v>46167</v>
      </c>
      <c r="P72" s="50" t="s">
        <v>124</v>
      </c>
      <c r="Q72" s="52" t="n">
        <v>-60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346</v>
      </c>
      <c r="N73" s="55" t="n">
        <v>46166</v>
      </c>
      <c r="O73" s="55" t="n">
        <v>46167</v>
      </c>
      <c r="P73" s="50" t="s">
        <v>124</v>
      </c>
      <c r="Q73" s="52" t="n">
        <v>-60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350</v>
      </c>
      <c r="N74" s="55" t="n">
        <v>46167</v>
      </c>
      <c r="O74" s="55" t="n">
        <v>46168</v>
      </c>
      <c r="P74" s="50" t="s">
        <v>124</v>
      </c>
      <c r="Q74" s="52" t="n">
        <v>-61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354</v>
      </c>
      <c r="N75" s="55" t="n">
        <v>46167</v>
      </c>
      <c r="O75" s="55" t="n">
        <v>46168</v>
      </c>
      <c r="P75" s="50" t="s">
        <v>124</v>
      </c>
      <c r="Q75" s="52" t="n">
        <v>-61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8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46162</v>
      </c>
      <c r="O76" s="45" t="n">
        <v>46169</v>
      </c>
      <c r="P76" s="46" t="s">
        <v>115</v>
      </c>
      <c r="Q76" s="37" t="n">
        <v>-60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362</v>
      </c>
      <c r="N77" s="55" t="n">
        <v>46162</v>
      </c>
      <c r="O77" s="55" t="n">
        <v>46164</v>
      </c>
      <c r="P77" s="50" t="s">
        <v>124</v>
      </c>
      <c r="Q77" s="52" t="n">
        <v>-59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366</v>
      </c>
      <c r="N78" s="55" t="n">
        <v>46163</v>
      </c>
      <c r="O78" s="55" t="n">
        <v>46168</v>
      </c>
      <c r="P78" s="50" t="s">
        <v>124</v>
      </c>
      <c r="Q78" s="52" t="n">
        <v>-60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370</v>
      </c>
      <c r="N79" s="55" t="n">
        <v>46165</v>
      </c>
      <c r="O79" s="55" t="n">
        <v>46169</v>
      </c>
      <c r="P79" s="50" t="s">
        <v>124</v>
      </c>
      <c r="Q79" s="52" t="n">
        <v>-60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374</v>
      </c>
      <c r="N80" s="55" t="n">
        <v>46168</v>
      </c>
      <c r="O80" s="55" t="n">
        <v>46169</v>
      </c>
      <c r="P80" s="50" t="s">
        <v>124</v>
      </c>
      <c r="Q80" s="52" t="n">
        <v>-60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378</v>
      </c>
      <c r="N81" s="55" t="n">
        <v>46169</v>
      </c>
      <c r="O81" s="55" t="n">
        <v>46169</v>
      </c>
      <c r="P81" s="50" t="s">
        <v>124</v>
      </c>
      <c r="Q81" s="52" t="n">
        <v>-60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46167</v>
      </c>
      <c r="O82" s="45" t="n">
        <v>46169</v>
      </c>
      <c r="P82" s="46" t="s">
        <v>115</v>
      </c>
      <c r="Q82" s="37" t="n">
        <v>-57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386</v>
      </c>
      <c r="N83" s="55" t="n">
        <v>46167</v>
      </c>
      <c r="O83" s="55" t="n">
        <v>46168</v>
      </c>
      <c r="P83" s="50" t="s">
        <v>124</v>
      </c>
      <c r="Q83" s="52" t="n">
        <v>-57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390</v>
      </c>
      <c r="N84" s="55" t="n">
        <v>46168</v>
      </c>
      <c r="O84" s="55" t="n">
        <v>46169</v>
      </c>
      <c r="P84" s="50" t="s">
        <v>124</v>
      </c>
      <c r="Q84" s="52" t="n">
        <v>-57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46165</v>
      </c>
      <c r="O85" s="45" t="n">
        <v>46168</v>
      </c>
      <c r="P85" s="46" t="s">
        <v>115</v>
      </c>
      <c r="Q85" s="37" t="n">
        <v>-59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398</v>
      </c>
      <c r="N86" s="55" t="n">
        <v>46165</v>
      </c>
      <c r="O86" s="55" t="n">
        <v>46167</v>
      </c>
      <c r="P86" s="50" t="s">
        <v>124</v>
      </c>
      <c r="Q86" s="52" t="n">
        <v>-56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402</v>
      </c>
      <c r="N87" s="55" t="n">
        <v>46166</v>
      </c>
      <c r="O87" s="55" t="n">
        <v>46168</v>
      </c>
      <c r="P87" s="50" t="s">
        <v>124</v>
      </c>
      <c r="Q87" s="52" t="n">
        <v>-58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406</v>
      </c>
      <c r="N88" s="55" t="n">
        <v>46167</v>
      </c>
      <c r="O88" s="55" t="n">
        <v>46168</v>
      </c>
      <c r="P88" s="50" t="s">
        <v>124</v>
      </c>
      <c r="Q88" s="52" t="n">
        <v>-59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410</v>
      </c>
      <c r="N89" s="55" t="n">
        <v>46168</v>
      </c>
      <c r="O89" s="55" t="n">
        <v>46168</v>
      </c>
      <c r="P89" s="50" t="s">
        <v>124</v>
      </c>
      <c r="Q89" s="52" t="n">
        <v>-59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46166</v>
      </c>
      <c r="O90" s="45" t="n">
        <v>46169</v>
      </c>
      <c r="P90" s="46" t="s">
        <v>115</v>
      </c>
      <c r="Q90" s="37" t="n">
        <v>-59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418</v>
      </c>
      <c r="N91" s="55" t="n">
        <v>46166</v>
      </c>
      <c r="O91" s="55" t="n">
        <v>46168</v>
      </c>
      <c r="P91" s="50" t="s">
        <v>124</v>
      </c>
      <c r="Q91" s="52" t="n">
        <v>-56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422</v>
      </c>
      <c r="N92" s="55" t="n">
        <v>46168</v>
      </c>
      <c r="O92" s="55" t="n">
        <v>46169</v>
      </c>
      <c r="P92" s="50" t="s">
        <v>124</v>
      </c>
      <c r="Q92" s="52" t="n">
        <v>-59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426</v>
      </c>
      <c r="N93" s="55" t="n">
        <v>46166</v>
      </c>
      <c r="O93" s="55" t="n">
        <v>46168</v>
      </c>
      <c r="P93" s="50" t="s">
        <v>124</v>
      </c>
      <c r="Q93" s="52" t="n">
        <v>-55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430</v>
      </c>
      <c r="N94" s="55" t="n">
        <v>46168</v>
      </c>
      <c r="O94" s="55" t="n">
        <v>46169</v>
      </c>
      <c r="P94" s="50" t="s">
        <v>124</v>
      </c>
      <c r="Q94" s="52" t="n">
        <v>-59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434</v>
      </c>
      <c r="N95" s="55" t="n">
        <v>46169</v>
      </c>
      <c r="O95" s="55" t="n">
        <v>46169</v>
      </c>
      <c r="P95" s="50" t="s">
        <v>124</v>
      </c>
      <c r="Q95" s="52" t="n">
        <v>-59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46167</v>
      </c>
      <c r="O96" s="45" t="n">
        <v>46169</v>
      </c>
      <c r="P96" s="46" t="s">
        <v>115</v>
      </c>
      <c r="Q96" s="37" t="n">
        <v>-59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441</v>
      </c>
      <c r="N97" s="55" t="n">
        <v>46167</v>
      </c>
      <c r="O97" s="55" t="n">
        <v>46169</v>
      </c>
      <c r="P97" s="50" t="s">
        <v>124</v>
      </c>
      <c r="Q97" s="52" t="n">
        <v>-58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445</v>
      </c>
      <c r="N98" s="55" t="n">
        <v>46168</v>
      </c>
      <c r="O98" s="55" t="n">
        <v>46169</v>
      </c>
      <c r="P98" s="50" t="s">
        <v>124</v>
      </c>
      <c r="Q98" s="52" t="n">
        <v>-59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449</v>
      </c>
      <c r="N99" s="55" t="n">
        <v>46169</v>
      </c>
      <c r="O99" s="55" t="n">
        <v>46169</v>
      </c>
      <c r="P99" s="50" t="s">
        <v>124</v>
      </c>
      <c r="Q99" s="52" t="n">
        <v>-59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46168</v>
      </c>
      <c r="O100" s="45" t="n">
        <v>46170</v>
      </c>
      <c r="P100" s="46" t="s">
        <v>115</v>
      </c>
      <c r="Q100" s="37" t="n">
        <v>-59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463</v>
      </c>
      <c r="N103" s="55" t="n">
        <v>46168</v>
      </c>
      <c r="O103" s="55" t="n">
        <v>46169</v>
      </c>
      <c r="P103" s="50" t="s">
        <v>124</v>
      </c>
      <c r="Q103" s="52" t="n">
        <v>-59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467</v>
      </c>
      <c r="N104" s="55" t="n">
        <v>46169</v>
      </c>
      <c r="O104" s="55" t="n">
        <v>46170</v>
      </c>
      <c r="P104" s="50" t="s">
        <v>124</v>
      </c>
      <c r="Q104" s="52" t="n">
        <v>-58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471</v>
      </c>
      <c r="N105" s="55" t="n">
        <v>46169</v>
      </c>
      <c r="O105" s="55" t="n">
        <v>46170</v>
      </c>
      <c r="P105" s="50" t="s">
        <v>124</v>
      </c>
      <c r="Q105" s="52" t="n">
        <v>-59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475</v>
      </c>
      <c r="N106" s="55" t="n">
        <v>46170</v>
      </c>
      <c r="O106" s="55" t="n">
        <v>46170</v>
      </c>
      <c r="P106" s="50" t="s">
        <v>124</v>
      </c>
      <c r="Q106" s="52" t="n">
        <v>-59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46169</v>
      </c>
      <c r="O107" s="45" t="n">
        <v>46170</v>
      </c>
      <c r="P107" s="46" t="s">
        <v>115</v>
      </c>
      <c r="Q107" s="37" t="n">
        <v>-60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482</v>
      </c>
      <c r="N108" s="55" t="n">
        <v>46169</v>
      </c>
      <c r="O108" s="55" t="n">
        <v>46170</v>
      </c>
      <c r="P108" s="50" t="s">
        <v>124</v>
      </c>
      <c r="Q108" s="52" t="n">
        <v>-59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486</v>
      </c>
      <c r="N109" s="55" t="n">
        <v>46170</v>
      </c>
      <c r="O109" s="55" t="n">
        <v>46170</v>
      </c>
      <c r="P109" s="50" t="s">
        <v>124</v>
      </c>
      <c r="Q109" s="52" t="n">
        <v>-60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490</v>
      </c>
      <c r="N110" s="55" t="n">
        <v>46169</v>
      </c>
      <c r="O110" s="55" t="n">
        <v>46170</v>
      </c>
      <c r="P110" s="50" t="s">
        <v>124</v>
      </c>
      <c r="Q110" s="52" t="n">
        <v>-59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46171</v>
      </c>
      <c r="M111" s="43"/>
      <c r="N111" s="44" t="n">
        <v>46171</v>
      </c>
      <c r="O111" s="45" t="n">
        <v>46171</v>
      </c>
      <c r="P111" s="46" t="s">
        <v>60</v>
      </c>
      <c r="Q111" s="37" t="n">
        <v>-60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498</v>
      </c>
      <c r="N112" s="55" t="n">
        <v>46171</v>
      </c>
      <c r="O112" s="55" t="n">
        <v>46171</v>
      </c>
      <c r="P112" s="50" t="s">
        <v>124</v>
      </c>
      <c r="Q112" s="52" t="n">
        <v>-60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502</v>
      </c>
      <c r="N113" s="55" t="n">
        <v>46171</v>
      </c>
      <c r="O113" s="55" t="n">
        <v>46171</v>
      </c>
      <c r="P113" s="50" t="s">
        <v>124</v>
      </c>
      <c r="Q113" s="52" t="n">
        <v>-60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46329</v>
      </c>
      <c r="O115" s="45" t="n">
        <v>46329</v>
      </c>
      <c r="P115" s="46" t="s">
        <v>292</v>
      </c>
      <c r="Q115" s="37" t="n">
        <v>95</v>
      </c>
      <c r="R115" s="39"/>
      <c r="S115" s="39" t="n">
        <v>1</v>
      </c>
      <c r="T115" s="39" t="s">
        <v>293</v>
      </c>
      <c r="U115" s="60" t="n">
        <v>46329.0115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512</v>
      </c>
      <c r="N116" s="55" t="n">
        <v>46329</v>
      </c>
      <c r="O116" s="55" t="n">
        <v>46329</v>
      </c>
      <c r="P116" s="50" t="s">
        <v>292</v>
      </c>
      <c r="Q116" s="52" t="n">
        <v>97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516</v>
      </c>
      <c r="N117" s="55" t="n">
        <v>46329</v>
      </c>
      <c r="O117" s="55" t="n">
        <v>46329</v>
      </c>
      <c r="P117" s="50" t="s">
        <v>292</v>
      </c>
      <c r="Q117" s="52" t="n">
        <v>96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520</v>
      </c>
      <c r="N118" s="55" t="n">
        <v>46329</v>
      </c>
      <c r="O118" s="55" t="n">
        <v>46329</v>
      </c>
      <c r="P118" s="50" t="s">
        <v>292</v>
      </c>
      <c r="Q118" s="52" t="n">
        <v>96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524</v>
      </c>
      <c r="N119" s="55" t="n">
        <v>46329</v>
      </c>
      <c r="O119" s="55" t="n">
        <v>46329</v>
      </c>
      <c r="P119" s="50" t="s">
        <v>292</v>
      </c>
      <c r="Q119" s="52" t="n">
        <v>96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528</v>
      </c>
      <c r="N120" s="55" t="n">
        <v>46329</v>
      </c>
      <c r="O120" s="55" t="n">
        <v>46329</v>
      </c>
      <c r="P120" s="50" t="s">
        <v>292</v>
      </c>
      <c r="Q120" s="52" t="n">
        <v>95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532</v>
      </c>
      <c r="N121" s="55" t="n">
        <v>46329</v>
      </c>
      <c r="O121" s="55" t="n">
        <v>46329</v>
      </c>
      <c r="P121" s="50" t="s">
        <v>292</v>
      </c>
      <c r="Q121" s="52" t="n">
        <v>95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46245</v>
      </c>
      <c r="M122" s="43"/>
      <c r="N122" s="44" t="n">
        <v>46245</v>
      </c>
      <c r="O122" s="45" t="n">
        <v>46245</v>
      </c>
      <c r="P122" s="46" t="s">
        <v>60</v>
      </c>
      <c r="Q122" s="37" t="n">
        <v>11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80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547</v>
      </c>
      <c r="N125" s="55" t="n">
        <v>46361</v>
      </c>
      <c r="O125" s="55" t="n">
        <v>46365</v>
      </c>
      <c r="P125" s="50" t="s">
        <v>292</v>
      </c>
      <c r="Q125" s="52" t="n">
        <v>80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551</v>
      </c>
      <c r="N126" s="55" t="n">
        <v>46364</v>
      </c>
      <c r="O126" s="55" t="n">
        <v>46371</v>
      </c>
      <c r="P126" s="50" t="s">
        <v>292</v>
      </c>
      <c r="Q126" s="52" t="n">
        <v>80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555</v>
      </c>
      <c r="N127" s="55" t="n">
        <v>46371</v>
      </c>
      <c r="O127" s="55" t="n">
        <v>46374</v>
      </c>
      <c r="P127" s="50" t="s">
        <v>292</v>
      </c>
      <c r="Q127" s="52" t="n">
        <v>80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46336</v>
      </c>
      <c r="O128" s="45" t="n">
        <v>46336</v>
      </c>
      <c r="P128" s="46" t="s">
        <v>292</v>
      </c>
      <c r="Q128" s="37" t="n">
        <v>92</v>
      </c>
      <c r="R128" s="39"/>
      <c r="S128" s="39" t="n">
        <v>1</v>
      </c>
      <c r="T128" s="39" t="s">
        <v>293</v>
      </c>
      <c r="U128" s="60" t="n">
        <v>46336.0128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/>
      <c r="N129" s="44" t="n">
        <v>46337</v>
      </c>
      <c r="O129" s="45" t="n">
        <v>46337</v>
      </c>
      <c r="P129" s="46" t="s">
        <v>292</v>
      </c>
      <c r="Q129" s="37" t="n">
        <v>93</v>
      </c>
      <c r="R129" s="39"/>
      <c r="S129" s="39" t="n">
        <v>1</v>
      </c>
      <c r="T129" s="39" t="s">
        <v>293</v>
      </c>
      <c r="U129" s="60" t="n">
        <v>46337.0129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46337</v>
      </c>
      <c r="O130" s="45" t="n">
        <v>46342</v>
      </c>
      <c r="P130" s="46" t="s">
        <v>292</v>
      </c>
      <c r="Q130" s="37" t="n">
        <v>98</v>
      </c>
      <c r="R130" s="39"/>
      <c r="S130" s="39" t="n">
        <v>1</v>
      </c>
      <c r="T130" s="39" t="s">
        <v>293</v>
      </c>
      <c r="U130" s="60" t="n">
        <v>46337.013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80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46111</v>
      </c>
      <c r="F9" s="99" t="n">
        <v>46111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46117</v>
      </c>
      <c r="F11" s="99" t="n">
        <v>46126</v>
      </c>
      <c r="G11" s="100"/>
      <c r="H11" s="101" t="n">
        <v>1</v>
      </c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46136</v>
      </c>
      <c r="F13" s="99" t="n">
        <v>46136</v>
      </c>
      <c r="G13" s="100"/>
      <c r="H13" s="101" t="n">
        <v>0.5</v>
      </c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0.535714285714286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0.214285714285714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46118</v>
      </c>
      <c r="F15" s="99" t="n">
        <v>46131</v>
      </c>
      <c r="G15" s="100"/>
      <c r="H15" s="101" t="n">
        <v>1.5</v>
      </c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0.16304347826087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0.195652173913044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651</v>
      </c>
      <c r="C23" s="95" t="s">
        <v>642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46141</v>
      </c>
      <c r="F24" s="99" t="n">
        <v>46161</v>
      </c>
      <c r="G24" s="100"/>
      <c r="H24" s="101" t="n">
        <v>20</v>
      </c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652</v>
      </c>
      <c r="C25" s="95" t="s">
        <v>642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46165</v>
      </c>
      <c r="F26" s="99" t="n">
        <v>46168</v>
      </c>
      <c r="G26" s="100"/>
      <c r="H26" s="101" t="n">
        <v>5</v>
      </c>
      <c r="I26" s="101" t="n">
        <v>5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653</v>
      </c>
      <c r="C27" s="95" t="s">
        <v>642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46162</v>
      </c>
      <c r="F28" s="99" t="n">
        <v>46169</v>
      </c>
      <c r="G28" s="100"/>
      <c r="H28" s="101" t="n">
        <v>10</v>
      </c>
      <c r="I28" s="101" t="n">
        <v>10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654</v>
      </c>
      <c r="C29" s="95" t="s">
        <v>642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46167</v>
      </c>
      <c r="F30" s="99" t="n">
        <v>46169</v>
      </c>
      <c r="G30" s="100"/>
      <c r="H30" s="101"/>
      <c r="I30" s="101" t="n">
        <v>2.5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655</v>
      </c>
      <c r="C31" s="95" t="s">
        <v>642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46165</v>
      </c>
      <c r="F32" s="99" t="n">
        <v>46168</v>
      </c>
      <c r="G32" s="100"/>
      <c r="H32" s="101" t="n">
        <v>7.5</v>
      </c>
      <c r="I32" s="101" t="n">
        <v>7.5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656</v>
      </c>
      <c r="C33" s="95" t="s">
        <v>642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46166</v>
      </c>
      <c r="F34" s="99" t="n">
        <v>46169</v>
      </c>
      <c r="G34" s="100"/>
      <c r="H34" s="101" t="n">
        <v>5</v>
      </c>
      <c r="I34" s="101" t="n">
        <v>5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46167</v>
      </c>
      <c r="F36" s="99" t="n">
        <v>46169</v>
      </c>
      <c r="G36" s="100"/>
      <c r="H36" s="101"/>
      <c r="I36" s="101" t="n">
        <v>5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46168</v>
      </c>
      <c r="F38" s="99" t="n">
        <v>46170</v>
      </c>
      <c r="G38" s="100"/>
      <c r="H38" s="101"/>
      <c r="I38" s="101" t="n">
        <v>5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46169</v>
      </c>
      <c r="F40" s="99" t="n">
        <v>46170</v>
      </c>
      <c r="G40" s="100"/>
      <c r="H40" s="101"/>
      <c r="I40" s="101" t="n">
        <v>2.5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1.03571428571429</v>
      </c>
      <c r="K47" s="103" t="n">
        <f aca="false">SUMIF($C$7:$C$45,"Plan",K$7:K$45)</f>
        <v>1.25</v>
      </c>
      <c r="L47" s="103" t="n">
        <f aca="false">SUMIF($C$7:$C$45,"Plan",L$7:L$45)</f>
        <v>0.214285714285714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3.16304347826087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0.195652173913044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51</v>
      </c>
      <c r="I48" s="103" t="n">
        <f aca="false">SUMIF($C$7:$C$45,"Actual",I$7:I$45)</f>
        <v>42.5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1.53571428571429</v>
      </c>
      <c r="K49" s="105" t="n">
        <f aca="false">J49+K47</f>
        <v>2.78571428571429</v>
      </c>
      <c r="L49" s="105" t="n">
        <f aca="false">K49+L47</f>
        <v>3</v>
      </c>
      <c r="M49" s="105" t="n">
        <f aca="false">L49+M47</f>
        <v>3.5</v>
      </c>
      <c r="N49" s="105" t="n">
        <f aca="false">M49+N47</f>
        <v>11.2777777777778</v>
      </c>
      <c r="O49" s="105" t="n">
        <f aca="false">N49+O47</f>
        <v>19.0555555555556</v>
      </c>
      <c r="P49" s="105" t="n">
        <f aca="false">O49+P47</f>
        <v>43.8809523809524</v>
      </c>
      <c r="Q49" s="105" t="n">
        <f aca="false">P49+Q47</f>
        <v>93</v>
      </c>
      <c r="R49" s="105" t="n">
        <f aca="false">Q49+R47</f>
        <v>96.1630434782609</v>
      </c>
      <c r="S49" s="105" t="n">
        <f aca="false">R49+S47</f>
        <v>96.3913043478261</v>
      </c>
      <c r="T49" s="105" t="n">
        <f aca="false">S49+T47</f>
        <v>96.6195652173913</v>
      </c>
      <c r="U49" s="105" t="n">
        <f aca="false">T49+U47</f>
        <v>96.8478260869565</v>
      </c>
      <c r="V49" s="105" t="n">
        <f aca="false">U49+V47</f>
        <v>97.0760869565218</v>
      </c>
      <c r="W49" s="105" t="n">
        <f aca="false">V49+W47</f>
        <v>97.304347826087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51</v>
      </c>
      <c r="I50" s="105" t="n">
        <f aca="false">IF(I$6&gt;46314,"",H50+I48)</f>
        <v>93.5</v>
      </c>
      <c r="J50" s="105" t="n">
        <f aca="false">IF(J$6&gt;46314,"",I50+J48)</f>
        <v>93.5</v>
      </c>
      <c r="K50" s="105" t="n">
        <f aca="false">IF(K$6&gt;46314,"",J50+K48)</f>
        <v>93.5</v>
      </c>
      <c r="L50" s="105" t="n">
        <f aca="false">IF(L$6&gt;46314,"",K50+L48)</f>
        <v>93.5</v>
      </c>
      <c r="M50" s="105" t="n">
        <f aca="false">IF(M$6&gt;46314,"",L50+M48)</f>
        <v>93.5</v>
      </c>
      <c r="N50" s="105" t="n">
        <f aca="false">IF(N$6&gt;46314,"",M50+N48)</f>
        <v>93.5</v>
      </c>
      <c r="O50" s="105" t="n">
        <f aca="false">IF(O$6&gt;46314,"",N50+O48)</f>
        <v>93.5</v>
      </c>
      <c r="P50" s="105" t="n">
        <f aca="false">IF(P$6&gt;46314,"",O50+P48)</f>
        <v>93.5</v>
      </c>
      <c r="Q50" s="105" t="n">
        <f aca="false">IF(Q$6&gt;46314,"",P50+Q48)</f>
        <v>93.5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93.6667</v>
      </c>
      <c r="W50" s="105" t="n">
        <f aca="false">IF(W$6&gt;46314,"",V50+W48)</f>
        <v>93.8334</v>
      </c>
      <c r="X50" s="105" t="n">
        <f aca="false">IF(X$6&gt;46314,"",W50+X48)</f>
        <v>94.0001</v>
      </c>
      <c r="Y50" s="105" t="n">
        <f aca="false">IF(Y$6&gt;46314,"",X50+Y48)</f>
        <v>94.1668</v>
      </c>
      <c r="Z50" s="105" t="n">
        <f aca="false">IF(Z$6&gt;46314,"",Y50+Z48)</f>
        <v>94.3335</v>
      </c>
      <c r="AA50" s="105" t="n">
        <f aca="false">IF(AA$6&gt;46314,"",Z50+AA48)</f>
        <v>94.5002</v>
      </c>
      <c r="AB50" s="105" t="n">
        <f aca="false">IF(AB$6&gt;46314,"",AA50+AB48)</f>
        <v>94.6669</v>
      </c>
      <c r="AC50" s="105" t="n">
        <f aca="false">IF(AC$6&gt;46314,"",AB50+AC48)</f>
        <v>94.8336000000001</v>
      </c>
      <c r="AD50" s="105" t="n">
        <f aca="false">IF(AD$6&gt;46314,"",AC50+AD48)</f>
        <v>95.0003000000001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2026-10-26T04:44:45Z</dcterms:created>
  <dc:creator>openpyxl</dc:creator>
  <dc:description/>
  <dc:language>en-US</dc:language>
  <cp:lastModifiedBy/>
  <dcterms:modified xsi:type="dcterms:W3CDTF">2026-10-26T11:47:41Z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