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2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  <Override PartName="/xl/drawings/_rels/drawing1.xml.rels" ContentType="application/vnd.openxmlformats-package.relationship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แผนโครงการ" sheetId="1" state="visible" r:id="rId3"/>
    <sheet name="Weekly PLAN" sheetId="2" state="hidden" r:id="rId4"/>
  </sheets>
  <definedNames>
    <definedName function="false" hidden="false" localSheetId="1" name="_xlnm.Print_Titles" vbProcedure="false">'Weekly PLAN'!$A:$G,'Weekly PLAN'!$6:$6</definedName>
    <definedName function="false" hidden="false" name="ASOF" vbProcedure="false">46328</definedName>
    <definedName function="false" hidden="false" name="GANTT_START" vbProcedure="false">46321</definedName>
    <definedName function="false" hidden="false" localSheetId="1" name="_xlnm.Print_Titles" vbProcedure="false">'Weekly PLAN'!$6:$6,'Weekly PLAN'!$A:$G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<sst xmlns="http://schemas.openxmlformats.org/spreadsheetml/2006/main" count="1270" uniqueCount="658">
  <si>
    <t xml:space="preserve">แผนโครงการ P9-016 – แม่แบบ ถังดินกลบ, กันย้อน LV, Inverter ≥ 200 kVA 280.44 kWp</t>
  </si>
  <si>
    <t xml:space="preserve">กปภ.สาขา (ตัวอย่าง), ตัวอย่าง, กฟภ. เขต ตย.16, Inverter 250 kW (ต้องยื่น พค.2), Zero export LV, คำขอ -, วิศวกร วศ.16, Admin Admin, ผรม. 16</t>
  </si>
  <si>
    <t xml:space="preserve">สรุป</t>
  </si>
  <si>
    <t xml:space="preserve">กำหนดส่งมอบ รอบ 9</t>
  </si>
  <si>
    <t xml:space="preserve">วันที่ข้อมูล</t>
  </si>
  <si>
    <r>
      <rPr>
        <sz val="9"/>
        <color rgb="FF595959"/>
        <rFont val="Tahoma"/>
        <family val="0"/>
        <charset val="1"/>
      </rPr>
      <t xml:space="preserve">COD </t>
    </r>
    <r>
      <rPr>
        <sz val="9"/>
        <color rgb="FF595959"/>
        <rFont val="FreeSans"/>
        <family val="2"/>
      </rPr>
      <t xml:space="preserve">คาดการณ์</t>
    </r>
  </si>
  <si>
    <r>
      <rPr>
        <sz val="9"/>
        <color rgb="FF595959"/>
        <rFont val="Tahoma"/>
        <family val="0"/>
        <charset val="1"/>
      </rPr>
      <t xml:space="preserve">% </t>
    </r>
    <r>
      <rPr>
        <sz val="9"/>
        <color rgb="FF595959"/>
        <rFont val="FreeSans"/>
        <family val="2"/>
      </rPr>
      <t xml:space="preserve">งาน </t>
    </r>
    <r>
      <rPr>
        <sz val="9"/>
        <color rgb="FF595959"/>
        <rFont val="Tahoma"/>
        <family val="0"/>
        <charset val="1"/>
      </rPr>
      <t xml:space="preserve">(</t>
    </r>
    <r>
      <rPr>
        <sz val="9"/>
        <color rgb="FF595959"/>
        <rFont val="FreeSans"/>
        <family val="2"/>
      </rPr>
      <t xml:space="preserve">ถ่วงน้ำหนัก</t>
    </r>
    <r>
      <rPr>
        <sz val="9"/>
        <color rgb="FF595959"/>
        <rFont val="Tahoma"/>
        <family val="0"/>
        <charset val="1"/>
      </rPr>
      <t xml:space="preserve">)</t>
    </r>
  </si>
  <si>
    <t xml:space="preserve">ส่งมอบงวดช้า (วัน)</t>
  </si>
  <si>
    <r>
      <rPr>
        <sz val="9"/>
        <color rgb="FF595959"/>
        <rFont val="Tahoma"/>
        <family val="0"/>
        <charset val="1"/>
      </rPr>
      <t xml:space="preserve">COD </t>
    </r>
    <r>
      <rPr>
        <sz val="9"/>
        <color rgb="FF595959"/>
        <rFont val="FreeSans"/>
        <family val="2"/>
      </rPr>
      <t xml:space="preserve">ช้ากว่า </t>
    </r>
    <r>
      <rPr>
        <sz val="9"/>
        <color rgb="FF595959"/>
        <rFont val="Tahoma"/>
        <family val="0"/>
        <charset val="1"/>
      </rPr>
      <t xml:space="preserve">Baseline (</t>
    </r>
    <r>
      <rPr>
        <sz val="9"/>
        <color rgb="FF595959"/>
        <rFont val="FreeSans"/>
        <family val="2"/>
      </rPr>
      <t xml:space="preserve">วัน</t>
    </r>
    <r>
      <rPr>
        <sz val="9"/>
        <color rgb="FF595959"/>
        <rFont val="Tahoma"/>
        <family val="0"/>
        <charset val="1"/>
      </rPr>
      <t xml:space="preserve">)</t>
    </r>
  </si>
  <si>
    <r>
      <rPr>
        <sz val="9"/>
        <color rgb="FF595959"/>
        <rFont val="Tahoma"/>
        <family val="0"/>
        <charset val="1"/>
      </rPr>
      <t xml:space="preserve">Milestone </t>
    </r>
    <r>
      <rPr>
        <sz val="9"/>
        <color rgb="FF595959"/>
        <rFont val="FreeSans"/>
        <family val="2"/>
      </rPr>
      <t xml:space="preserve">เสร็จ</t>
    </r>
  </si>
  <si>
    <t xml:space="preserve">✎ กรอกความคืบหน้า</t>
  </si>
  <si>
    <r>
      <rPr>
        <sz val="8"/>
        <color rgb="FF595959"/>
        <rFont val="Tahoma"/>
        <family val="0"/>
        <charset val="1"/>
      </rPr>
      <t xml:space="preserve">Baseline </t>
    </r>
    <r>
      <rPr>
        <sz val="8"/>
        <color rgb="FF595959"/>
        <rFont val="FreeSans"/>
        <family val="2"/>
      </rPr>
      <t xml:space="preserve">แผนนี้</t>
    </r>
  </si>
  <si>
    <r>
      <rPr>
        <sz val="8"/>
        <color rgb="FF595959"/>
        <rFont val="Tahoma"/>
        <family val="0"/>
        <charset val="1"/>
      </rPr>
      <t xml:space="preserve">CR </t>
    </r>
    <r>
      <rPr>
        <sz val="8"/>
        <color rgb="FF595959"/>
        <rFont val="FreeSans"/>
        <family val="2"/>
      </rPr>
      <t xml:space="preserve">อนุมัติ </t>
    </r>
    <r>
      <rPr>
        <sz val="8"/>
        <color rgb="FF595959"/>
        <rFont val="Tahoma"/>
        <family val="0"/>
        <charset val="1"/>
      </rPr>
      <t xml:space="preserve">(</t>
    </r>
    <r>
      <rPr>
        <sz val="8"/>
        <color rgb="FF595959"/>
        <rFont val="FreeSans"/>
        <family val="2"/>
      </rPr>
      <t xml:space="preserve">เลื่อน </t>
    </r>
    <r>
      <rPr>
        <sz val="8"/>
        <color rgb="FF595959"/>
        <rFont val="Tahoma"/>
        <family val="0"/>
        <charset val="1"/>
      </rPr>
      <t xml:space="preserve">COD)</t>
    </r>
  </si>
  <si>
    <r>
      <rPr>
        <sz val="8"/>
        <color rgb="FF595959"/>
        <rFont val="Tahoma"/>
        <family val="0"/>
        <charset val="1"/>
      </rPr>
      <t xml:space="preserve">CR </t>
    </r>
    <r>
      <rPr>
        <sz val="8"/>
        <color rgb="FF595959"/>
        <rFont val="FreeSans"/>
        <family val="2"/>
      </rPr>
      <t xml:space="preserve">รออนุมัติ</t>
    </r>
  </si>
  <si>
    <t xml:space="preserve">งานแก้ซ้ำ (ค้าง)</t>
  </si>
  <si>
    <t xml:space="preserve">ความเสี่ยงสูงที่กระทบ</t>
  </si>
  <si>
    <t xml:space="preserve">บทเรียนของสถานี</t>
  </si>
  <si>
    <t xml:space="preserve">ข้อมูลหน้างาน (rolling wave)</t>
  </si>
  <si>
    <t xml:space="preserve">บันไดเซอร์วิสที่ต้องติด</t>
  </si>
  <si>
    <t xml:space="preserve">0 / 8</t>
  </si>
  <si>
    <r>
      <rPr>
        <b val="true"/>
        <u val="single"/>
        <sz val="10"/>
        <color rgb="FF0563C1"/>
        <rFont val="FreeSans"/>
        <family val="2"/>
      </rPr>
      <t xml:space="preserve">← กลับ </t>
    </r>
    <r>
      <rPr>
        <b val="true"/>
        <u val="single"/>
        <sz val="10"/>
        <color rgb="FF0563C1"/>
        <rFont val="Tahoma"/>
        <family val="0"/>
        <charset val="1"/>
      </rPr>
      <t xml:space="preserve">Master Plan</t>
    </r>
  </si>
  <si>
    <r>
      <rPr>
        <b val="true"/>
        <sz val="10"/>
        <color rgb="FF7030A0"/>
        <rFont val="Tahoma"/>
        <family val="0"/>
        <charset val="1"/>
      </rPr>
      <t xml:space="preserve">REV 00 (</t>
    </r>
    <r>
      <rPr>
        <b val="true"/>
        <sz val="10"/>
        <color rgb="FF7030A0"/>
        <rFont val="FreeSans"/>
        <family val="2"/>
      </rPr>
      <t xml:space="preserve">จากกำหนดรอบ</t>
    </r>
    <r>
      <rPr>
        <b val="true"/>
        <sz val="10"/>
        <color rgb="FF7030A0"/>
        <rFont val="Tahoma"/>
        <family val="0"/>
        <charset val="1"/>
      </rPr>
      <t xml:space="preserve">), </t>
    </r>
    <r>
      <rPr>
        <b val="true"/>
        <sz val="10"/>
        <color rgb="FF7030A0"/>
        <rFont val="FreeSans"/>
        <family val="2"/>
      </rPr>
      <t xml:space="preserve">ยังไม่อนุมัติ</t>
    </r>
  </si>
  <si>
    <r>
      <rPr>
        <b val="true"/>
        <sz val="10"/>
        <color rgb="FF7030A0"/>
        <rFont val="Tahoma"/>
        <family val="0"/>
        <charset val="1"/>
      </rPr>
      <t xml:space="preserve">0 </t>
    </r>
    <r>
      <rPr>
        <b val="true"/>
        <sz val="10"/>
        <color rgb="FF7030A0"/>
        <rFont val="FreeSans"/>
        <family val="2"/>
      </rPr>
      <t xml:space="preserve">รายการ</t>
    </r>
    <r>
      <rPr>
        <b val="true"/>
        <sz val="10"/>
        <color rgb="FF7030A0"/>
        <rFont val="Tahoma"/>
        <family val="0"/>
        <charset val="1"/>
      </rPr>
      <t xml:space="preserve">, 0 </t>
    </r>
    <r>
      <rPr>
        <b val="true"/>
        <sz val="10"/>
        <color rgb="FF7030A0"/>
        <rFont val="FreeSans"/>
        <family val="2"/>
      </rPr>
      <t xml:space="preserve">วัน</t>
    </r>
  </si>
  <si>
    <t xml:space="preserve">0 (0)</t>
  </si>
  <si>
    <r>
      <rPr>
        <b val="true"/>
        <sz val="10"/>
        <color rgb="FF7030A0"/>
        <rFont val="Tahoma"/>
        <family val="0"/>
        <charset val="1"/>
      </rPr>
      <t xml:space="preserve">1 / 12 </t>
    </r>
    <r>
      <rPr>
        <b val="true"/>
        <sz val="10"/>
        <color rgb="FF7030A0"/>
        <rFont val="FreeSans"/>
        <family val="2"/>
      </rPr>
      <t xml:space="preserve">ข้อ</t>
    </r>
  </si>
  <si>
    <r>
      <rPr>
        <b val="true"/>
        <sz val="10"/>
        <color rgb="FF7030A0"/>
        <rFont val="FreeSans"/>
        <family val="2"/>
      </rPr>
      <t xml:space="preserve">สำรวจแล้ว</t>
    </r>
    <r>
      <rPr>
        <b val="true"/>
        <sz val="10"/>
        <color rgb="FF7030A0"/>
        <rFont val="Tahoma"/>
        <family val="0"/>
        <charset val="1"/>
      </rPr>
      <t xml:space="preserve">, % </t>
    </r>
    <r>
      <rPr>
        <b val="true"/>
        <sz val="10"/>
        <color rgb="FF7030A0"/>
        <rFont val="FreeSans"/>
        <family val="2"/>
      </rPr>
      <t xml:space="preserve">รายจุด</t>
    </r>
  </si>
  <si>
    <r>
      <rPr>
        <b val="true"/>
        <sz val="10"/>
        <color rgb="FF7030A0"/>
        <rFont val="Tahoma"/>
        <family val="0"/>
        <charset val="1"/>
      </rPr>
      <t xml:space="preserve">0 </t>
    </r>
    <r>
      <rPr>
        <b val="true"/>
        <sz val="10"/>
        <color rgb="FF7030A0"/>
        <rFont val="FreeSans"/>
        <family val="2"/>
      </rPr>
      <t xml:space="preserve">จุด</t>
    </r>
  </si>
  <si>
    <t xml:space="preserve">ถัดไป:</t>
  </si>
  <si>
    <t xml:space="preserve">จัดหาและรับอุปกรณ์ (หนังสือส่งแผง + ตรวจรับของ)</t>
  </si>
  <si>
    <t xml:space="preserve">วันจริง/นัดของงานหลัก กรอกที่ ‘อัปเดตรายสัปดาห์’ (ปุ่ม ✎), งานย่อย (ตัวอักษรเล็ก) ติ๊ก Y ในชีตนี้ได้ → % งานหลักขยับตามน้ำหนัก, Baseline ล็อก ณ 19 ต.ค. 69, วันคาดการณ์ของ milestone มาจาก Master Plan (คิวทั้งเฟส, เลื่อนเป็นวันทำงาน), Gantt: เขียว เสร็จ, ส้ม นัดแล้ว, น้ำเงิน คาดการณ์, เทา Baseline, แดง สัปดาห์ปัจจุบัน, ดูง่าย: แสดงเฉพาะงาน MP, กด [+] ซ้ายมือเพื่อดูงานย่อย / [+] เหนือหัวตารางเพื่อดูหลักฐาน ผู้อนุมัติ ความเสี่ยง, ไฟล์นำเข้า TCRoof: โฟลเดอร์ TCRoof_แผนงาน_MP › P9-016 แผนงาน.xlsx</t>
  </si>
  <si>
    <t xml:space="preserve">ฉบับ</t>
  </si>
  <si>
    <r>
      <rPr>
        <sz val="8"/>
        <color rgb="FF0000FF"/>
        <rFont val="Tahoma"/>
        <family val="0"/>
        <charset val="1"/>
      </rPr>
      <t xml:space="preserve">REV 00 (</t>
    </r>
    <r>
      <rPr>
        <sz val="8"/>
        <color rgb="FF0000FF"/>
        <rFont val="FreeSans"/>
        <family val="2"/>
      </rPr>
      <t xml:space="preserve">จากกำหนดรอบ</t>
    </r>
    <r>
      <rPr>
        <sz val="8"/>
        <color rgb="FF0000FF"/>
        <rFont val="Tahoma"/>
        <family val="0"/>
        <charset val="1"/>
      </rPr>
      <t xml:space="preserve">)</t>
    </r>
  </si>
  <si>
    <t xml:space="preserve">อนุมัติโดย</t>
  </si>
  <si>
    <t xml:space="preserve">วันที่</t>
  </si>
  <si>
    <t xml:space="preserve">ความเสี่ยงอ้างทะเบียนความเสี่ยง, CR และงานแก้ซ้ำนับจากรหัสสถานีนี้</t>
  </si>
  <si>
    <t xml:space="preserve">กิจกรรม</t>
  </si>
  <si>
    <t xml:space="preserve">ตรรกะ</t>
  </si>
  <si>
    <r>
      <rPr>
        <b val="true"/>
        <sz val="9"/>
        <color rgb="FFFFFFFF"/>
        <rFont val="Tahoma"/>
        <family val="0"/>
        <charset val="1"/>
      </rPr>
      <t xml:space="preserve">Baseline (</t>
    </r>
    <r>
      <rPr>
        <b val="true"/>
        <sz val="9"/>
        <color rgb="FFFFFFFF"/>
        <rFont val="FreeSans"/>
        <family val="2"/>
      </rPr>
      <t xml:space="preserve">ล็อก</t>
    </r>
    <r>
      <rPr>
        <b val="true"/>
        <sz val="9"/>
        <color rgb="FFFFFFFF"/>
        <rFont val="Tahoma"/>
        <family val="0"/>
        <charset val="1"/>
      </rPr>
      <t xml:space="preserve">)</t>
    </r>
  </si>
  <si>
    <t xml:space="preserve">จริง / นัด (ลิงก์)</t>
  </si>
  <si>
    <t xml:space="preserve">คาดการณ์</t>
  </si>
  <si>
    <t xml:space="preserve">ต.ค. 69</t>
  </si>
  <si>
    <t xml:space="preserve">พ.ย. 69</t>
  </si>
  <si>
    <t xml:space="preserve">ธ.ค. 69</t>
  </si>
  <si>
    <t xml:space="preserve">ม.ค. 70</t>
  </si>
  <si>
    <t xml:space="preserve">ก.พ. 70</t>
  </si>
  <si>
    <t xml:space="preserve">มี.ค. 70</t>
  </si>
  <si>
    <t xml:space="preserve">เม.ย. 70</t>
  </si>
  <si>
    <t xml:space="preserve">พ.ค. 70</t>
  </si>
  <si>
    <t xml:space="preserve">มิ.ย. 70</t>
  </si>
  <si>
    <t xml:space="preserve">ก.ค. 70</t>
  </si>
  <si>
    <t xml:space="preserve">ส.ค. 70</t>
  </si>
  <si>
    <t xml:space="preserve">ก.ย. 70</t>
  </si>
  <si>
    <t xml:space="preserve">WBS</t>
  </si>
  <si>
    <t xml:space="preserve">หลักฐาน / เลขที่เอกสาร</t>
  </si>
  <si>
    <t xml:space="preserve">ผู้รับผิดชอบ</t>
  </si>
  <si>
    <t xml:space="preserve">น้ำหนัก %</t>
  </si>
  <si>
    <t xml:space="preserve">งานก่อนหน้า</t>
  </si>
  <si>
    <t xml:space="preserve">รอ (วัน)</t>
  </si>
  <si>
    <t xml:space="preserve">ระยะ (วัน)</t>
  </si>
  <si>
    <t xml:space="preserve">เริ่ม</t>
  </si>
  <si>
    <t xml:space="preserve">เสร็จ</t>
  </si>
  <si>
    <t xml:space="preserve">เสร็จ / นัด</t>
  </si>
  <si>
    <t xml:space="preserve">เสร็จ (Y, S) จากชีตอัปเดตงาน WBS</t>
  </si>
  <si>
    <t xml:space="preserve">สถานะ</t>
  </si>
  <si>
    <t xml:space="preserve">ต่าง Baseline (วัน)</t>
  </si>
  <si>
    <t xml:space="preserve">มาตรฐาน / หมายเหตุ</t>
  </si>
  <si>
    <t xml:space="preserve">ชั้น</t>
  </si>
  <si>
    <t xml:space="preserve">c</t>
  </si>
  <si>
    <t xml:space="preserve">nx</t>
  </si>
  <si>
    <r>
      <rPr>
        <b val="true"/>
        <sz val="9"/>
        <color rgb="FFFFFFFF"/>
        <rFont val="Tahoma"/>
        <family val="0"/>
        <charset val="1"/>
      </rPr>
      <t xml:space="preserve">% </t>
    </r>
    <r>
      <rPr>
        <b val="true"/>
        <sz val="9"/>
        <color rgb="FFFFFFFF"/>
        <rFont val="FreeSans"/>
        <family val="2"/>
      </rPr>
      <t xml:space="preserve">งาน</t>
    </r>
  </si>
  <si>
    <t xml:space="preserve">อนุมัติ / ตรวจรับ (A)</t>
  </si>
  <si>
    <t xml:space="preserve">ไม่รวม (อยู่ที่ WBS อื่น)</t>
  </si>
  <si>
    <t xml:space="preserve">ความเสี่ยงที่กระทบ</t>
  </si>
  <si>
    <t xml:space="preserve">0</t>
  </si>
  <si>
    <r>
      <rPr>
        <b val="true"/>
        <sz val="9"/>
        <rFont val="Tahoma"/>
        <family val="0"/>
        <charset val="1"/>
      </rPr>
      <t xml:space="preserve">Part 0 </t>
    </r>
    <r>
      <rPr>
        <b val="true"/>
        <sz val="9"/>
        <rFont val="FreeSans"/>
        <family val="2"/>
      </rPr>
      <t xml:space="preserve">จัดหาและเตรียมงาน </t>
    </r>
    <r>
      <rPr>
        <b val="true"/>
        <sz val="9"/>
        <rFont val="Tahoma"/>
        <family val="0"/>
        <charset val="1"/>
      </rPr>
      <t xml:space="preserve">(</t>
    </r>
    <r>
      <rPr>
        <b val="true"/>
        <sz val="9"/>
        <rFont val="FreeSans"/>
        <family val="2"/>
      </rPr>
      <t xml:space="preserve">น้ำหนัก </t>
    </r>
    <r>
      <rPr>
        <b val="true"/>
        <sz val="9"/>
        <rFont val="Tahoma"/>
        <family val="0"/>
        <charset val="1"/>
      </rPr>
      <t xml:space="preserve">0)</t>
    </r>
  </si>
  <si>
    <t xml:space="preserve">กำลังดำเนินการ</t>
  </si>
  <si>
    <t xml:space="preserve">IP</t>
  </si>
  <si>
    <t xml:space="preserve">0.1</t>
  </si>
  <si>
    <r>
      <rPr>
        <sz val="9"/>
        <rFont val="Tahoma"/>
        <family val="0"/>
        <charset val="1"/>
      </rPr>
      <t xml:space="preserve">Project Controls, HSE </t>
    </r>
    <r>
      <rPr>
        <sz val="9"/>
        <rFont val="FreeSans"/>
        <family val="2"/>
      </rPr>
      <t xml:space="preserve">และ </t>
    </r>
    <r>
      <rPr>
        <sz val="9"/>
        <rFont val="Tahoma"/>
        <family val="0"/>
        <charset val="1"/>
      </rPr>
      <t xml:space="preserve">Quality</t>
    </r>
  </si>
  <si>
    <t xml:space="preserve">วศ.16</t>
  </si>
  <si>
    <t xml:space="preserve">PM</t>
  </si>
  <si>
    <t xml:space="preserve">งานแก้ไข/ทดสอบซ้ำ (นับในงานเดิม ไม่แยกเป็นรายการ), งานออกแบบ (1.2), การประชุม/เดินทาง (อยู่ในงานที่เกี่ยวข้อง)</t>
  </si>
  <si>
    <t xml:space="preserve">R08</t>
  </si>
  <si>
    <t xml:space="preserve">0.1.1</t>
  </si>
  <si>
    <t xml:space="preserve">    แผนบริหารโครงการ (PEP) + Baseline</t>
  </si>
  <si>
    <t xml:space="preserve">ผู้ว่าจ้างอนุมัติ Baseline ก่อนเริ่มรายงาน S-Curve</t>
  </si>
  <si>
    <t xml:space="preserve">วศ.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</si>
  <si>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WBS'!L1236</t>
    </r>
  </si>
  <si>
    <t xml:space="preserve">0.1.2</t>
  </si>
  <si>
    <t xml:space="preserve">    แผนความปลอดภัย (HSE Plan, JSA, Permit-to-Work)</t>
  </si>
  <si>
    <t xml:space="preserve">แผน HSE อนุมัติก่อนเข้าพื้นที่</t>
  </si>
  <si>
    <t xml:space="preserve">ผรม.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</si>
  <si>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WBS'!L1237</t>
    </r>
  </si>
  <si>
    <t xml:space="preserve">0.1.3</t>
  </si>
  <si>
    <t xml:space="preserve">    แผนคุณภาพ (PQP) + แผนตรวจทดสอบ (ITP)</t>
  </si>
  <si>
    <r>
      <rPr>
        <sz val="8"/>
        <color rgb="FF404040"/>
        <rFont val="Tahoma"/>
        <family val="0"/>
        <charset val="1"/>
      </rPr>
      <t xml:space="preserve">ITP </t>
    </r>
    <r>
      <rPr>
        <sz val="8"/>
        <color rgb="FF404040"/>
        <rFont val="FreeSans"/>
        <family val="2"/>
      </rPr>
      <t xml:space="preserve">อนุมัติ ใช้เป็นเกณฑ์ตรวจรับทุกงาน</t>
    </r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</si>
  <si>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WBS'!L1238</t>
    </r>
  </si>
  <si>
    <t xml:space="preserve">0.1.4</t>
  </si>
  <si>
    <t xml:space="preserve">    เอกสารขออนุมัติวัสดุ (Material submittal)</t>
  </si>
  <si>
    <t xml:space="preserve">เอกสารอนุมัติวัสดุครบก่อนส่งของ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</si>
  <si>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WBS'!L1239</t>
    </r>
  </si>
  <si>
    <t xml:space="preserve">0.1.5</t>
  </si>
  <si>
    <t xml:space="preserve">    รายงานประจำ R1–R4</t>
  </si>
  <si>
    <t xml:space="preserve">ส่งตรงเวลาทุกงวด, R2 ลงนามรับทราบโดยวิศวกร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</si>
  <si>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WBS'!L1240</t>
    </r>
  </si>
  <si>
    <t xml:space="preserve">ยังไม่เริ่ม</t>
  </si>
  <si>
    <t xml:space="preserve">NS</t>
  </si>
  <si>
    <t xml:space="preserve">0.1.6</t>
  </si>
  <si>
    <t xml:space="preserve">    การตรวจ HSE / NCR / Punch list หน้างาน</t>
  </si>
  <si>
    <r>
      <rPr>
        <sz val="8"/>
        <color rgb="FF404040"/>
        <rFont val="Tahoma"/>
        <family val="0"/>
        <charset val="1"/>
      </rPr>
      <t xml:space="preserve">NCR </t>
    </r>
    <r>
      <rPr>
        <sz val="8"/>
        <color rgb="FF404040"/>
        <rFont val="FreeSans"/>
        <family val="2"/>
      </rPr>
      <t xml:space="preserve">และ </t>
    </r>
    <r>
      <rPr>
        <sz val="8"/>
        <color rgb="FF404040"/>
        <rFont val="Tahoma"/>
        <family val="0"/>
        <charset val="1"/>
      </rPr>
      <t xml:space="preserve">Punch list </t>
    </r>
    <r>
      <rPr>
        <sz val="8"/>
        <color rgb="FF404040"/>
        <rFont val="FreeSans"/>
        <family val="2"/>
      </rPr>
      <t xml:space="preserve">ปิดครบก่อน </t>
    </r>
    <r>
      <rPr>
        <sz val="8"/>
        <color rgb="FF404040"/>
        <rFont val="Tahoma"/>
        <family val="0"/>
        <charset val="1"/>
      </rPr>
      <t xml:space="preserve">PAC</t>
    </r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</si>
  <si>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WBS'!L1241</t>
    </r>
  </si>
  <si>
    <t xml:space="preserve">0.2</t>
  </si>
  <si>
    <t xml:space="preserve">Admin</t>
  </si>
  <si>
    <t xml:space="preserve">ย้อนจาก 2.10 (25 วัน)</t>
  </si>
  <si>
    <t xml:space="preserve">การยกขึ้นหลังคาและติดตั้ง (2.1–2.9), การทดสอบหน้างาน (3.1)</t>
  </si>
  <si>
    <t xml:space="preserve">R11</t>
  </si>
  <si>
    <t xml:space="preserve">0.2.1</t>
  </si>
  <si>
    <t xml:space="preserve">    หนังสือส่งแผง / ใบเบิกจากคลัง</t>
  </si>
  <si>
    <t xml:space="preserve">มีเลขที่หนังสือ (TC-PML-…)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</si>
  <si>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WBS'!L1242</t>
    </r>
  </si>
  <si>
    <t xml:space="preserve">0.2.2</t>
  </si>
  <si>
    <t xml:space="preserve">    ผล FAT Inverter / ตู้ไฟ (+ CT/VT 22 kV)</t>
  </si>
  <si>
    <t xml:space="preserve">ใบรับรอง/ผล FAT แนบในเอกสารสถานี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</si>
  <si>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WBS'!L1243</t>
    </r>
  </si>
  <si>
    <t xml:space="preserve">0.2.3</t>
  </si>
  <si>
    <t xml:space="preserve">    แผง + Inverter ถึงหน้างาน (ตรวจรับ + S/N)</t>
  </si>
  <si>
    <t xml:space="preserve">จำนวนตรง BOM, ไม่มีชำรุด, S/N เข้าแอป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</si>
  <si>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WBS'!L1244</t>
    </r>
  </si>
  <si>
    <t xml:space="preserve">0.2.4</t>
  </si>
  <si>
    <t xml:space="preserve">    โครงยึด + Walkway ถึงหน้างาน</t>
  </si>
  <si>
    <t xml:space="preserve">ตรวจรับตาม shop drawing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</si>
  <si>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WBS'!L1245</t>
    </r>
  </si>
  <si>
    <t xml:space="preserve">0.2.5</t>
  </si>
  <si>
    <t xml:space="preserve">    สายไฟ + รางสาย ถึงหน้างาน</t>
  </si>
  <si>
    <t xml:space="preserve">ตรวจรับขนาด/ยี่ห้อตาม submittal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</si>
  <si>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WBS'!L1246</t>
    </r>
  </si>
  <si>
    <t xml:space="preserve">0.2.6</t>
  </si>
  <si>
    <t xml:space="preserve">    ตู้ไฟ FTS / DC / AC / METER / PQM / SEM ถึงหน้างาน</t>
  </si>
  <si>
    <t xml:space="preserve">ตรวจรับภายในตู้ตามแบบ SLD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</si>
  <si>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WBS'!L1247</t>
    </r>
  </si>
  <si>
    <t xml:space="preserve">0.2.7</t>
  </si>
  <si>
    <t xml:space="preserve">    อุปกรณ์ 22 kV ถึงหน้างาน (VT / CT ผ่านทดสอบ กฟภ.) (ไม่เกี่ยวกับสถานีนี้)</t>
  </si>
  <si>
    <t xml:space="preserve">มีผลทดสอบ CT/VT</t>
  </si>
  <si>
    <t xml:space="preserve">ไม่ต้องทำ</t>
  </si>
  <si>
    <t xml:space="preserve">NA</t>
  </si>
  <si>
    <t xml:space="preserve">0.2.8</t>
  </si>
  <si>
    <t xml:space="preserve">    มิเตอร์ + อุปกรณ์สื่อสาร ถึงหน้างาน</t>
  </si>
  <si>
    <t xml:space="preserve">ตรวจรับรุ่นตามแบบ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</si>
  <si>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WBS'!L1248</t>
    </r>
  </si>
  <si>
    <t xml:space="preserve">0.3</t>
  </si>
  <si>
    <t xml:space="preserve">หนังสือแจ้งขอดับไฟ</t>
  </si>
  <si>
    <t xml:space="preserve">ย้อนจาก 2.10 (20 วัน)</t>
  </si>
  <si>
    <t xml:space="preserve">การดับไฟจริงและงานเชื่อมจุดต่อ (2.10), การประสาน กฟภ. ด้าน 22 kV (2.8.1)</t>
  </si>
  <si>
    <t xml:space="preserve">R05</t>
  </si>
  <si>
    <t xml:space="preserve">0.3.1</t>
  </si>
  <si>
    <t xml:space="preserve">    ร่างหนังสือแจ้งดับไฟ</t>
  </si>
  <si>
    <t xml:space="preserve">ร่างหนังสือ + ช่วงดับไฟที่ไม่กระทบการสูบจ่ายน้ำ (สาขายืนยัน)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</si>
  <si>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WBS'!L1249</t>
    </r>
  </si>
  <si>
    <t xml:space="preserve">0.3.2</t>
  </si>
  <si>
    <t xml:space="preserve">    หนังสือแจ้งดับไฟ (ส่งล่วงหน้า ≥ 7 วัน)</t>
  </si>
  <si>
    <t xml:space="preserve">เลขที่ TC-PML-… และวันส่ง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</si>
  <si>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WBS'!L1250</t>
    </r>
  </si>
  <si>
    <t xml:space="preserve">0.3.3</t>
  </si>
  <si>
    <t xml:space="preserve">    วันดับไฟที่ยืนยันแล้ว (สาขา / กฟภ.)</t>
  </si>
  <si>
    <t xml:space="preserve">วันดับไฟยืนยันเป็นลายลักษณ์อักษร (สาขา + กฟภ. ถ้า HV)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</si>
  <si>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WBS'!L1251</t>
    </r>
  </si>
  <si>
    <t xml:space="preserve">1</t>
  </si>
  <si>
    <t xml:space="preserve">Part PERMIT</t>
  </si>
  <si>
    <t xml:space="preserve">1.1</t>
  </si>
  <si>
    <t xml:space="preserve">Kick Off</t>
  </si>
  <si>
    <t xml:space="preserve">ย้อนจาก 2.10 (60 วัน)</t>
  </si>
  <si>
    <t xml:space="preserve">การส่งมอบพื้นที่และ Mobilization (1.3), แบบวิศวกรรม (1.2)</t>
  </si>
  <si>
    <t xml:space="preserve">1.1.1</t>
  </si>
  <si>
    <t xml:space="preserve">    บันทึกประชุม Kick off</t>
  </si>
  <si>
    <t xml:space="preserve">บันทึกการประชุม (MOM) ลงนามผู้เข้าร่วม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</si>
  <si>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WBS'!L1252</t>
    </r>
  </si>
  <si>
    <t xml:space="preserve">1.1.2</t>
  </si>
  <si>
    <t xml:space="preserve">    งาน PWA ในแอป TCRoof</t>
  </si>
  <si>
    <t xml:space="preserve">งานในแอปครบ: งาน PWA, เลข MP, ขนาด Inverter, ผู้รับเหมา, ทีม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</si>
  <si>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WBS'!L1253</t>
    </r>
  </si>
  <si>
    <t xml:space="preserve">1.1.3</t>
  </si>
  <si>
    <t xml:space="preserve">    แบบสำรวจหน้างาน A1–E1 (REV 00)</t>
  </si>
  <si>
    <t xml:space="preserve">แบบสำรวจ A1–E1 ลงนาม 2 ฝ่าย ออก REV 00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</si>
  <si>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WBS'!L1254</t>
    </r>
  </si>
  <si>
    <t xml:space="preserve">1.2</t>
  </si>
  <si>
    <t xml:space="preserve">Engineering Approve</t>
  </si>
  <si>
    <t xml:space="preserve">ย้อนจาก 2.10 (45 วัน)</t>
  </si>
  <si>
    <r>
      <rPr>
        <sz val="9"/>
        <rFont val="Tahoma"/>
        <family val="0"/>
        <charset val="1"/>
      </rPr>
      <t xml:space="preserve">As-built </t>
    </r>
    <r>
      <rPr>
        <sz val="9"/>
        <rFont val="FreeSans"/>
        <family val="2"/>
      </rPr>
      <t xml:space="preserve">หลังติดตั้ง </t>
    </r>
    <r>
      <rPr>
        <sz val="9"/>
        <rFont val="Tahoma"/>
        <family val="0"/>
        <charset val="1"/>
      </rPr>
      <t xml:space="preserve">(3.1.8), </t>
    </r>
    <r>
      <rPr>
        <sz val="9"/>
        <rFont val="FreeSans"/>
        <family val="2"/>
      </rPr>
      <t xml:space="preserve">ชุดเอกสารยื่น </t>
    </r>
    <r>
      <rPr>
        <sz val="9"/>
        <rFont val="Tahoma"/>
        <family val="0"/>
        <charset val="1"/>
      </rPr>
      <t xml:space="preserve">PPIM (1.7.1), </t>
    </r>
    <r>
      <rPr>
        <sz val="9"/>
        <rFont val="FreeSans"/>
        <family val="2"/>
      </rPr>
      <t xml:space="preserve">ชุดยื่นเทศบาล </t>
    </r>
    <r>
      <rPr>
        <sz val="9"/>
        <rFont val="Tahoma"/>
        <family val="0"/>
        <charset val="1"/>
      </rPr>
      <t xml:space="preserve">(1.4.2) — </t>
    </r>
    <r>
      <rPr>
        <sz val="9"/>
        <rFont val="FreeSans"/>
        <family val="2"/>
      </rPr>
      <t xml:space="preserve">ใช้แบบจาก </t>
    </r>
    <r>
      <rPr>
        <sz val="9"/>
        <rFont val="Tahoma"/>
        <family val="0"/>
        <charset val="1"/>
      </rPr>
      <t xml:space="preserve">1.2 </t>
    </r>
    <r>
      <rPr>
        <sz val="9"/>
        <rFont val="FreeSans"/>
        <family val="2"/>
      </rPr>
      <t xml:space="preserve">แต่จัดทำในงานนั้น</t>
    </r>
  </si>
  <si>
    <t xml:space="preserve">1.2.1</t>
  </si>
  <si>
    <t xml:space="preserve">    SLD + Layout + String sizing</t>
  </si>
  <si>
    <r>
      <rPr>
        <sz val="8"/>
        <color rgb="FF404040"/>
        <rFont val="Tahoma"/>
        <family val="0"/>
        <charset val="1"/>
      </rPr>
      <t xml:space="preserve">SLD + Layout + String sizing </t>
    </r>
    <r>
      <rPr>
        <sz val="8"/>
        <color rgb="FF404040"/>
        <rFont val="FreeSans"/>
        <family val="2"/>
      </rPr>
      <t xml:space="preserve">ลงนามวิศวกร</t>
    </r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</si>
  <si>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WBS'!L1255</t>
    </r>
  </si>
  <si>
    <t xml:space="preserve">1.2.2</t>
  </si>
  <si>
    <t xml:space="preserve">    รายการคำนวณไฟฟ้า / โครงสร้าง</t>
  </si>
  <si>
    <t xml:space="preserve">รายการคำนวณไฟฟ้า / โยธาลงนาม (มีผลน้ำหนักบนหลังคา)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</si>
  <si>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WBS'!L1256</t>
    </r>
  </si>
  <si>
    <t xml:space="preserve">1.2.3</t>
  </si>
  <si>
    <t xml:space="preserve">    ค่าตั้ง Protection / Zero export</t>
  </si>
  <si>
    <t xml:space="preserve">ตารางค่าตั้ง Protection / Zero export ลงนาม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</si>
  <si>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WBS'!L1257</t>
    </r>
  </si>
  <si>
    <t xml:space="preserve">1.2.4</t>
  </si>
  <si>
    <t xml:space="preserve">    แบบที่ กปภ. อนุมัติ (REV ล่าสุด)</t>
  </si>
  <si>
    <t xml:space="preserve">หนังสืออนุมัติแบบจาก กปภ. (REV ล่าสุด)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</si>
  <si>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WBS'!L1258</t>
    </r>
  </si>
  <si>
    <t xml:space="preserve">1.3</t>
  </si>
  <si>
    <t xml:space="preserve">ส่งมอบพื้นที่และเข้าดำเนินการติดตั้ง</t>
  </si>
  <si>
    <t xml:space="preserve">ย้อนจาก 2.10 (35 วัน)</t>
  </si>
  <si>
    <t xml:space="preserve">งานติดตั้งทุกรายการ (2.x), หนังสือแจ้งดับไฟ (0.3)</t>
  </si>
  <si>
    <t xml:space="preserve">1.3.1</t>
  </si>
  <si>
    <t xml:space="preserve">    บันทึกส่งมอบพื้นที่</t>
  </si>
  <si>
    <t xml:space="preserve">บันทึกส่งมอบพื้นที่ลงนาม กปภ.สาขา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</si>
  <si>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WBS'!L1259</t>
    </r>
  </si>
  <si>
    <t xml:space="preserve">1.3.2</t>
  </si>
  <si>
    <t xml:space="preserve">    สิ่งอำนวยความสะดวกหน้างาน (Mobilization)</t>
  </si>
  <si>
    <r>
      <rPr>
        <sz val="8"/>
        <color rgb="FF404040"/>
        <rFont val="Tahoma"/>
        <family val="0"/>
        <charset val="1"/>
      </rPr>
      <t xml:space="preserve">Site office / </t>
    </r>
    <r>
      <rPr>
        <sz val="8"/>
        <color rgb="FF404040"/>
        <rFont val="FreeSans"/>
        <family val="2"/>
      </rPr>
      <t xml:space="preserve">ไฟ</t>
    </r>
    <r>
      <rPr>
        <sz val="8"/>
        <color rgb="FF404040"/>
        <rFont val="Tahoma"/>
        <family val="0"/>
        <charset val="1"/>
      </rPr>
      <t xml:space="preserve">-</t>
    </r>
    <r>
      <rPr>
        <sz val="8"/>
        <color rgb="FF404040"/>
        <rFont val="FreeSans"/>
        <family val="2"/>
      </rPr>
      <t xml:space="preserve">น้ำชั่วคราว </t>
    </r>
    <r>
      <rPr>
        <sz val="8"/>
        <color rgb="FF404040"/>
        <rFont val="Tahoma"/>
        <family val="0"/>
        <charset val="1"/>
      </rPr>
      <t xml:space="preserve">/ </t>
    </r>
    <r>
      <rPr>
        <sz val="8"/>
        <color rgb="FF404040"/>
        <rFont val="FreeSans"/>
        <family val="2"/>
      </rPr>
      <t xml:space="preserve">กองวัสดุ </t>
    </r>
    <r>
      <rPr>
        <sz val="8"/>
        <color rgb="FF404040"/>
        <rFont val="Tahoma"/>
        <family val="0"/>
        <charset val="1"/>
      </rPr>
      <t xml:space="preserve">/ </t>
    </r>
    <r>
      <rPr>
        <sz val="8"/>
        <color rgb="FF404040"/>
        <rFont val="FreeSans"/>
        <family val="2"/>
      </rPr>
      <t xml:space="preserve">ป้ายพร้อม </t>
    </r>
    <r>
      <rPr>
        <sz val="8"/>
        <color rgb="FF404040"/>
        <rFont val="Tahoma"/>
        <family val="0"/>
        <charset val="1"/>
      </rPr>
      <t xml:space="preserve">+ </t>
    </r>
    <r>
      <rPr>
        <sz val="8"/>
        <color rgb="FF404040"/>
        <rFont val="FreeSans"/>
        <family val="2"/>
      </rPr>
      <t xml:space="preserve">รูปถ่าย</t>
    </r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</si>
  <si>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WBS'!L1260</t>
    </r>
  </si>
  <si>
    <t xml:space="preserve">1.3.3</t>
  </si>
  <si>
    <t xml:space="preserve">    คำขอปฏิบัติงาน R1 ฉบับแรก</t>
  </si>
  <si>
    <r>
      <rPr>
        <sz val="8"/>
        <color rgb="FF404040"/>
        <rFont val="Tahoma"/>
        <family val="0"/>
        <charset val="1"/>
      </rPr>
      <t xml:space="preserve">R1 </t>
    </r>
    <r>
      <rPr>
        <sz val="8"/>
        <color rgb="FF404040"/>
        <rFont val="FreeSans"/>
        <family val="2"/>
      </rPr>
      <t xml:space="preserve">ฉบับแรกอนุมัติโดย </t>
    </r>
    <r>
      <rPr>
        <sz val="8"/>
        <color rgb="FF404040"/>
        <rFont val="Tahoma"/>
        <family val="0"/>
        <charset val="1"/>
      </rPr>
      <t xml:space="preserve">Inspector</t>
    </r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</si>
  <si>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WBS'!L1261</t>
    </r>
  </si>
  <si>
    <t xml:space="preserve">1.4</t>
  </si>
  <si>
    <t xml:space="preserve">ขออนุญาตดัดแปลงอาคาร (อ.1) / แจ้งเทศบาลตามกฎกระทรวงยกเว้น</t>
  </si>
  <si>
    <t xml:space="preserve">ย้อนจาก 2.10 (40 วัน)</t>
  </si>
  <si>
    <t xml:space="preserve">การออกแบบและคำนวณโยธา (1.2.2) — 1.4 นำผลไปยื่นเท่านั้น</t>
  </si>
  <si>
    <t xml:space="preserve">1.4.1</t>
  </si>
  <si>
    <t xml:space="preserve">    ผลตรวจน้ำหนักบนหลังคา (เลือก อ.1 / แจ้ง)</t>
  </si>
  <si>
    <t xml:space="preserve">ผลคำนวณน้ำหนักบนหลังคา + เลือกขอ อ.1 หรือแจ้ง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</si>
  <si>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WBS'!L1262</t>
    </r>
  </si>
  <si>
    <t xml:space="preserve">1.4.2</t>
  </si>
  <si>
    <t xml:space="preserve">    ชุดเอกสารขออนุญาต / แจ้งเทศบาล</t>
  </si>
  <si>
    <t xml:space="preserve">ชุดเอกสารครบตามรายการของเทศบาล / อบต.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</si>
  <si>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WBS'!L1263</t>
    </r>
  </si>
  <si>
    <t xml:space="preserve">1.4.3</t>
  </si>
  <si>
    <t xml:space="preserve">    อ.1 / หนังสือรับแจ้งเทศบาล</t>
  </si>
  <si>
    <t xml:space="preserve">ใบรับคำขอ (ยื่น) → อ.1 / หนังสือรับแจ้ง (ได้รับ)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</si>
  <si>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WBS'!L1264</t>
    </r>
  </si>
  <si>
    <t xml:space="preserve">1.5</t>
  </si>
  <si>
    <t xml:space="preserve">ยื่นขอใบอนุญาต พค.2 (Inverter ≥ 200 kVA)</t>
  </si>
  <si>
    <t xml:space="preserve">Master Plan</t>
  </si>
  <si>
    <t xml:space="preserve">การขอขนานไฟ กฟภ. (1.7), การแจ้งยกเว้น กกพ. (1.6)</t>
  </si>
  <si>
    <t xml:space="preserve">R10</t>
  </si>
  <si>
    <t xml:space="preserve">1.5.1</t>
  </si>
  <si>
    <r>
      <rPr>
        <sz val="8"/>
        <color rgb="FF404040"/>
        <rFont val="Tahoma"/>
        <family val="0"/>
        <charset val="1"/>
      </rPr>
      <t xml:space="preserve">    Check list </t>
    </r>
    <r>
      <rPr>
        <sz val="8"/>
        <color rgb="FF404040"/>
        <rFont val="FreeSans"/>
        <family val="2"/>
      </rPr>
      <t xml:space="preserve">พค</t>
    </r>
    <r>
      <rPr>
        <sz val="8"/>
        <color rgb="FF404040"/>
        <rFont val="Tahoma"/>
        <family val="0"/>
        <charset val="1"/>
      </rPr>
      <t xml:space="preserve">.2 (23 </t>
    </r>
    <r>
      <rPr>
        <sz val="8"/>
        <color rgb="FF404040"/>
        <rFont val="FreeSans"/>
        <family val="2"/>
      </rPr>
      <t xml:space="preserve">ข้อ</t>
    </r>
    <r>
      <rPr>
        <sz val="8"/>
        <color rgb="FF404040"/>
        <rFont val="Tahoma"/>
        <family val="0"/>
        <charset val="1"/>
      </rPr>
      <t xml:space="preserve">)</t>
    </r>
  </si>
  <si>
    <r>
      <rPr>
        <sz val="8"/>
        <color rgb="FF404040"/>
        <rFont val="Tahoma"/>
        <family val="0"/>
        <charset val="1"/>
      </rPr>
      <t xml:space="preserve">Check list 23 </t>
    </r>
    <r>
      <rPr>
        <sz val="8"/>
        <color rgb="FF404040"/>
        <rFont val="FreeSans"/>
        <family val="2"/>
      </rPr>
      <t xml:space="preserve">ข้อครบ</t>
    </r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</si>
  <si>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WBS'!L1265</t>
    </r>
  </si>
  <si>
    <t xml:space="preserve">1.5.2</t>
  </si>
  <si>
    <t xml:space="preserve">    คำขอ พค.2 ที่ยื่นแล้ว</t>
  </si>
  <si>
    <t xml:space="preserve">เอกสารลงนาม กปภ. + หลักฐานการยื่น (QR Code)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</si>
  <si>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WBS'!L1266</t>
    </r>
  </si>
  <si>
    <t xml:space="preserve">1.5.3</t>
  </si>
  <si>
    <t xml:space="preserve">◆ ความเห็น พพ. (≤ 30 วัน)</t>
  </si>
  <si>
    <t xml:space="preserve">พพ.</t>
  </si>
  <si>
    <t xml:space="preserve">1.5.4</t>
  </si>
  <si>
    <t xml:space="preserve">    ใบอนุญาต พค.2 + บันทึกวันหมดอายุ</t>
  </si>
  <si>
    <t xml:space="preserve">ใบอนุญาต พค.2 + วันหมดอายุบันทึกในแอป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</si>
  <si>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WBS'!L1267</t>
    </r>
  </si>
  <si>
    <t xml:space="preserve">1.6</t>
  </si>
  <si>
    <r>
      <rPr>
        <sz val="9"/>
        <rFont val="Tahoma"/>
        <family val="0"/>
        <charset val="1"/>
      </rPr>
      <t xml:space="preserve">COP / </t>
    </r>
    <r>
      <rPr>
        <sz val="9"/>
        <rFont val="FreeSans"/>
        <family val="2"/>
      </rPr>
      <t xml:space="preserve">แจ้งการประกอบกิจการพลังงานที่ได้รับยกเว้น </t>
    </r>
    <r>
      <rPr>
        <sz val="9"/>
        <rFont val="Tahoma"/>
        <family val="0"/>
        <charset val="1"/>
      </rPr>
      <t xml:space="preserve">(</t>
    </r>
    <r>
      <rPr>
        <sz val="9"/>
        <rFont val="FreeSans"/>
        <family val="2"/>
      </rPr>
      <t xml:space="preserve">กกพ</t>
    </r>
    <r>
      <rPr>
        <sz val="9"/>
        <rFont val="Tahoma"/>
        <family val="0"/>
        <charset val="1"/>
      </rPr>
      <t xml:space="preserve">.)</t>
    </r>
  </si>
  <si>
    <t xml:space="preserve">—</t>
  </si>
  <si>
    <t xml:space="preserve">BL</t>
  </si>
  <si>
    <t xml:space="preserve">ใบอนุญาต พค.2 (1.5), การขอขนานไฟ (1.7)</t>
  </si>
  <si>
    <t xml:space="preserve">1.6.1</t>
  </si>
  <si>
    <t xml:space="preserve">    ผลตรวจเกณฑ์ยกเว้น กกพ.</t>
  </si>
  <si>
    <t xml:space="preserve">ผลตรวจเกณฑ์ยกเว้น + ช่องทางแจ้งที่เลือก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</si>
  <si>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WBS'!L1268</t>
    </r>
  </si>
  <si>
    <t xml:space="preserve">1.6.2</t>
  </si>
  <si>
    <t xml:space="preserve">    หลักฐานแจ้งยกเว้น กกพ.</t>
  </si>
  <si>
    <t xml:space="preserve">หลักฐานการแจ้ง กกพ. / ชื่อบนเว็บ กกพ.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</si>
  <si>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WBS'!L1269</t>
    </r>
  </si>
  <si>
    <t xml:space="preserve">1.7.1</t>
  </si>
  <si>
    <t xml:space="preserve">คำขอขนานไฟ PPIM (ชุด 11 ไฟล์)</t>
  </si>
  <si>
    <t xml:space="preserve">R02</t>
  </si>
  <si>
    <t xml:space="preserve">1.7.2</t>
  </si>
  <si>
    <t xml:space="preserve">คำขอฉบับแก้ไข (ยื่นใหม่)</t>
  </si>
  <si>
    <t xml:space="preserve">1.7.3</t>
  </si>
  <si>
    <t xml:space="preserve">◆ ผลพิจารณาแบบ กฟภ. (≤ 15 วันทำการ)</t>
  </si>
  <si>
    <t xml:space="preserve">กฟภ.</t>
  </si>
  <si>
    <t xml:space="preserve">1.7.4</t>
  </si>
  <si>
    <t xml:space="preserve">ค่าธรรมเนียม + สัญญาเชื่อมต่อ</t>
  </si>
  <si>
    <t xml:space="preserve">R12</t>
  </si>
  <si>
    <t xml:space="preserve">1.7.5</t>
  </si>
  <si>
    <t xml:space="preserve">แบบรับรองการติดตั้ง + คำขอตรวจระบบ</t>
  </si>
  <si>
    <t xml:space="preserve">R01</t>
  </si>
  <si>
    <t xml:space="preserve">1.7.6</t>
  </si>
  <si>
    <t xml:space="preserve">◆ ผลตรวจระบบ / วันขนานไฟ COD (≤ 30 วันทำการ)</t>
  </si>
  <si>
    <t xml:space="preserve">2</t>
  </si>
  <si>
    <r>
      <rPr>
        <b val="true"/>
        <sz val="9"/>
        <rFont val="Tahoma"/>
        <family val="0"/>
        <charset val="1"/>
      </rPr>
      <t xml:space="preserve">Part </t>
    </r>
    <r>
      <rPr>
        <b val="true"/>
        <sz val="9"/>
        <rFont val="FreeSans"/>
        <family val="2"/>
      </rPr>
      <t xml:space="preserve">ติดตั้งอุปกรณ์</t>
    </r>
  </si>
  <si>
    <t xml:space="preserve">2.1</t>
  </si>
  <si>
    <t xml:space="preserve">ติดตั้งโครงสร้างรองรับแผง และ Walkway</t>
  </si>
  <si>
    <t xml:space="preserve">งานย่อยตามประเภทจุดติดตั้ง → ชีต ‘จุดติดตั้ง’ (ถ้าระบุแล้ว)</t>
  </si>
  <si>
    <t xml:space="preserve">ผรม. 16</t>
  </si>
  <si>
    <t xml:space="preserve">ย้อนจาก 2.10 (13 วัน)</t>
  </si>
  <si>
    <t xml:space="preserve">การยึดแผง (2.3.2), รางเดินสาย DC (2.2.1), Bonding โครง (2.2.4), ซ่อมหลังคาเดิมนอกจุดยึด (นอกสัญญา เว้นแต่ระบุ)</t>
  </si>
  <si>
    <t xml:space="preserve">R06</t>
  </si>
  <si>
    <t xml:space="preserve">2.1.1</t>
  </si>
  <si>
    <t xml:space="preserve">    ผังจุดยึด (Mark ตาม shop drawing)</t>
  </si>
  <si>
    <t xml:space="preserve">ผังจุดยึด / Mark ครบตาม shop drawing + รูปถ่าย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</si>
  <si>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WBS'!L1270</t>
    </r>
  </si>
  <si>
    <t xml:space="preserve">2.1.2</t>
  </si>
  <si>
    <t xml:space="preserve">    บันไดเซอร์วิส / ทางขึ้นลง + Lifeline ชั่วคราว</t>
  </si>
  <si>
    <t xml:space="preserve">บันไดตรวจรับแล้ว (ยึดผนังครบ, กรงต่อเนื่อง, ทาสีกันสนิม) ก่อนใช้ขึ้นลง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</si>
  <si>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WBS'!L1271</t>
    </r>
  </si>
  <si>
    <t xml:space="preserve">2.1.3</t>
  </si>
  <si>
    <t xml:space="preserve">    ฐานยึดโครงสร้าง (Hanger bolt / Kliplok / พุก)</t>
  </si>
  <si>
    <t xml:space="preserve">ฐานยึดครบทุกจุด + กันซึม, ฐานคอนกรีตบ่มครบ 7 วัน (ถ้ามี), รูปถ่าย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</si>
  <si>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WBS'!L1272</t>
    </r>
  </si>
  <si>
    <t xml:space="preserve">2.1.4</t>
  </si>
  <si>
    <t xml:space="preserve">    โครง Rail อลูมิเนียม (ขันตามแรงบิด)</t>
  </si>
  <si>
    <r>
      <rPr>
        <sz val="8"/>
        <color rgb="FF404040"/>
        <rFont val="Tahoma"/>
        <family val="0"/>
        <charset val="1"/>
      </rPr>
      <t xml:space="preserve">Rail / </t>
    </r>
    <r>
      <rPr>
        <sz val="8"/>
        <color rgb="FF404040"/>
        <rFont val="FreeSans"/>
        <family val="2"/>
      </rPr>
      <t xml:space="preserve">โครงครบ </t>
    </r>
    <r>
      <rPr>
        <sz val="8"/>
        <color rgb="FF404040"/>
        <rFont val="Tahoma"/>
        <family val="0"/>
        <charset val="1"/>
      </rPr>
      <t xml:space="preserve">+ </t>
    </r>
    <r>
      <rPr>
        <sz val="8"/>
        <color rgb="FF404040"/>
        <rFont val="FreeSans"/>
        <family val="2"/>
      </rPr>
      <t xml:space="preserve">บันทึกแรงขัน </t>
    </r>
    <r>
      <rPr>
        <sz val="8"/>
        <color rgb="FF404040"/>
        <rFont val="Tahoma"/>
        <family val="0"/>
        <charset val="1"/>
      </rPr>
      <t xml:space="preserve">(M8 12, M10 21 N·m)</t>
    </r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</si>
  <si>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WBS'!L1273</t>
    </r>
  </si>
  <si>
    <t xml:space="preserve">2.1.5</t>
  </si>
  <si>
    <r>
      <rPr>
        <sz val="8"/>
        <color rgb="FF404040"/>
        <rFont val="Tahoma"/>
        <family val="0"/>
        <charset val="1"/>
      </rPr>
      <t xml:space="preserve">    Walkway HDG + Lifeline </t>
    </r>
    <r>
      <rPr>
        <sz val="8"/>
        <color rgb="FF404040"/>
        <rFont val="FreeSans"/>
        <family val="2"/>
      </rPr>
      <t xml:space="preserve">ถาวร</t>
    </r>
  </si>
  <si>
    <r>
      <rPr>
        <sz val="8"/>
        <color rgb="FF404040"/>
        <rFont val="Tahoma"/>
        <family val="0"/>
        <charset val="1"/>
      </rPr>
      <t xml:space="preserve">Walkway </t>
    </r>
    <r>
      <rPr>
        <sz val="8"/>
        <color rgb="FF404040"/>
        <rFont val="FreeSans"/>
        <family val="2"/>
      </rPr>
      <t xml:space="preserve">ยึดครบ ไม่โยก </t>
    </r>
    <r>
      <rPr>
        <sz val="8"/>
        <color rgb="FF404040"/>
        <rFont val="Tahoma"/>
        <family val="0"/>
        <charset val="1"/>
      </rPr>
      <t xml:space="preserve">+ Lifeline </t>
    </r>
    <r>
      <rPr>
        <sz val="8"/>
        <color rgb="FF404040"/>
        <rFont val="FreeSans"/>
        <family val="2"/>
      </rPr>
      <t xml:space="preserve">ตึง </t>
    </r>
    <r>
      <rPr>
        <sz val="8"/>
        <color rgb="FF404040"/>
        <rFont val="Tahoma"/>
        <family val="0"/>
        <charset val="1"/>
      </rPr>
      <t xml:space="preserve">clips </t>
    </r>
    <r>
      <rPr>
        <sz val="8"/>
        <color rgb="FF404040"/>
        <rFont val="FreeSans"/>
        <family val="2"/>
      </rPr>
      <t xml:space="preserve">ครบสองปลาย</t>
    </r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</si>
  <si>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WBS'!L1274</t>
    </r>
  </si>
  <si>
    <t xml:space="preserve">2.1.6</t>
  </si>
  <si>
    <t xml:space="preserve">    ท่อน้ำล้างแผง + ก๊อก</t>
  </si>
  <si>
    <t xml:space="preserve">ท่อน้ำ + ก๊อกครบ ทดสอบไม่รั่ว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</si>
  <si>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WBS'!L1275</t>
    </r>
  </si>
  <si>
    <t xml:space="preserve">2.1.7</t>
  </si>
  <si>
    <r>
      <rPr>
        <sz val="8"/>
        <color rgb="FF404040"/>
        <rFont val="Tahoma"/>
        <family val="0"/>
        <charset val="1"/>
      </rPr>
      <t xml:space="preserve">    ICL </t>
    </r>
    <r>
      <rPr>
        <sz val="8"/>
        <color rgb="FF404040"/>
        <rFont val="FreeSans"/>
        <family val="2"/>
      </rPr>
      <t xml:space="preserve">โครงสร้าง</t>
    </r>
  </si>
  <si>
    <t xml:space="preserve">ใบ ICL โครงสร้างลงนาม วศ. (ทุกจุดติดตั้ง)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</si>
  <si>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WBS'!L1276</t>
    </r>
  </si>
  <si>
    <t xml:space="preserve">2.2</t>
  </si>
  <si>
    <t xml:space="preserve">ติดตั้งอุปกรณ์ไฟฟ้าด้าน DC</t>
  </si>
  <si>
    <t xml:space="preserve">ย้อนจาก 2.10 (3 วัน)</t>
  </si>
  <si>
    <t xml:space="preserve">สายด้าน AC หลัง Inverter (2.5.3, 2.6), ตู้ FTS / Rapid shutdown (2.4), การทดสอบ IEC ราย String (3.1.2)</t>
  </si>
  <si>
    <t xml:space="preserve">2.2.1</t>
  </si>
  <si>
    <t xml:space="preserve">    รางเดินสาย DC (Tray / Steel support)</t>
  </si>
  <si>
    <r>
      <rPr>
        <sz val="8"/>
        <color rgb="FF404040"/>
        <rFont val="Tahoma"/>
        <family val="0"/>
        <charset val="1"/>
      </rPr>
      <t xml:space="preserve">Tray / </t>
    </r>
    <r>
      <rPr>
        <sz val="8"/>
        <color rgb="FF404040"/>
        <rFont val="FreeSans"/>
        <family val="2"/>
      </rPr>
      <t xml:space="preserve">รางครบตามแนว มีฝาครบ </t>
    </r>
    <r>
      <rPr>
        <sz val="8"/>
        <color rgb="FF404040"/>
        <rFont val="Tahoma"/>
        <family val="0"/>
        <charset val="1"/>
      </rPr>
      <t xml:space="preserve">+ Hold-down clamp </t>
    </r>
    <r>
      <rPr>
        <sz val="8"/>
        <color rgb="FF404040"/>
        <rFont val="FreeSans"/>
        <family val="2"/>
      </rPr>
      <t xml:space="preserve">ทุกจุด</t>
    </r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</si>
  <si>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WBS'!L1277</t>
    </r>
  </si>
  <si>
    <t xml:space="preserve">2.2.2</t>
  </si>
  <si>
    <t xml:space="preserve">    สาย PV + MC4 + ป้ายสาย</t>
  </si>
  <si>
    <t xml:space="preserve">สาย PV ครบทุกสตริง + MC4 + Label ตาม String map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</si>
  <si>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WBS'!L1278</t>
    </r>
  </si>
  <si>
    <t xml:space="preserve">2.2.3</t>
  </si>
  <si>
    <t xml:space="preserve">    ตู้ DC-DB (Fuse + SPD)</t>
  </si>
  <si>
    <t xml:space="preserve">ตู้ DC-DB ครบ: Fuse ทุกสตริง, SPD ถูกชนิด, ป้ายชื่อ, IP65 ถ้าอยู่นอกอาคาร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</si>
  <si>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WBS'!L1279</t>
    </r>
  </si>
  <si>
    <t xml:space="preserve">2.2.4</t>
  </si>
  <si>
    <t xml:space="preserve">    ระบบต่อลงดินโครงแผง (Bonding)</t>
  </si>
  <si>
    <r>
      <rPr>
        <sz val="8"/>
        <color rgb="FF404040"/>
        <rFont val="Tahoma"/>
        <family val="0"/>
        <charset val="1"/>
      </rPr>
      <t xml:space="preserve">Bonding </t>
    </r>
    <r>
      <rPr>
        <sz val="8"/>
        <color rgb="FF404040"/>
        <rFont val="FreeSans"/>
        <family val="2"/>
      </rPr>
      <t xml:space="preserve">ครบ </t>
    </r>
    <r>
      <rPr>
        <sz val="8"/>
        <color rgb="FF404040"/>
        <rFont val="Tahoma"/>
        <family val="0"/>
        <charset val="1"/>
      </rPr>
      <t xml:space="preserve">Rail / Walkway / Ground lug + </t>
    </r>
    <r>
      <rPr>
        <sz val="8"/>
        <color rgb="FF404040"/>
        <rFont val="FreeSans"/>
        <family val="2"/>
      </rPr>
      <t xml:space="preserve">สายดินขนาดตามแบบ </t>
    </r>
    <r>
      <rPr>
        <sz val="8"/>
        <color rgb="FF404040"/>
        <rFont val="Tahoma"/>
        <family val="0"/>
        <charset val="1"/>
      </rPr>
      <t xml:space="preserve">E10</t>
    </r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</si>
  <si>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WBS'!L1280</t>
    </r>
  </si>
  <si>
    <t xml:space="preserve">2.2.5</t>
  </si>
  <si>
    <r>
      <rPr>
        <sz val="8"/>
        <color rgb="FF404040"/>
        <rFont val="Tahoma"/>
        <family val="0"/>
        <charset val="1"/>
      </rPr>
      <t xml:space="preserve">    ICL </t>
    </r>
    <r>
      <rPr>
        <sz val="8"/>
        <color rgb="FF404040"/>
        <rFont val="FreeSans"/>
        <family val="2"/>
      </rPr>
      <t xml:space="preserve">ระบบ </t>
    </r>
    <r>
      <rPr>
        <sz val="8"/>
        <color rgb="FF404040"/>
        <rFont val="Tahoma"/>
        <family val="0"/>
        <charset val="1"/>
      </rPr>
      <t xml:space="preserve">DC (Polarity / Continuity)</t>
    </r>
  </si>
  <si>
    <t xml:space="preserve">ใบ ICL ระบบ DC ลงนาม วศ.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</si>
  <si>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WBS'!L1281</t>
    </r>
  </si>
  <si>
    <t xml:space="preserve">2.3</t>
  </si>
  <si>
    <t xml:space="preserve">ติดตั้งแผงเซลล์แสงอาทิตย์</t>
  </si>
  <si>
    <t xml:space="preserve">ย้อนจาก 2.10 (2 วัน)</t>
  </si>
  <si>
    <t xml:space="preserve">โครงสร้างและ Rail (2.1), สาย PV จากแผงถึงตู้ DC (2.2.2)</t>
  </si>
  <si>
    <t xml:space="preserve">2.3.1</t>
  </si>
  <si>
    <t xml:space="preserve">    แผงถึงจุดติดตั้ง (Lifting plan)</t>
  </si>
  <si>
    <t xml:space="preserve">แผงถึงจุดติดตั้งครบตาม Lifting plan ไม่มีแผงเสียหาย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</si>
  <si>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WBS'!L1282</t>
    </r>
  </si>
  <si>
    <t xml:space="preserve">2.3.2</t>
  </si>
  <si>
    <t xml:space="preserve">    แผงบนโครง (Clamp ตามแรงบิด)</t>
  </si>
  <si>
    <t xml:space="preserve">แผงครบตาม Layout + บันทึกแรงขัน Clamp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</si>
  <si>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WBS'!L1283</t>
    </r>
  </si>
  <si>
    <t xml:space="preserve">2.3.3</t>
  </si>
  <si>
    <r>
      <rPr>
        <sz val="8"/>
        <color rgb="FF404040"/>
        <rFont val="Tahoma"/>
        <family val="0"/>
        <charset val="1"/>
      </rPr>
      <t xml:space="preserve">    String </t>
    </r>
    <r>
      <rPr>
        <sz val="8"/>
        <color rgb="FF404040"/>
        <rFont val="FreeSans"/>
        <family val="2"/>
      </rPr>
      <t xml:space="preserve">ต่อครบตาม </t>
    </r>
    <r>
      <rPr>
        <sz val="8"/>
        <color rgb="FF404040"/>
        <rFont val="Tahoma"/>
        <family val="0"/>
        <charset val="1"/>
      </rPr>
      <t xml:space="preserve">String map</t>
    </r>
  </si>
  <si>
    <t xml:space="preserve">ต่อสายครบทุกสตริงตาม String map, Voc ตรงตามคำนวณ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</si>
  <si>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WBS'!L1284</t>
    </r>
  </si>
  <si>
    <t xml:space="preserve">2.3.4</t>
  </si>
  <si>
    <r>
      <rPr>
        <sz val="8"/>
        <color rgb="FF404040"/>
        <rFont val="Tahoma"/>
        <family val="0"/>
        <charset val="1"/>
      </rPr>
      <t xml:space="preserve">    S/N </t>
    </r>
    <r>
      <rPr>
        <sz val="8"/>
        <color rgb="FF404040"/>
        <rFont val="FreeSans"/>
        <family val="2"/>
      </rPr>
      <t xml:space="preserve">แผง </t>
    </r>
    <r>
      <rPr>
        <sz val="8"/>
        <color rgb="FF404040"/>
        <rFont val="Tahoma"/>
        <family val="0"/>
        <charset val="1"/>
      </rPr>
      <t xml:space="preserve">+ </t>
    </r>
    <r>
      <rPr>
        <sz val="8"/>
        <color rgb="FF404040"/>
        <rFont val="FreeSans"/>
        <family val="2"/>
      </rPr>
      <t xml:space="preserve">ภาพมุมสูง</t>
    </r>
  </si>
  <si>
    <t xml:space="preserve">สแกน S/N ครบทุกแผง + รูปมุมสูง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</si>
  <si>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WBS'!L1285</t>
    </r>
  </si>
  <si>
    <t xml:space="preserve">2.3.5</t>
  </si>
  <si>
    <r>
      <rPr>
        <sz val="8"/>
        <color rgb="FF404040"/>
        <rFont val="Tahoma"/>
        <family val="0"/>
        <charset val="1"/>
      </rPr>
      <t xml:space="preserve">    ICL </t>
    </r>
    <r>
      <rPr>
        <sz val="8"/>
        <color rgb="FF404040"/>
        <rFont val="FreeSans"/>
        <family val="2"/>
      </rPr>
      <t xml:space="preserve">แผง </t>
    </r>
    <r>
      <rPr>
        <sz val="8"/>
        <color rgb="FF404040"/>
        <rFont val="Tahoma"/>
        <family val="0"/>
        <charset val="1"/>
      </rPr>
      <t xml:space="preserve">+ String</t>
    </r>
  </si>
  <si>
    <t xml:space="preserve">ใบ ICL แผงลงนาม วศ.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</si>
  <si>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WBS'!L1286</t>
    </r>
  </si>
  <si>
    <t xml:space="preserve">2.4</t>
  </si>
  <si>
    <t xml:space="preserve">ติดตั้งอุปกรณ์หยุดทำงานฉุกเฉิน (Firefighter Safety Switch)</t>
  </si>
  <si>
    <t xml:space="preserve">วสท. 022013-22</t>
  </si>
  <si>
    <t xml:space="preserve">ตู้ DC-DB (2.2.3), การทดสอบ FTS (3.1.4)</t>
  </si>
  <si>
    <t xml:space="preserve">2.4.1</t>
  </si>
  <si>
    <t xml:space="preserve">    ตู้ FTS-DB (Rapid shutdown)</t>
  </si>
  <si>
    <t xml:space="preserve">ตู้ FTS-DB ครบตาม E11 (4 สตริงต่อ FTS)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</si>
  <si>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WBS'!L1287</t>
    </r>
  </si>
  <si>
    <t xml:space="preserve">2.4.2</t>
  </si>
  <si>
    <t xml:space="preserve">    วงจรควบคุม E-Stop + ป้ายเตือน</t>
  </si>
  <si>
    <t xml:space="preserve">สายควบคุม + E-Stop + ป้ายเตือนครบ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</si>
  <si>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WBS'!L1288</t>
    </r>
  </si>
  <si>
    <t xml:space="preserve">2.5</t>
  </si>
  <si>
    <t xml:space="preserve">ติดตั้ง Inverter</t>
  </si>
  <si>
    <t xml:space="preserve">Inverter 250 kW</t>
  </si>
  <si>
    <t xml:space="preserve">ตู้ AC-DB (2.7.1), สาย AC-DB → MDB (2.6.1), Start-up และตั้งค่า (3.1.5)</t>
  </si>
  <si>
    <t xml:space="preserve">2.5.1</t>
  </si>
  <si>
    <r>
      <rPr>
        <sz val="8"/>
        <color rgb="FF404040"/>
        <rFont val="Tahoma"/>
        <family val="0"/>
        <charset val="1"/>
      </rPr>
      <t xml:space="preserve">    Inverter station (</t>
    </r>
    <r>
      <rPr>
        <sz val="8"/>
        <color rgb="FF404040"/>
        <rFont val="FreeSans"/>
        <family val="2"/>
      </rPr>
      <t xml:space="preserve">ฐาน </t>
    </r>
    <r>
      <rPr>
        <sz val="8"/>
        <color rgb="FF404040"/>
        <rFont val="Tahoma"/>
        <family val="0"/>
        <charset val="1"/>
      </rPr>
      <t xml:space="preserve">/ </t>
    </r>
    <r>
      <rPr>
        <sz val="8"/>
        <color rgb="FF404040"/>
        <rFont val="FreeSans"/>
        <family val="2"/>
      </rPr>
      <t xml:space="preserve">โรงเรือน</t>
    </r>
    <r>
      <rPr>
        <sz val="8"/>
        <color rgb="FF404040"/>
        <rFont val="Tahoma"/>
        <family val="0"/>
        <charset val="1"/>
      </rPr>
      <t xml:space="preserve">)</t>
    </r>
  </si>
  <si>
    <r>
      <rPr>
        <sz val="8"/>
        <color rgb="FF404040"/>
        <rFont val="Tahoma"/>
        <family val="0"/>
        <charset val="1"/>
      </rPr>
      <t xml:space="preserve">Inverter station </t>
    </r>
    <r>
      <rPr>
        <sz val="8"/>
        <color rgb="FF404040"/>
        <rFont val="FreeSans"/>
        <family val="2"/>
      </rPr>
      <t xml:space="preserve">ครบทุกขั้นตามรูปแบบ </t>
    </r>
    <r>
      <rPr>
        <sz val="8"/>
        <color rgb="FF404040"/>
        <rFont val="Tahoma"/>
        <family val="0"/>
        <charset val="1"/>
      </rPr>
      <t xml:space="preserve">(</t>
    </r>
    <r>
      <rPr>
        <sz val="8"/>
        <color rgb="FF404040"/>
        <rFont val="FreeSans"/>
        <family val="2"/>
      </rPr>
      <t xml:space="preserve">ชีต </t>
    </r>
    <r>
      <rPr>
        <sz val="8"/>
        <color rgb="FF404040"/>
        <rFont val="Tahoma"/>
        <family val="0"/>
        <charset val="1"/>
      </rPr>
      <t xml:space="preserve">Inverter station)</t>
    </r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</si>
  <si>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WBS'!L1289</t>
    </r>
  </si>
  <si>
    <t xml:space="preserve">2.5.2</t>
  </si>
  <si>
    <r>
      <rPr>
        <sz val="8"/>
        <color rgb="FF404040"/>
        <rFont val="Tahoma"/>
        <family val="0"/>
        <charset val="1"/>
      </rPr>
      <t xml:space="preserve">    Inverter </t>
    </r>
    <r>
      <rPr>
        <sz val="8"/>
        <color rgb="FF404040"/>
        <rFont val="FreeSans"/>
        <family val="2"/>
      </rPr>
      <t xml:space="preserve">บน </t>
    </r>
    <r>
      <rPr>
        <sz val="8"/>
        <color rgb="FF404040"/>
        <rFont val="Tahoma"/>
        <family val="0"/>
        <charset val="1"/>
      </rPr>
      <t xml:space="preserve">Rack + S/N</t>
    </r>
  </si>
  <si>
    <r>
      <rPr>
        <sz val="8"/>
        <color rgb="FF404040"/>
        <rFont val="Tahoma"/>
        <family val="0"/>
        <charset val="1"/>
      </rPr>
      <t xml:space="preserve">Inverter </t>
    </r>
    <r>
      <rPr>
        <sz val="8"/>
        <color rgb="FF404040"/>
        <rFont val="FreeSans"/>
        <family val="2"/>
      </rPr>
      <t xml:space="preserve">ครบทุกตัว </t>
    </r>
    <r>
      <rPr>
        <sz val="8"/>
        <color rgb="FF404040"/>
        <rFont val="Tahoma"/>
        <family val="0"/>
        <charset val="1"/>
      </rPr>
      <t xml:space="preserve">+ </t>
    </r>
    <r>
      <rPr>
        <sz val="8"/>
        <color rgb="FF404040"/>
        <rFont val="FreeSans"/>
        <family val="2"/>
      </rPr>
      <t xml:space="preserve">สแกน </t>
    </r>
    <r>
      <rPr>
        <sz val="8"/>
        <color rgb="FF404040"/>
        <rFont val="Tahoma"/>
        <family val="0"/>
        <charset val="1"/>
      </rPr>
      <t xml:space="preserve">S/N</t>
    </r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</si>
  <si>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WBS'!L1290</t>
    </r>
  </si>
  <si>
    <t xml:space="preserve">2.5.3</t>
  </si>
  <si>
    <t xml:space="preserve">    สาย AC Inverter → AC-DB</t>
  </si>
  <si>
    <t xml:space="preserve">สาย Inverter → AC-DB ครบ ขันขั้วตามค่า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</si>
  <si>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WBS'!L1291</t>
    </r>
  </si>
  <si>
    <t xml:space="preserve">2.5.4</t>
  </si>
  <si>
    <t xml:space="preserve">    ICL Inverter</t>
  </si>
  <si>
    <t xml:space="preserve">ใบ ICL Inverter ลงนาม วศ.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</si>
  <si>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WBS'!L1292</t>
    </r>
  </si>
  <si>
    <t xml:space="preserve">2.6</t>
  </si>
  <si>
    <t xml:space="preserve">ติดตั้งอุปกรณ์ไฟฟ้าด้าน AC</t>
  </si>
  <si>
    <t xml:space="preserve">ฝั่ง LV</t>
  </si>
  <si>
    <t xml:space="preserve">ตู้ AC-DB / METER-DB (2.7), อุปกรณ์ 22 kV (2.8.2), การเชื่อมจุดต่อในวันดับไฟ (2.10 — 2.6.2 เตรียม Breaker เท่านั้น)</t>
  </si>
  <si>
    <t xml:space="preserve">2.6.1</t>
  </si>
  <si>
    <t xml:space="preserve">    แนวสาย AC ถึงจุดเชื่อม (ท่อ / ราง / สาย)</t>
  </si>
  <si>
    <t xml:space="preserve">แนวท่อ / รางสาย AC ครบ + สายถึงจุดเชื่อม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</si>
  <si>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WBS'!L1293</t>
    </r>
  </si>
  <si>
    <t xml:space="preserve">2.6.2</t>
  </si>
  <si>
    <r>
      <rPr>
        <sz val="8"/>
        <color rgb="FF404040"/>
        <rFont val="Tahoma"/>
        <family val="0"/>
        <charset val="1"/>
      </rPr>
      <t xml:space="preserve">    Breaker / Busbar </t>
    </r>
    <r>
      <rPr>
        <sz val="8"/>
        <color rgb="FF404040"/>
        <rFont val="FreeSans"/>
        <family val="2"/>
      </rPr>
      <t xml:space="preserve">จุดเชื่อม </t>
    </r>
    <r>
      <rPr>
        <sz val="8"/>
        <color rgb="FF404040"/>
        <rFont val="Tahoma"/>
        <family val="0"/>
        <charset val="1"/>
      </rPr>
      <t xml:space="preserve">(</t>
    </r>
    <r>
      <rPr>
        <sz val="8"/>
        <color rgb="FF404040"/>
        <rFont val="FreeSans"/>
        <family val="2"/>
      </rPr>
      <t xml:space="preserve">พร้อมวันดับไฟ</t>
    </r>
    <r>
      <rPr>
        <sz val="8"/>
        <color rgb="FF404040"/>
        <rFont val="Tahoma"/>
        <family val="0"/>
        <charset val="1"/>
      </rPr>
      <t xml:space="preserve">)</t>
    </r>
  </si>
  <si>
    <r>
      <rPr>
        <sz val="8"/>
        <color rgb="FF404040"/>
        <rFont val="Tahoma"/>
        <family val="0"/>
        <charset val="1"/>
      </rPr>
      <t xml:space="preserve">Breaker / Busbar </t>
    </r>
    <r>
      <rPr>
        <sz val="8"/>
        <color rgb="FF404040"/>
        <rFont val="FreeSans"/>
        <family val="2"/>
      </rPr>
      <t xml:space="preserve">พร้อมติดตั้งในวันดับไฟ</t>
    </r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</si>
  <si>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WBS'!L1294</t>
    </r>
  </si>
  <si>
    <t xml:space="preserve">2.6.3</t>
  </si>
  <si>
    <t xml:space="preserve">    ระบบดินฝั่ง AC (&lt; 5 Ω)</t>
  </si>
  <si>
    <t xml:space="preserve">ผลวัดค่าดิน &lt; 5 Ω (บันทึกค่า)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</si>
  <si>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WBS'!L1295</t>
    </r>
  </si>
  <si>
    <t xml:space="preserve">2.6.4</t>
  </si>
  <si>
    <t xml:space="preserve">    ไฟแสงสว่าง + เต้ารับ Inverter station</t>
  </si>
  <si>
    <t xml:space="preserve">ไฟแสงสว่าง / เต้ารับ Inverter station ใช้งานได้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</si>
  <si>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WBS'!L1296</t>
    </r>
  </si>
  <si>
    <t xml:space="preserve">2.6.5</t>
  </si>
  <si>
    <r>
      <rPr>
        <sz val="8"/>
        <color rgb="FF404040"/>
        <rFont val="Tahoma"/>
        <family val="0"/>
        <charset val="1"/>
      </rPr>
      <t xml:space="preserve">    ICL </t>
    </r>
    <r>
      <rPr>
        <sz val="8"/>
        <color rgb="FF404040"/>
        <rFont val="FreeSans"/>
        <family val="2"/>
      </rPr>
      <t xml:space="preserve">ระบบ </t>
    </r>
    <r>
      <rPr>
        <sz val="8"/>
        <color rgb="FF404040"/>
        <rFont val="Tahoma"/>
        <family val="0"/>
        <charset val="1"/>
      </rPr>
      <t xml:space="preserve">AC</t>
    </r>
  </si>
  <si>
    <t xml:space="preserve">ใบ ICL ระบบ AC + ผลวัดค่าดิน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</si>
  <si>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WBS'!L1297</t>
    </r>
  </si>
  <si>
    <t xml:space="preserve">2.7</t>
  </si>
  <si>
    <t xml:space="preserve">ติดตั้งตู้ควบคุมระบบไฟฟ้า Solar Rooftop</t>
  </si>
  <si>
    <r>
      <rPr>
        <sz val="9"/>
        <rFont val="Tahoma"/>
        <family val="0"/>
        <charset val="1"/>
      </rPr>
      <t xml:space="preserve">Breaker </t>
    </r>
    <r>
      <rPr>
        <sz val="9"/>
        <rFont val="FreeSans"/>
        <family val="2"/>
      </rPr>
      <t xml:space="preserve">ใน </t>
    </r>
    <r>
      <rPr>
        <sz val="9"/>
        <rFont val="Tahoma"/>
        <family val="0"/>
        <charset val="1"/>
      </rPr>
      <t xml:space="preserve">MDB </t>
    </r>
    <r>
      <rPr>
        <sz val="9"/>
        <rFont val="FreeSans"/>
        <family val="2"/>
      </rPr>
      <t xml:space="preserve">เดิม </t>
    </r>
    <r>
      <rPr>
        <sz val="9"/>
        <rFont val="Tahoma"/>
        <family val="0"/>
        <charset val="1"/>
      </rPr>
      <t xml:space="preserve">(2.6.2), PQM / Zero export controller (2.8.3)</t>
    </r>
  </si>
  <si>
    <t xml:space="preserve">2.7.1</t>
  </si>
  <si>
    <t xml:space="preserve">    ตู้ AC-DB (MCCB, ELR, SPD, DPM)</t>
  </si>
  <si>
    <t xml:space="preserve">ตู้ AC-DB ครบ: MCCB, ELR, SPD, DPM + ป้ายชื่อ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</si>
  <si>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WBS'!L1298</t>
    </r>
  </si>
  <si>
    <t xml:space="preserve">2.7.2</t>
  </si>
  <si>
    <t xml:space="preserve">    ตู้ METER-DB (Revenue meter + CT 0.5S)</t>
  </si>
  <si>
    <t xml:space="preserve">ตู้ METER-DB + Revenue meter + VPN ครบตาม E16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</si>
  <si>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WBS'!L1299</t>
    </r>
  </si>
  <si>
    <t xml:space="preserve">2.7.3</t>
  </si>
  <si>
    <r>
      <rPr>
        <sz val="8"/>
        <color rgb="FF404040"/>
        <rFont val="Tahoma"/>
        <family val="0"/>
        <charset val="1"/>
      </rPr>
      <t xml:space="preserve">    ICL </t>
    </r>
    <r>
      <rPr>
        <sz val="8"/>
        <color rgb="FF404040"/>
        <rFont val="FreeSans"/>
        <family val="2"/>
      </rPr>
      <t xml:space="preserve">ตู้ </t>
    </r>
    <r>
      <rPr>
        <sz val="8"/>
        <color rgb="FF404040"/>
        <rFont val="Tahoma"/>
        <family val="0"/>
        <charset val="1"/>
      </rPr>
      <t xml:space="preserve">AC-DB / METER-DB</t>
    </r>
  </si>
  <si>
    <t xml:space="preserve">ใบ ICL ตู้ควบคุมลงนาม วศ.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</si>
  <si>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WBS'!L1300</t>
    </r>
  </si>
  <si>
    <t xml:space="preserve">2.8</t>
  </si>
  <si>
    <t xml:space="preserve">ระบบสื่อสาร + ป้องกันไฟไหลย้อน (Zero Export Controller)</t>
  </si>
  <si>
    <t xml:space="preserve">Zero export LV</t>
  </si>
  <si>
    <t xml:space="preserve">ย้อนจาก 2.10 (1 วัน)</t>
  </si>
  <si>
    <t xml:space="preserve">ตู้ METER-DB (2.7.2), Data logger และการเชื่อม Data center (2.9), การทดสอบ Zero export (3.1.5)</t>
  </si>
  <si>
    <t xml:space="preserve">2.8.1</t>
  </si>
  <si>
    <t xml:space="preserve">    ◆ อนุญาตเข้าทำงานเสา 22 kV (กฟภ.) (ไม่เกี่ยวกับสถานีนี้)</t>
  </si>
  <si>
    <t xml:space="preserve">2.8.2</t>
  </si>
  <si>
    <t xml:space="preserve">    ชุดอุปกรณ์กันย้อน 22 kV บนเสา (E18) (ไม่เกี่ยวกับสถานีนี้)</t>
  </si>
  <si>
    <t xml:space="preserve">อุปกรณ์บนเสา 22 kV ครบตาม E18, หลักดิน HV / LV ตามระยะ</t>
  </si>
  <si>
    <t xml:space="preserve">2.8.6</t>
  </si>
  <si>
    <r>
      <rPr>
        <sz val="8"/>
        <color rgb="FF404040"/>
        <rFont val="Tahoma"/>
        <family val="0"/>
        <charset val="1"/>
      </rPr>
      <t xml:space="preserve">    CT </t>
    </r>
    <r>
      <rPr>
        <sz val="8"/>
        <color rgb="FF404040"/>
        <rFont val="FreeSans"/>
        <family val="2"/>
      </rPr>
      <t xml:space="preserve">กันย้อน </t>
    </r>
    <r>
      <rPr>
        <sz val="8"/>
        <color rgb="FF404040"/>
        <rFont val="Tahoma"/>
        <family val="0"/>
        <charset val="1"/>
      </rPr>
      <t xml:space="preserve">+ Relay </t>
    </r>
    <r>
      <rPr>
        <sz val="8"/>
        <color rgb="FF404040"/>
        <rFont val="FreeSans"/>
        <family val="2"/>
      </rPr>
      <t xml:space="preserve">ฝั่ง </t>
    </r>
    <r>
      <rPr>
        <sz val="8"/>
        <color rgb="FF404040"/>
        <rFont val="Tahoma"/>
        <family val="0"/>
        <charset val="1"/>
      </rPr>
      <t xml:space="preserve">LV (E17)</t>
    </r>
  </si>
  <si>
    <r>
      <rPr>
        <sz val="8"/>
        <color rgb="FF404040"/>
        <rFont val="Tahoma"/>
        <family val="0"/>
        <charset val="1"/>
      </rPr>
      <t xml:space="preserve">CT </t>
    </r>
    <r>
      <rPr>
        <sz val="8"/>
        <color rgb="FF404040"/>
        <rFont val="FreeSans"/>
        <family val="2"/>
      </rPr>
      <t xml:space="preserve">กันย้อนที่ </t>
    </r>
    <r>
      <rPr>
        <sz val="8"/>
        <color rgb="FF404040"/>
        <rFont val="Tahoma"/>
        <family val="0"/>
        <charset val="1"/>
      </rPr>
      <t xml:space="preserve">MDB </t>
    </r>
    <r>
      <rPr>
        <sz val="8"/>
        <color rgb="FF404040"/>
        <rFont val="FreeSans"/>
        <family val="2"/>
      </rPr>
      <t xml:space="preserve">เดิม </t>
    </r>
    <r>
      <rPr>
        <sz val="8"/>
        <color rgb="FF404040"/>
        <rFont val="Tahoma"/>
        <family val="0"/>
        <charset val="1"/>
      </rPr>
      <t xml:space="preserve">+ Relay </t>
    </r>
    <r>
      <rPr>
        <sz val="8"/>
        <color rgb="FF404040"/>
        <rFont val="FreeSans"/>
        <family val="2"/>
      </rPr>
      <t xml:space="preserve">ครบ </t>
    </r>
    <r>
      <rPr>
        <sz val="8"/>
        <color rgb="FF404040"/>
        <rFont val="Tahoma"/>
        <family val="0"/>
        <charset val="1"/>
      </rPr>
      <t xml:space="preserve">(</t>
    </r>
    <r>
      <rPr>
        <sz val="8"/>
        <color rgb="FF404040"/>
        <rFont val="FreeSans"/>
        <family val="2"/>
      </rPr>
      <t xml:space="preserve">ทิศ </t>
    </r>
    <r>
      <rPr>
        <sz val="8"/>
        <color rgb="FF404040"/>
        <rFont val="Tahoma"/>
        <family val="0"/>
        <charset val="1"/>
      </rPr>
      <t xml:space="preserve">CT </t>
    </r>
    <r>
      <rPr>
        <sz val="8"/>
        <color rgb="FF404040"/>
        <rFont val="FreeSans"/>
        <family val="2"/>
      </rPr>
      <t xml:space="preserve">ถูก</t>
    </r>
    <r>
      <rPr>
        <sz val="8"/>
        <color rgb="FF404040"/>
        <rFont val="Tahoma"/>
        <family val="0"/>
        <charset val="1"/>
      </rPr>
      <t xml:space="preserve">)</t>
    </r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</si>
  <si>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WBS'!L1301</t>
    </r>
  </si>
  <si>
    <t xml:space="preserve">2.8.3</t>
  </si>
  <si>
    <t xml:space="preserve">    ตู้ PQM / Smart Energy Manager</t>
  </si>
  <si>
    <t xml:space="preserve">ตู้ PQM / SEM ครบ อ่านค่าได้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</si>
  <si>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WBS'!L1302</t>
    </r>
  </si>
  <si>
    <t xml:space="preserve">2.8.4</t>
  </si>
  <si>
    <t xml:space="preserve">    เครือข่ายสื่อสาร (Fiber / CAT6 / RS485 / VPN)</t>
  </si>
  <si>
    <t xml:space="preserve">สื่อสารถึง Inverter / มิเตอร์ครบ ทดสอบ ping ได้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</si>
  <si>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WBS'!L1303</t>
    </r>
  </si>
  <si>
    <t xml:space="preserve">2.8.5</t>
  </si>
  <si>
    <r>
      <rPr>
        <sz val="8"/>
        <color rgb="FF404040"/>
        <rFont val="Tahoma"/>
        <family val="0"/>
        <charset val="1"/>
      </rPr>
      <t xml:space="preserve">    ICL </t>
    </r>
    <r>
      <rPr>
        <sz val="8"/>
        <color rgb="FF404040"/>
        <rFont val="FreeSans"/>
        <family val="2"/>
      </rPr>
      <t xml:space="preserve">กันย้อน </t>
    </r>
    <r>
      <rPr>
        <sz val="8"/>
        <color rgb="FF404040"/>
        <rFont val="Tahoma"/>
        <family val="0"/>
        <charset val="1"/>
      </rPr>
      <t xml:space="preserve">+ </t>
    </r>
    <r>
      <rPr>
        <sz val="8"/>
        <color rgb="FF404040"/>
        <rFont val="FreeSans"/>
        <family val="2"/>
      </rPr>
      <t xml:space="preserve">สื่อสาร</t>
    </r>
  </si>
  <si>
    <t xml:space="preserve">ใบ ICL กันย้อนลงนาม วศ.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</si>
  <si>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WBS'!L1304</t>
    </r>
  </si>
  <si>
    <t xml:space="preserve">2.9</t>
  </si>
  <si>
    <t xml:space="preserve">ระบบประมวลผลการผลิตไฟฟ้า (Solar Monitoring)</t>
  </si>
  <si>
    <t xml:space="preserve">อุปกรณ์สื่อสาร Fiber/VPN (2.8.4), Monitoring ออนระบบหลัง COD (3.2.7)</t>
  </si>
  <si>
    <t xml:space="preserve">2.9.1</t>
  </si>
  <si>
    <r>
      <rPr>
        <sz val="8"/>
        <color rgb="FF404040"/>
        <rFont val="Tahoma"/>
        <family val="0"/>
        <charset val="1"/>
      </rPr>
      <t xml:space="preserve">    Data logger </t>
    </r>
    <r>
      <rPr>
        <sz val="8"/>
        <color rgb="FF404040"/>
        <rFont val="FreeSans"/>
        <family val="2"/>
      </rPr>
      <t xml:space="preserve">เชื่อม </t>
    </r>
    <r>
      <rPr>
        <sz val="8"/>
        <color rgb="FF404040"/>
        <rFont val="Tahoma"/>
        <family val="0"/>
        <charset val="1"/>
      </rPr>
      <t xml:space="preserve">Data center </t>
    </r>
    <r>
      <rPr>
        <sz val="8"/>
        <color rgb="FF404040"/>
        <rFont val="FreeSans"/>
        <family val="2"/>
      </rPr>
      <t xml:space="preserve">กปภ</t>
    </r>
    <r>
      <rPr>
        <sz val="8"/>
        <color rgb="FF404040"/>
        <rFont val="Tahoma"/>
        <family val="0"/>
        <charset val="1"/>
      </rPr>
      <t xml:space="preserve">.</t>
    </r>
  </si>
  <si>
    <r>
      <rPr>
        <sz val="8"/>
        <color rgb="FF404040"/>
        <rFont val="Tahoma"/>
        <family val="0"/>
        <charset val="1"/>
      </rPr>
      <t xml:space="preserve">Data logger </t>
    </r>
    <r>
      <rPr>
        <sz val="8"/>
        <color rgb="FF404040"/>
        <rFont val="FreeSans"/>
        <family val="2"/>
      </rPr>
      <t xml:space="preserve">ส่งข้อมูลถึง </t>
    </r>
    <r>
      <rPr>
        <sz val="8"/>
        <color rgb="FF404040"/>
        <rFont val="Tahoma"/>
        <family val="0"/>
        <charset val="1"/>
      </rPr>
      <t xml:space="preserve">Data center </t>
    </r>
    <r>
      <rPr>
        <sz val="8"/>
        <color rgb="FF404040"/>
        <rFont val="FreeSans"/>
        <family val="2"/>
      </rPr>
      <t xml:space="preserve">กปภ</t>
    </r>
    <r>
      <rPr>
        <sz val="8"/>
        <color rgb="FF404040"/>
        <rFont val="Tahoma"/>
        <family val="0"/>
        <charset val="1"/>
      </rPr>
      <t xml:space="preserve">.</t>
    </r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</si>
  <si>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WBS'!L1305</t>
    </r>
  </si>
  <si>
    <t xml:space="preserve">2.9.2</t>
  </si>
  <si>
    <t xml:space="preserve">    ผลทดสอบส่งข้อมูลมิเตอร์ / Inverter</t>
  </si>
  <si>
    <t xml:space="preserve">ข้อมูล Inverter / Revenue meter / PQ meter ขึ้นครบ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</si>
  <si>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WBS'!L1306</t>
    </r>
  </si>
  <si>
    <t xml:space="preserve">2.9.3</t>
  </si>
  <si>
    <r>
      <rPr>
        <sz val="8"/>
        <color rgb="FF404040"/>
        <rFont val="Tahoma"/>
        <family val="0"/>
        <charset val="1"/>
      </rPr>
      <t xml:space="preserve">    Weather station (Irradiance + </t>
    </r>
    <r>
      <rPr>
        <sz val="8"/>
        <color rgb="FF404040"/>
        <rFont val="FreeSans"/>
        <family val="2"/>
      </rPr>
      <t xml:space="preserve">อุณหภูมิแผง</t>
    </r>
    <r>
      <rPr>
        <sz val="8"/>
        <color rgb="FF404040"/>
        <rFont val="Tahoma"/>
        <family val="0"/>
        <charset val="1"/>
      </rPr>
      <t xml:space="preserve">)</t>
    </r>
  </si>
  <si>
    <t xml:space="preserve">ค่าแสง / อุณหภูมิแผงขึ้นใน Data logger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</si>
  <si>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WBS'!L1307</t>
    </r>
  </si>
  <si>
    <t xml:space="preserve">2.10</t>
  </si>
  <si>
    <t xml:space="preserve">ระบบเชื่อมกับ MDB แล้ว และจ่ายไฟคืนได้ (Tie-in)</t>
  </si>
  <si>
    <t xml:space="preserve">งานติดตั้งก่อนวันดับไฟ (2.1–2.9), ขนานไฟกับ กฟภ. (1.7.6) — Tie-in คือเชื่อมกับระบบของสถานี ไม่ใช่การได้ COD</t>
  </si>
  <si>
    <t xml:space="preserve">R05, R07</t>
  </si>
  <si>
    <t xml:space="preserve">2.10.1</t>
  </si>
  <si>
    <t xml:space="preserve">    จุดต่อร่วมกับ MDB (ดับไฟ + LOTO)</t>
  </si>
  <si>
    <t xml:space="preserve">เชื่อมจุดต่อร่วมเสร็จในเวลาดับไฟ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</si>
  <si>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WBS'!L1308</t>
    </r>
  </si>
  <si>
    <t xml:space="preserve">2.10.2</t>
  </si>
  <si>
    <t xml:space="preserve">    ระบบจ่ายไฟคืน (ลำดับเฟส / แรงดันถูกต้อง)</t>
  </si>
  <si>
    <t xml:space="preserve">จ่ายไฟคืน + ลำดับเฟส / แรงดันถูก บันทึกค่า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</si>
  <si>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WBS'!L1309</t>
    </r>
  </si>
  <si>
    <t xml:space="preserve">3</t>
  </si>
  <si>
    <r>
      <rPr>
        <b val="true"/>
        <sz val="9"/>
        <rFont val="Tahoma"/>
        <family val="0"/>
        <charset val="1"/>
      </rPr>
      <t xml:space="preserve">Part </t>
    </r>
    <r>
      <rPr>
        <b val="true"/>
        <sz val="9"/>
        <rFont val="FreeSans"/>
        <family val="2"/>
      </rPr>
      <t xml:space="preserve">การทดสอบ ส่งมอบ และ </t>
    </r>
    <r>
      <rPr>
        <b val="true"/>
        <sz val="9"/>
        <rFont val="Tahoma"/>
        <family val="0"/>
        <charset val="1"/>
      </rPr>
      <t xml:space="preserve">PAC</t>
    </r>
  </si>
  <si>
    <t xml:space="preserve">3.1</t>
  </si>
  <si>
    <t xml:space="preserve">ทดสอบการทำงานของระบบผลิตไฟฟ้า (Pre-Commissioning / IEC 62446)</t>
  </si>
  <si>
    <t xml:space="preserve">งานติดตั้ง/แก้ไขที่พบจากการทดสอบ (นับในงาน 2.x เดิม), การตรวจระบบของ กฟภ. เพื่อขนานไฟ (1.7.5–1.7.6)</t>
  </si>
  <si>
    <t xml:space="preserve">R07, R13</t>
  </si>
  <si>
    <t xml:space="preserve">3.1.1</t>
  </si>
  <si>
    <t xml:space="preserve">    Mechanical completion + Punch list A</t>
  </si>
  <si>
    <r>
      <rPr>
        <sz val="8"/>
        <color rgb="FF404040"/>
        <rFont val="Tahoma"/>
        <family val="0"/>
        <charset val="1"/>
      </rPr>
      <t xml:space="preserve">Walk-down </t>
    </r>
    <r>
      <rPr>
        <sz val="8"/>
        <color rgb="FF404040"/>
        <rFont val="FreeSans"/>
        <family val="2"/>
      </rPr>
      <t xml:space="preserve">ลงนาม</t>
    </r>
    <r>
      <rPr>
        <sz val="8"/>
        <color rgb="FF404040"/>
        <rFont val="Tahoma"/>
        <family val="0"/>
        <charset val="1"/>
      </rPr>
      <t xml:space="preserve">, Punch list A </t>
    </r>
    <r>
      <rPr>
        <sz val="8"/>
        <color rgb="FF404040"/>
        <rFont val="FreeSans"/>
        <family val="2"/>
      </rPr>
      <t xml:space="preserve">ปิดครบ</t>
    </r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</si>
  <si>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WBS'!L1310</t>
    </r>
  </si>
  <si>
    <t xml:space="preserve">3.1.2</t>
  </si>
  <si>
    <t xml:space="preserve">    ผล IEC 62446 ก่อนเชื่อม (ราย String)</t>
  </si>
  <si>
    <t xml:space="preserve">ผล IEC 62446 ก่อนเชื่อม ครบทุก String (แอป IEC ขั้น 2)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</si>
  <si>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WBS'!L1311</t>
    </r>
  </si>
  <si>
    <t xml:space="preserve">3.1.3</t>
  </si>
  <si>
    <t xml:space="preserve">    รายงาน Thermography แผง</t>
  </si>
  <si>
    <t xml:space="preserve">รายงาน Thermography แผง 100%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</si>
  <si>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WBS'!L1312</t>
    </r>
  </si>
  <si>
    <t xml:space="preserve">3.1.4</t>
  </si>
  <si>
    <t xml:space="preserve">    ผลทดสอบ FTS / ELR / Shunt trip</t>
  </si>
  <si>
    <t xml:space="preserve">ผลทดสอบ FTS / ELR / Shunt trip / SPD ผ่าน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</si>
  <si>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WBS'!L1313</t>
    </r>
  </si>
  <si>
    <t xml:space="preserve">3.1.5</t>
  </si>
  <si>
    <t xml:space="preserve">    ผล Start-up + Zero export / Anti-islanding</t>
  </si>
  <si>
    <t xml:space="preserve">ผล Start-up + ทดสอบ Zero export / Anti-islanding ผ่าน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</si>
  <si>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WBS'!L1314</t>
    </r>
  </si>
  <si>
    <t xml:space="preserve">3.1.6</t>
  </si>
  <si>
    <t xml:space="preserve">    ผล IEC หลังเชื่อม + ผลผลิต 7 วัน</t>
  </si>
  <si>
    <t xml:space="preserve">ผล IEC หลังเชื่อม + ผลการผลิต 7 วัน, ทีมกดปิดการทดสอบ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</si>
  <si>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WBS'!L1315</t>
    </r>
  </si>
  <si>
    <t xml:space="preserve">3.1.7</t>
  </si>
  <si>
    <t xml:space="preserve">◆ ตรวจรับตามนัด (กปภ. / กฟภ.)</t>
  </si>
  <si>
    <t xml:space="preserve">R04, R07, R13</t>
  </si>
  <si>
    <t xml:space="preserve">3.1.8</t>
  </si>
  <si>
    <t xml:space="preserve">แบบ As-built + รายการคำนวณ</t>
  </si>
  <si>
    <t xml:space="preserve">R07, R09, R13</t>
  </si>
  <si>
    <t xml:space="preserve">3.2</t>
  </si>
  <si>
    <t xml:space="preserve">อบรมการใช้งาน, ส่งมอบงาน, PAC</t>
  </si>
  <si>
    <t xml:space="preserve">3.2.7, 3.2.6</t>
  </si>
  <si>
    <t xml:space="preserve">การทดสอบ (3.1), การรับประกันหลัง PAC (4.1)</t>
  </si>
  <si>
    <t xml:space="preserve">3.2.1</t>
  </si>
  <si>
    <t xml:space="preserve">    การอบรมเจ้าหน้าที่ กปภ.</t>
  </si>
  <si>
    <t xml:space="preserve">บันทึกการอบรม + รายชื่อผู้เข้าอบรม</t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</si>
  <si>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WBS'!L1316</t>
    </r>
  </si>
  <si>
    <t xml:space="preserve">3.2.2</t>
  </si>
  <si>
    <t xml:space="preserve">    ชุดเอกสารส่งมอบ (Handover pack)</t>
  </si>
  <si>
    <r>
      <rPr>
        <sz val="8"/>
        <color rgb="FF404040"/>
        <rFont val="Tahoma"/>
        <family val="0"/>
        <charset val="1"/>
      </rPr>
      <t xml:space="preserve">Handover pack </t>
    </r>
    <r>
      <rPr>
        <sz val="8"/>
        <color rgb="FF404040"/>
        <rFont val="FreeSans"/>
        <family val="2"/>
      </rPr>
      <t xml:space="preserve">ครบตามโฟลเดอร์ส่งมอบ </t>
    </r>
    <r>
      <rPr>
        <sz val="8"/>
        <color rgb="FF404040"/>
        <rFont val="Tahoma"/>
        <family val="0"/>
        <charset val="1"/>
      </rPr>
      <t xml:space="preserve">1–4 + </t>
    </r>
    <r>
      <rPr>
        <sz val="8"/>
        <color rgb="FF404040"/>
        <rFont val="FreeSans"/>
        <family val="2"/>
      </rPr>
      <t xml:space="preserve">กปภ</t>
    </r>
    <r>
      <rPr>
        <sz val="8"/>
        <color rgb="FF404040"/>
        <rFont val="Tahoma"/>
        <family val="0"/>
        <charset val="1"/>
      </rPr>
      <t xml:space="preserve">. </t>
    </r>
    <r>
      <rPr>
        <sz val="8"/>
        <color rgb="FF404040"/>
        <rFont val="FreeSans"/>
        <family val="2"/>
      </rPr>
      <t xml:space="preserve">รับเอกสาร</t>
    </r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</si>
  <si>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WBS'!L1317</t>
    </r>
  </si>
  <si>
    <t xml:space="preserve">3.2.3</t>
  </si>
  <si>
    <r>
      <rPr>
        <sz val="8"/>
        <color rgb="FF404040"/>
        <rFont val="Tahoma"/>
        <family val="0"/>
        <charset val="1"/>
      </rPr>
      <t xml:space="preserve">    PAC (</t>
    </r>
    <r>
      <rPr>
        <sz val="8"/>
        <color rgb="FF404040"/>
        <rFont val="FreeSans"/>
        <family val="2"/>
      </rPr>
      <t xml:space="preserve">หนังสือรับมอบชั่วคราว</t>
    </r>
    <r>
      <rPr>
        <sz val="8"/>
        <color rgb="FF404040"/>
        <rFont val="Tahoma"/>
        <family val="0"/>
        <charset val="1"/>
      </rPr>
      <t xml:space="preserve">)</t>
    </r>
  </si>
  <si>
    <r>
      <rPr>
        <sz val="8"/>
        <color rgb="FF404040"/>
        <rFont val="Tahoma"/>
        <family val="0"/>
        <charset val="1"/>
      </rPr>
      <t xml:space="preserve">PAC </t>
    </r>
    <r>
      <rPr>
        <sz val="8"/>
        <color rgb="FF404040"/>
        <rFont val="FreeSans"/>
        <family val="2"/>
      </rPr>
      <t xml:space="preserve">ลงนาม</t>
    </r>
  </si>
  <si>
    <r>
      <rPr>
        <b val="true"/>
        <sz val="9"/>
        <color rgb="FF375623"/>
        <rFont val="Tahoma"/>
        <family val="0"/>
        <charset val="1"/>
      </rPr>
      <t xml:space="preserve">'</t>
    </r>
    <r>
      <rPr>
        <b val="true"/>
        <sz val="9"/>
        <color rgb="FF375623"/>
        <rFont val="FreeSans"/>
        <family val="2"/>
      </rPr>
      <t xml:space="preserve">อัปเดตงาน </t>
    </r>
    <r>
      <rPr>
        <b val="true"/>
        <sz val="9"/>
        <color rgb="FF375623"/>
        <rFont val="Tahoma"/>
        <family val="0"/>
        <charset val="1"/>
      </rPr>
      <t xml:space="preserve">WBS'!L1318</t>
    </r>
  </si>
  <si>
    <t xml:space="preserve">3.2.4</t>
  </si>
  <si>
    <t xml:space="preserve">เอกสารส่งมอบงวดงาน</t>
  </si>
  <si>
    <t xml:space="preserve">R09</t>
  </si>
  <si>
    <t xml:space="preserve">3.2.5</t>
  </si>
  <si>
    <r>
      <rPr>
        <sz val="9"/>
        <rFont val="Tahoma"/>
        <family val="0"/>
        <charset val="1"/>
      </rPr>
      <t xml:space="preserve">C-Form </t>
    </r>
    <r>
      <rPr>
        <sz val="9"/>
        <rFont val="FreeSans"/>
        <family val="2"/>
      </rPr>
      <t xml:space="preserve">ภาคผนวก ข</t>
    </r>
    <r>
      <rPr>
        <sz val="9"/>
        <rFont val="Tahoma"/>
        <family val="0"/>
        <charset val="1"/>
      </rPr>
      <t xml:space="preserve">.</t>
    </r>
  </si>
  <si>
    <t xml:space="preserve">3.2.6</t>
  </si>
  <si>
    <r>
      <rPr>
        <sz val="9"/>
        <rFont val="Tahoma"/>
        <family val="0"/>
        <charset val="1"/>
      </rPr>
      <t xml:space="preserve">C-Form </t>
    </r>
    <r>
      <rPr>
        <sz val="9"/>
        <rFont val="FreeSans"/>
        <family val="2"/>
      </rPr>
      <t xml:space="preserve">ภาคผนวก ก</t>
    </r>
    <r>
      <rPr>
        <sz val="9"/>
        <rFont val="Tahoma"/>
        <family val="0"/>
        <charset val="1"/>
      </rPr>
      <t xml:space="preserve">.</t>
    </r>
  </si>
  <si>
    <t xml:space="preserve">3.2.7</t>
  </si>
  <si>
    <t xml:space="preserve">ข้อมูลขึ้นระบบ Monitoring (หลัง COD)</t>
  </si>
  <si>
    <t xml:space="preserve">จุดติดตั้งของสถานีนี้ แยกตามประเภทหน้างาน</t>
  </si>
  <si>
    <r>
      <rPr>
        <b val="true"/>
        <u val="single"/>
        <sz val="10"/>
        <color rgb="FF0563C1"/>
        <rFont val="FreeSans"/>
        <family val="2"/>
      </rPr>
      <t xml:space="preserve">✎ เพิ่ม </t>
    </r>
    <r>
      <rPr>
        <b val="true"/>
        <u val="single"/>
        <sz val="10"/>
        <color rgb="FF0563C1"/>
        <rFont val="Tahoma"/>
        <family val="0"/>
        <charset val="1"/>
      </rPr>
      <t xml:space="preserve">/ </t>
    </r>
    <r>
      <rPr>
        <b val="true"/>
        <u val="single"/>
        <sz val="10"/>
        <color rgb="FF0563C1"/>
        <rFont val="FreeSans"/>
        <family val="2"/>
      </rPr>
      <t xml:space="preserve">แก้จุดติดตั้ง →</t>
    </r>
  </si>
  <si>
    <t xml:space="preserve">ประเภทหน้างาน</t>
  </si>
  <si>
    <t xml:space="preserve">จุด</t>
  </si>
  <si>
    <t xml:space="preserve">แผง</t>
  </si>
  <si>
    <t xml:space="preserve">kWp</t>
  </si>
  <si>
    <r>
      <rPr>
        <b val="true"/>
        <sz val="8"/>
        <color rgb="FFFFFFFF"/>
        <rFont val="Tahoma"/>
        <family val="0"/>
        <charset val="1"/>
      </rPr>
      <t xml:space="preserve">2.1 </t>
    </r>
    <r>
      <rPr>
        <b val="true"/>
        <sz val="8"/>
        <color rgb="FFFFFFFF"/>
        <rFont val="FreeSans"/>
        <family val="2"/>
      </rPr>
      <t xml:space="preserve">โครงสร้าง</t>
    </r>
  </si>
  <si>
    <r>
      <rPr>
        <b val="true"/>
        <sz val="8"/>
        <color rgb="FFFFFFFF"/>
        <rFont val="Tahoma"/>
        <family val="0"/>
        <charset val="1"/>
      </rPr>
      <t xml:space="preserve">2.2 DC </t>
    </r>
    <r>
      <rPr>
        <b val="true"/>
        <sz val="8"/>
        <color rgb="FFFFFFFF"/>
        <rFont val="FreeSans"/>
        <family val="2"/>
      </rPr>
      <t xml:space="preserve">เสร็จ</t>
    </r>
  </si>
  <si>
    <r>
      <rPr>
        <b val="true"/>
        <sz val="8"/>
        <color rgb="FFFFFFFF"/>
        <rFont val="Tahoma"/>
        <family val="0"/>
        <charset val="1"/>
      </rPr>
      <t xml:space="preserve">2.3 </t>
    </r>
    <r>
      <rPr>
        <b val="true"/>
        <sz val="8"/>
        <color rgb="FFFFFFFF"/>
        <rFont val="FreeSans"/>
        <family val="2"/>
      </rPr>
      <t xml:space="preserve">แผงเสร็จ</t>
    </r>
  </si>
  <si>
    <t xml:space="preserve">บันไดต้องติด</t>
  </si>
  <si>
    <t xml:space="preserve">แบบมาตรฐาน</t>
  </si>
  <si>
    <t xml:space="preserve">หลังคาลอนคู่</t>
  </si>
  <si>
    <t xml:space="preserve">C09, C16</t>
  </si>
  <si>
    <t xml:space="preserve">หลังคาเมทัลชีท</t>
  </si>
  <si>
    <t xml:space="preserve">C17, C16</t>
  </si>
  <si>
    <t xml:space="preserve">หลังคา</t>
  </si>
  <si>
    <t xml:space="preserve">C09 / C17, C16</t>
  </si>
  <si>
    <t xml:space="preserve">ถังน้ำใส</t>
  </si>
  <si>
    <t xml:space="preserve">C15</t>
  </si>
  <si>
    <t xml:space="preserve">ถังดินกลบ</t>
  </si>
  <si>
    <t xml:space="preserve">0/1</t>
  </si>
  <si>
    <t xml:space="preserve">STEEL SUPPORT</t>
  </si>
  <si>
    <t xml:space="preserve">Carport</t>
  </si>
  <si>
    <t xml:space="preserve">แบบเฉพาะสถานี</t>
  </si>
  <si>
    <t xml:space="preserve">รวม</t>
  </si>
  <si>
    <t xml:space="preserve">ประมาณการ (ยังไม่สำรวจ) = planning package: % คิดที่ระดับ 3 ในชีตนี้ (PMBOK 5.4.2.2 rolling wave), ระบุแล้ว = % งาน 2.1 / 2.2 / 2.3 ของสถานีคำนวณจากจุดติดตั้ง</t>
  </si>
  <si>
    <r>
      <rPr>
        <b val="true"/>
        <sz val="12"/>
        <color rgb="FF1F4E78"/>
        <rFont val="Tahoma"/>
        <family val="0"/>
        <charset val="1"/>
      </rPr>
      <t xml:space="preserve">Inverter station (</t>
    </r>
    <r>
      <rPr>
        <b val="true"/>
        <sz val="12"/>
        <color rgb="FF1F4E78"/>
        <rFont val="FreeSans"/>
        <family val="2"/>
      </rPr>
      <t xml:space="preserve">งาน </t>
    </r>
    <r>
      <rPr>
        <b val="true"/>
        <sz val="12"/>
        <color rgb="FF1F4E78"/>
        <rFont val="Tahoma"/>
        <family val="0"/>
        <charset val="1"/>
      </rPr>
      <t xml:space="preserve">2.5.1)</t>
    </r>
  </si>
  <si>
    <t xml:space="preserve">รูปแบบ (เลือกที่ชีต Inverter station →)</t>
  </si>
  <si>
    <t xml:space="preserve">สร้างใหม่ (E09)</t>
  </si>
  <si>
    <t xml:space="preserve">125+125 kW, โรงเรือน 9.00 × 2.50 ม., โรงเรือนบนพื้นดินตามแบบ E09, โครงเหล็ก ช่วงเสา ≤ 2.50 ม. สูง 3.00 / 2.75 ม. หลังคาเมทัลชีทลาดเดียว</t>
  </si>
  <si>
    <t xml:space="preserve">ขั้นงาน (ตามรูปแบบ)</t>
  </si>
  <si>
    <r>
      <rPr>
        <b val="true"/>
        <sz val="8"/>
        <color rgb="FFFFFFFF"/>
        <rFont val="Tahoma"/>
        <family val="0"/>
        <charset val="1"/>
      </rPr>
      <t xml:space="preserve">% </t>
    </r>
    <r>
      <rPr>
        <b val="true"/>
        <sz val="8"/>
        <color rgb="FFFFFFFF"/>
        <rFont val="FreeSans"/>
        <family val="2"/>
      </rPr>
      <t xml:space="preserve">ของ </t>
    </r>
    <r>
      <rPr>
        <b val="true"/>
        <sz val="8"/>
        <color rgb="FFFFFFFF"/>
        <rFont val="Tahoma"/>
        <family val="0"/>
        <charset val="1"/>
      </rPr>
      <t xml:space="preserve">2.5.1</t>
    </r>
  </si>
  <si>
    <t xml:space="preserve">เสร็จ (Y)</t>
  </si>
  <si>
    <t xml:space="preserve">2.5.1.1</t>
  </si>
  <si>
    <t xml:space="preserve">วางผัง + ตรวจท่อ/สายใต้ดิน + ระดับพื้น, ตำแหน่งใกล้จุดเชื่อม (MDB)</t>
  </si>
  <si>
    <t xml:space="preserve">2.5.1.2</t>
  </si>
  <si>
    <t xml:space="preserve">ฐานรากเสา คสล. + บ่มคอนกรีต</t>
  </si>
  <si>
    <t xml:space="preserve">2.5.1.3</t>
  </si>
  <si>
    <t xml:space="preserve">โครงเหล็กเสา-คาน + หลังคาเมทัลชีทลาดเดียว (สูง 3.00 / 2.75 ม.) + ป้องกันสนิม</t>
  </si>
  <si>
    <t xml:space="preserve">2.5.1.4</t>
  </si>
  <si>
    <t xml:space="preserve">Rack เหล็กแขวน Inverter / ตู้ DC-DB / METER-DB + ฐานตู้ AC-DB Type C + ที่ยึดราง (ตัวรางและสายนับใน 2.2.1 / 2.6.1)</t>
  </si>
  <si>
    <t xml:space="preserve">2.5.1.5</t>
  </si>
  <si>
    <t xml:space="preserve">ป้ายชื่อตู้ / ป้ายเตือน + ทางเข้า / ประตูตามแบบ</t>
  </si>
  <si>
    <t xml:space="preserve">2.5.1.6</t>
  </si>
  <si>
    <t xml:space="preserve">ICL โครงสร้าง: แนวดิ่ง / ระดับ / สนิม, ระยะเว้นรอบ Inverter ตามคู่มือผู้ผลิต</t>
  </si>
  <si>
    <r>
      <rPr>
        <b val="true"/>
        <sz val="9"/>
        <rFont val="Tahoma"/>
        <family val="0"/>
        <charset val="1"/>
      </rPr>
      <t xml:space="preserve">2.5.1 </t>
    </r>
    <r>
      <rPr>
        <b val="true"/>
        <sz val="9"/>
        <rFont val="FreeSans"/>
        <family val="2"/>
      </rPr>
      <t xml:space="preserve">เสร็จ </t>
    </r>
    <r>
      <rPr>
        <b val="true"/>
        <sz val="9"/>
        <rFont val="Tahoma"/>
        <family val="0"/>
        <charset val="1"/>
      </rPr>
      <t xml:space="preserve">(</t>
    </r>
    <r>
      <rPr>
        <b val="true"/>
        <sz val="9"/>
        <rFont val="FreeSans"/>
        <family val="2"/>
      </rPr>
      <t xml:space="preserve">นับเข้า </t>
    </r>
    <r>
      <rPr>
        <b val="true"/>
        <sz val="9"/>
        <rFont val="Tahoma"/>
        <family val="0"/>
        <charset val="1"/>
      </rPr>
      <t xml:space="preserve">% </t>
    </r>
    <r>
      <rPr>
        <b val="true"/>
        <sz val="9"/>
        <rFont val="FreeSans"/>
        <family val="2"/>
      </rPr>
      <t xml:space="preserve">งาน </t>
    </r>
    <r>
      <rPr>
        <b val="true"/>
        <sz val="9"/>
        <rFont val="Tahoma"/>
        <family val="0"/>
        <charset val="1"/>
      </rPr>
      <t xml:space="preserve">2.5)</t>
    </r>
  </si>
  <si>
    <t xml:space="preserve">MASTER PLAN WEEKLY</t>
  </si>
  <si>
    <t xml:space="preserve">PROJECT</t>
  </si>
  <si>
    <r>
      <rPr>
        <sz val="10"/>
        <rFont val="Tahoma"/>
        <family val="0"/>
        <charset val="1"/>
      </rPr>
      <t xml:space="preserve">: </t>
    </r>
    <r>
      <rPr>
        <sz val="10"/>
        <rFont val="FreeSans"/>
        <family val="2"/>
      </rPr>
      <t xml:space="preserve">โครงการติดตั้งระบบผลิตไฟฟ้าพลังงานแสงอาทิตย์บนหลังคา </t>
    </r>
    <r>
      <rPr>
        <sz val="10"/>
        <rFont val="Tahoma"/>
        <family val="0"/>
        <charset val="1"/>
      </rPr>
      <t xml:space="preserve">(Solar Rooftop) </t>
    </r>
    <r>
      <rPr>
        <sz val="10"/>
        <rFont val="FreeSans"/>
        <family val="2"/>
      </rPr>
      <t xml:space="preserve">ภายใน แม่แบบ ถังดินกลบ</t>
    </r>
    <r>
      <rPr>
        <sz val="10"/>
        <rFont val="Tahoma"/>
        <family val="0"/>
        <charset val="1"/>
      </rPr>
      <t xml:space="preserve">, </t>
    </r>
    <r>
      <rPr>
        <sz val="10"/>
        <rFont val="FreeSans"/>
        <family val="2"/>
      </rPr>
      <t xml:space="preserve">กันย้อน </t>
    </r>
    <r>
      <rPr>
        <sz val="10"/>
        <rFont val="Tahoma"/>
        <family val="0"/>
        <charset val="1"/>
      </rPr>
      <t xml:space="preserve">LV, Inverter ≥ 200 kVA </t>
    </r>
    <r>
      <rPr>
        <sz val="10"/>
        <rFont val="FreeSans"/>
        <family val="2"/>
      </rPr>
      <t xml:space="preserve">การประปาส่วนภูมิภาคสาขา </t>
    </r>
    <r>
      <rPr>
        <sz val="10"/>
        <rFont val="Tahoma"/>
        <family val="0"/>
        <charset val="1"/>
      </rPr>
      <t xml:space="preserve">(</t>
    </r>
    <r>
      <rPr>
        <sz val="10"/>
        <rFont val="FreeSans"/>
        <family val="2"/>
      </rPr>
      <t xml:space="preserve">ตัวอย่าง</t>
    </r>
    <r>
      <rPr>
        <sz val="10"/>
        <rFont val="Tahoma"/>
        <family val="0"/>
        <charset val="1"/>
      </rPr>
      <t xml:space="preserve">) </t>
    </r>
    <r>
      <rPr>
        <sz val="10"/>
        <rFont val="FreeSans"/>
        <family val="2"/>
      </rPr>
      <t xml:space="preserve">ขนาดกำลังผลิต </t>
    </r>
    <r>
      <rPr>
        <sz val="10"/>
        <rFont val="Tahoma"/>
        <family val="0"/>
        <charset val="1"/>
      </rPr>
      <t xml:space="preserve">280.44 kWp</t>
    </r>
  </si>
  <si>
    <t xml:space="preserve">OWNER</t>
  </si>
  <si>
    <r>
      <rPr>
        <sz val="10"/>
        <rFont val="Tahoma"/>
        <family val="0"/>
        <charset val="1"/>
      </rPr>
      <t xml:space="preserve">: </t>
    </r>
    <r>
      <rPr>
        <sz val="10"/>
        <rFont val="FreeSans"/>
        <family val="2"/>
      </rPr>
      <t xml:space="preserve">การประปาส่วนภูมิภาค</t>
    </r>
  </si>
  <si>
    <t xml:space="preserve">รหัส</t>
  </si>
  <si>
    <r>
      <rPr>
        <sz val="10"/>
        <rFont val="Tahoma"/>
        <family val="0"/>
        <charset val="1"/>
      </rPr>
      <t xml:space="preserve">: P9-016, </t>
    </r>
    <r>
      <rPr>
        <sz val="10"/>
        <rFont val="FreeSans"/>
        <family val="2"/>
      </rPr>
      <t xml:space="preserve">ผรม</t>
    </r>
    <r>
      <rPr>
        <sz val="10"/>
        <rFont val="Tahoma"/>
        <family val="0"/>
        <charset val="1"/>
      </rPr>
      <t xml:space="preserve">. 16, </t>
    </r>
    <r>
      <rPr>
        <sz val="10"/>
        <rFont val="FreeSans"/>
        <family val="2"/>
      </rPr>
      <t xml:space="preserve">วิศวกร วศ</t>
    </r>
    <r>
      <rPr>
        <sz val="10"/>
        <rFont val="Tahoma"/>
        <family val="0"/>
        <charset val="1"/>
      </rPr>
      <t xml:space="preserve">.16, </t>
    </r>
    <r>
      <rPr>
        <sz val="10"/>
        <rFont val="FreeSans"/>
        <family val="2"/>
      </rPr>
      <t xml:space="preserve">ข้อมูล ณ </t>
    </r>
    <r>
      <rPr>
        <sz val="10"/>
        <rFont val="Tahoma"/>
        <family val="0"/>
        <charset val="1"/>
      </rPr>
      <t xml:space="preserve">02/11/2026 (Plan = Baseline)</t>
    </r>
  </si>
  <si>
    <t xml:space="preserve">Oct 26</t>
  </si>
  <si>
    <t xml:space="preserve">Nov 26</t>
  </si>
  <si>
    <t xml:space="preserve">Dec 26</t>
  </si>
  <si>
    <t xml:space="preserve">Jan 27</t>
  </si>
  <si>
    <t xml:space="preserve">Feb 27</t>
  </si>
  <si>
    <t xml:space="preserve">Mar 27</t>
  </si>
  <si>
    <t xml:space="preserve">Apr 27</t>
  </si>
  <si>
    <t xml:space="preserve">May 27</t>
  </si>
  <si>
    <t xml:space="preserve">Jun 27</t>
  </si>
  <si>
    <t xml:space="preserve">Jul 27</t>
  </si>
  <si>
    <t xml:space="preserve">Aug 27</t>
  </si>
  <si>
    <t xml:space="preserve">Sep 27</t>
  </si>
  <si>
    <t xml:space="preserve">Oct 27</t>
  </si>
  <si>
    <t xml:space="preserve">Nov 27</t>
  </si>
  <si>
    <t xml:space="preserve">Dec 27</t>
  </si>
  <si>
    <t xml:space="preserve">Jan 28</t>
  </si>
  <si>
    <t xml:space="preserve">Feb 28</t>
  </si>
  <si>
    <t xml:space="preserve">No.</t>
  </si>
  <si>
    <t xml:space="preserve">Description</t>
  </si>
  <si>
    <t xml:space="preserve">Status</t>
  </si>
  <si>
    <t xml:space="preserve">Weight</t>
  </si>
  <si>
    <t xml:space="preserve">Start</t>
  </si>
  <si>
    <t xml:space="preserve">Finished</t>
  </si>
  <si>
    <t xml:space="preserve">Day</t>
  </si>
  <si>
    <t xml:space="preserve">1.1 Kick Off</t>
  </si>
  <si>
    <t xml:space="preserve">Plan</t>
  </si>
  <si>
    <t xml:space="preserve">Actual</t>
  </si>
  <si>
    <t xml:space="preserve">1.2 Engineering Approve</t>
  </si>
  <si>
    <r>
      <rPr>
        <sz val="9"/>
        <color rgb="FF000000"/>
        <rFont val="Tahoma"/>
        <family val="0"/>
        <charset val="1"/>
      </rPr>
      <t xml:space="preserve">1.3 </t>
    </r>
    <r>
      <rPr>
        <sz val="9"/>
        <color rgb="FF000000"/>
        <rFont val="FreeSans"/>
        <family val="2"/>
      </rPr>
      <t xml:space="preserve">ส่งมอบพื้นที่และเข้าดำเนินการติดตั้ง</t>
    </r>
  </si>
  <si>
    <r>
      <rPr>
        <sz val="9"/>
        <color rgb="FF000000"/>
        <rFont val="Tahoma"/>
        <family val="0"/>
        <charset val="1"/>
      </rPr>
      <t xml:space="preserve">1.4 </t>
    </r>
    <r>
      <rPr>
        <sz val="9"/>
        <color rgb="FF000000"/>
        <rFont val="FreeSans"/>
        <family val="2"/>
      </rPr>
      <t xml:space="preserve">ยื่นขออนุญาตดัดแปลงอาคาร </t>
    </r>
    <r>
      <rPr>
        <sz val="9"/>
        <color rgb="FF000000"/>
        <rFont val="Tahoma"/>
        <family val="0"/>
        <charset val="1"/>
      </rPr>
      <t xml:space="preserve">(</t>
    </r>
    <r>
      <rPr>
        <sz val="9"/>
        <color rgb="FF000000"/>
        <rFont val="FreeSans"/>
        <family val="2"/>
      </rPr>
      <t xml:space="preserve">อ</t>
    </r>
    <r>
      <rPr>
        <sz val="9"/>
        <color rgb="FF000000"/>
        <rFont val="Tahoma"/>
        <family val="0"/>
        <charset val="1"/>
      </rPr>
      <t xml:space="preserve">.1)</t>
    </r>
  </si>
  <si>
    <r>
      <rPr>
        <sz val="9"/>
        <color rgb="FF000000"/>
        <rFont val="Tahoma"/>
        <family val="0"/>
        <charset val="1"/>
      </rPr>
      <t xml:space="preserve">1.5 </t>
    </r>
    <r>
      <rPr>
        <sz val="9"/>
        <color rgb="FF000000"/>
        <rFont val="FreeSans"/>
        <family val="2"/>
      </rPr>
      <t xml:space="preserve">ยื่นขอใบอนุญาต พค</t>
    </r>
    <r>
      <rPr>
        <sz val="9"/>
        <color rgb="FF000000"/>
        <rFont val="Tahoma"/>
        <family val="0"/>
        <charset val="1"/>
      </rPr>
      <t xml:space="preserve">.2</t>
    </r>
  </si>
  <si>
    <r>
      <rPr>
        <sz val="9"/>
        <color rgb="FF000000"/>
        <rFont val="Tahoma"/>
        <family val="0"/>
        <charset val="1"/>
      </rPr>
      <t xml:space="preserve">1.6 COP / </t>
    </r>
    <r>
      <rPr>
        <sz val="9"/>
        <color rgb="FF000000"/>
        <rFont val="FreeSans"/>
        <family val="2"/>
      </rPr>
      <t xml:space="preserve">ยื่นเอกสารขอใบอนุญาตประกอบกิจการพลังงาน</t>
    </r>
  </si>
  <si>
    <t xml:space="preserve">1.7</t>
  </si>
  <si>
    <r>
      <rPr>
        <sz val="9"/>
        <color rgb="FF000000"/>
        <rFont val="Tahoma"/>
        <family val="0"/>
        <charset val="1"/>
      </rPr>
      <t xml:space="preserve">1.7 </t>
    </r>
    <r>
      <rPr>
        <sz val="9"/>
        <color rgb="FF000000"/>
        <rFont val="FreeSans"/>
        <family val="2"/>
      </rPr>
      <t xml:space="preserve">ยื่นขอขนานไฟ</t>
    </r>
  </si>
  <si>
    <r>
      <rPr>
        <sz val="9"/>
        <color rgb="FF000000"/>
        <rFont val="Tahoma"/>
        <family val="0"/>
        <charset val="1"/>
      </rPr>
      <t xml:space="preserve">2.1 </t>
    </r>
    <r>
      <rPr>
        <sz val="9"/>
        <color rgb="FF000000"/>
        <rFont val="FreeSans"/>
        <family val="2"/>
      </rPr>
      <t xml:space="preserve">ติดตั้งโครงสร้างรองรับแผงเซลล์ และทางเดินบนหลังคา </t>
    </r>
    <r>
      <rPr>
        <sz val="9"/>
        <color rgb="FF000000"/>
        <rFont val="Tahoma"/>
        <family val="0"/>
        <charset val="1"/>
      </rPr>
      <t xml:space="preserve">(Walkway)</t>
    </r>
  </si>
  <si>
    <r>
      <rPr>
        <sz val="9"/>
        <color rgb="FF000000"/>
        <rFont val="Tahoma"/>
        <family val="0"/>
        <charset val="1"/>
      </rPr>
      <t xml:space="preserve">2.2 </t>
    </r>
    <r>
      <rPr>
        <sz val="9"/>
        <color rgb="FF000000"/>
        <rFont val="FreeSans"/>
        <family val="2"/>
      </rPr>
      <t xml:space="preserve">ติดตั้งอุปกรณ์ในระบบไฟฟ้า ด้าน </t>
    </r>
    <r>
      <rPr>
        <sz val="9"/>
        <color rgb="FF000000"/>
        <rFont val="Tahoma"/>
        <family val="0"/>
        <charset val="1"/>
      </rPr>
      <t xml:space="preserve">DC</t>
    </r>
  </si>
  <si>
    <r>
      <rPr>
        <sz val="9"/>
        <color rgb="FF000000"/>
        <rFont val="Tahoma"/>
        <family val="0"/>
        <charset val="1"/>
      </rPr>
      <t xml:space="preserve">2.3 </t>
    </r>
    <r>
      <rPr>
        <sz val="9"/>
        <color rgb="FF000000"/>
        <rFont val="FreeSans"/>
        <family val="2"/>
      </rPr>
      <t xml:space="preserve">ติดตั้งแผงเซลล์แสงอาทิตย์</t>
    </r>
  </si>
  <si>
    <r>
      <rPr>
        <sz val="9"/>
        <color rgb="FF000000"/>
        <rFont val="Tahoma"/>
        <family val="0"/>
        <charset val="1"/>
      </rPr>
      <t xml:space="preserve">2.4 </t>
    </r>
    <r>
      <rPr>
        <sz val="9"/>
        <color rgb="FF000000"/>
        <rFont val="FreeSans"/>
        <family val="2"/>
      </rPr>
      <t xml:space="preserve">ติดตั้งอุปกรณ์หยุดทำงานฉุกเฉิน </t>
    </r>
    <r>
      <rPr>
        <sz val="9"/>
        <color rgb="FF000000"/>
        <rFont val="Tahoma"/>
        <family val="0"/>
        <charset val="1"/>
      </rPr>
      <t xml:space="preserve">(Firefighter Safety Switch)</t>
    </r>
  </si>
  <si>
    <r>
      <rPr>
        <sz val="9"/>
        <color rgb="FF000000"/>
        <rFont val="Tahoma"/>
        <family val="0"/>
        <charset val="1"/>
      </rPr>
      <t xml:space="preserve">2.5 </t>
    </r>
    <r>
      <rPr>
        <sz val="9"/>
        <color rgb="FF000000"/>
        <rFont val="FreeSans"/>
        <family val="2"/>
      </rPr>
      <t xml:space="preserve">ติดตั้งอุปกรณ์แปลงผันไฟฟ้าสำหรับต่อกับระบบจำหน่าย </t>
    </r>
    <r>
      <rPr>
        <sz val="9"/>
        <color rgb="FF000000"/>
        <rFont val="Tahoma"/>
        <family val="0"/>
        <charset val="1"/>
      </rPr>
      <t xml:space="preserve">Inverter</t>
    </r>
  </si>
  <si>
    <r>
      <rPr>
        <sz val="9"/>
        <color rgb="FF000000"/>
        <rFont val="Tahoma"/>
        <family val="0"/>
        <charset val="1"/>
      </rPr>
      <t xml:space="preserve">2.6 </t>
    </r>
    <r>
      <rPr>
        <sz val="9"/>
        <color rgb="FF000000"/>
        <rFont val="FreeSans"/>
        <family val="2"/>
      </rPr>
      <t xml:space="preserve">ติดตั้งอุปกรณ์ในระบบไฟฟ้า ด้าน </t>
    </r>
    <r>
      <rPr>
        <sz val="9"/>
        <color rgb="FF000000"/>
        <rFont val="Tahoma"/>
        <family val="0"/>
        <charset val="1"/>
      </rPr>
      <t xml:space="preserve">AC</t>
    </r>
  </si>
  <si>
    <r>
      <rPr>
        <sz val="9"/>
        <color rgb="FF000000"/>
        <rFont val="Tahoma"/>
        <family val="0"/>
        <charset val="1"/>
      </rPr>
      <t xml:space="preserve">2.7 </t>
    </r>
    <r>
      <rPr>
        <sz val="9"/>
        <color rgb="FF000000"/>
        <rFont val="FreeSans"/>
        <family val="2"/>
      </rPr>
      <t xml:space="preserve">ติดตั้งตู้ควบคุมระบบไฟฟ้าสำหรับระบบ </t>
    </r>
    <r>
      <rPr>
        <sz val="9"/>
        <color rgb="FF000000"/>
        <rFont val="Tahoma"/>
        <family val="0"/>
        <charset val="1"/>
      </rPr>
      <t xml:space="preserve">Solar Rooftop</t>
    </r>
  </si>
  <si>
    <r>
      <rPr>
        <sz val="9"/>
        <color rgb="FF000000"/>
        <rFont val="Tahoma"/>
        <family val="0"/>
        <charset val="1"/>
      </rPr>
      <t xml:space="preserve">2.8 </t>
    </r>
    <r>
      <rPr>
        <sz val="9"/>
        <color rgb="FF000000"/>
        <rFont val="FreeSans"/>
        <family val="2"/>
      </rPr>
      <t xml:space="preserve">ติดตั้งระบบสื่อสาร และระบบป้องกันไฟฟ้าไหลย้อน </t>
    </r>
    <r>
      <rPr>
        <sz val="9"/>
        <color rgb="FF000000"/>
        <rFont val="Tahoma"/>
        <family val="0"/>
        <charset val="1"/>
      </rPr>
      <t xml:space="preserve">(Zero Export Controller)</t>
    </r>
  </si>
  <si>
    <r>
      <rPr>
        <sz val="9"/>
        <color rgb="FF000000"/>
        <rFont val="Tahoma"/>
        <family val="0"/>
        <charset val="1"/>
      </rPr>
      <t xml:space="preserve">2.9 </t>
    </r>
    <r>
      <rPr>
        <sz val="9"/>
        <color rgb="FF000000"/>
        <rFont val="FreeSans"/>
        <family val="2"/>
      </rPr>
      <t xml:space="preserve">ติดตั้งระบบประมวลผลการผลิตไฟฟ้า </t>
    </r>
    <r>
      <rPr>
        <sz val="9"/>
        <color rgb="FF000000"/>
        <rFont val="Tahoma"/>
        <family val="0"/>
        <charset val="1"/>
      </rPr>
      <t xml:space="preserve">(Solar Monitoring)</t>
    </r>
  </si>
  <si>
    <r>
      <rPr>
        <b val="true"/>
        <sz val="9"/>
        <rFont val="Tahoma"/>
        <family val="0"/>
        <charset val="1"/>
      </rPr>
      <t xml:space="preserve">Part </t>
    </r>
    <r>
      <rPr>
        <b val="true"/>
        <sz val="9"/>
        <rFont val="FreeSans"/>
        <family val="2"/>
      </rPr>
      <t xml:space="preserve">การขออนุญาตและการทดสอบ</t>
    </r>
  </si>
  <si>
    <r>
      <rPr>
        <sz val="9"/>
        <color rgb="FF000000"/>
        <rFont val="Tahoma"/>
        <family val="0"/>
        <charset val="1"/>
      </rPr>
      <t xml:space="preserve">3.1 </t>
    </r>
    <r>
      <rPr>
        <sz val="9"/>
        <color rgb="FF000000"/>
        <rFont val="FreeSans"/>
        <family val="2"/>
      </rPr>
      <t xml:space="preserve">ทดสอบการทำงานของระบบผลิตไฟฟ้า </t>
    </r>
    <r>
      <rPr>
        <sz val="9"/>
        <color rgb="FF000000"/>
        <rFont val="Tahoma"/>
        <family val="0"/>
        <charset val="1"/>
      </rPr>
      <t xml:space="preserve">(Pre-Commissioning Test)</t>
    </r>
  </si>
  <si>
    <r>
      <rPr>
        <sz val="9"/>
        <color rgb="FF000000"/>
        <rFont val="Tahoma"/>
        <family val="0"/>
        <charset val="1"/>
      </rPr>
      <t xml:space="preserve">3.2 </t>
    </r>
    <r>
      <rPr>
        <sz val="9"/>
        <color rgb="FF000000"/>
        <rFont val="FreeSans"/>
        <family val="2"/>
      </rPr>
      <t xml:space="preserve">อบรมการใช้งานและการบำรุงรักษา</t>
    </r>
  </si>
  <si>
    <r>
      <rPr>
        <b val="true"/>
        <sz val="9"/>
        <rFont val="FreeSans"/>
        <family val="2"/>
      </rPr>
      <t xml:space="preserve">แผนรายสัปดาห์ </t>
    </r>
    <r>
      <rPr>
        <b val="true"/>
        <sz val="9"/>
        <rFont val="Tahoma"/>
        <family val="0"/>
        <charset val="1"/>
      </rPr>
      <t xml:space="preserve">(%)</t>
    </r>
  </si>
  <si>
    <r>
      <rPr>
        <b val="true"/>
        <sz val="9"/>
        <rFont val="FreeSans"/>
        <family val="2"/>
      </rPr>
      <t xml:space="preserve">จริงรายสัปดาห์ </t>
    </r>
    <r>
      <rPr>
        <b val="true"/>
        <sz val="9"/>
        <rFont val="Tahoma"/>
        <family val="0"/>
        <charset val="1"/>
      </rPr>
      <t xml:space="preserve">(%)</t>
    </r>
  </si>
  <si>
    <r>
      <rPr>
        <b val="true"/>
        <sz val="9"/>
        <color rgb="FF1F4E78"/>
        <rFont val="FreeSans"/>
        <family val="2"/>
      </rPr>
      <t xml:space="preserve">แผนสะสม </t>
    </r>
    <r>
      <rPr>
        <b val="true"/>
        <sz val="9"/>
        <color rgb="FF1F4E78"/>
        <rFont val="Tahoma"/>
        <family val="0"/>
        <charset val="1"/>
      </rPr>
      <t xml:space="preserve">(%)</t>
    </r>
  </si>
  <si>
    <r>
      <rPr>
        <b val="true"/>
        <sz val="9"/>
        <color rgb="FFC00000"/>
        <rFont val="FreeSans"/>
        <family val="2"/>
      </rPr>
      <t xml:space="preserve">จริงสะสม </t>
    </r>
    <r>
      <rPr>
        <b val="true"/>
        <sz val="9"/>
        <color rgb="FFC00000"/>
        <rFont val="Tahoma"/>
        <family val="0"/>
        <charset val="1"/>
      </rPr>
      <t xml:space="preserve">(%)</t>
    </r>
  </si>
</sst>
</file>

<file path=xl/styles.xml><?xml version="1.0" encoding="utf-8"?>
<styleSheet xmlns="http://schemas.openxmlformats.org/spreadsheetml/2006/main">
  <numFmts count="18">
    <numFmt numFmtId="164" formatCode="General"/>
    <numFmt numFmtId="165" formatCode="d\ mmm\ yyyy"/>
    <numFmt numFmtId="166" formatCode="0.0%"/>
    <numFmt numFmtId="167" formatCode="0;[BLUE]\-0;0"/>
    <numFmt numFmtId="168" formatCode="@"/>
    <numFmt numFmtId="169" formatCode="0"/>
    <numFmt numFmtId="170" formatCode="d\ mmm\ yy"/>
    <numFmt numFmtId="171" formatCode="d"/>
    <numFmt numFmtId="172" formatCode="0.0"/>
    <numFmt numFmtId="173" formatCode="0%"/>
    <numFmt numFmtId="174" formatCode="0.00"/>
    <numFmt numFmtId="175" formatCode="mm/dd/yy"/>
    <numFmt numFmtId="176" formatCode="0;;;"/>
    <numFmt numFmtId="177" formatCode="0.00;;;"/>
    <numFmt numFmtId="178" formatCode="d/m/yy"/>
    <numFmt numFmtId="179" formatCode="0.0#"/>
    <numFmt numFmtId="180" formatCode="0.0#;\-0.0#;&quot;&quot;"/>
    <numFmt numFmtId="181" formatCode="0.0;\-0.0;&quot;&quot;"/>
  </numFmts>
  <fonts count="68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color rgb="FF1F4E78"/>
      <name val="FreeSans"/>
      <family val="2"/>
      <charset val="1"/>
    </font>
    <font>
      <sz val="9"/>
      <color rgb="FF404040"/>
      <name val="FreeSans"/>
      <family val="2"/>
      <charset val="1"/>
    </font>
    <font>
      <sz val="9"/>
      <color rgb="FF595959"/>
      <name val="FreeSans"/>
      <family val="2"/>
      <charset val="1"/>
    </font>
    <font>
      <sz val="9"/>
      <color rgb="FF595959"/>
      <name val="Tahoma"/>
      <family val="0"/>
      <charset val="1"/>
    </font>
    <font>
      <sz val="9"/>
      <color rgb="FF595959"/>
      <name val="FreeSans"/>
      <family val="2"/>
    </font>
    <font>
      <b val="true"/>
      <u val="single"/>
      <sz val="10"/>
      <color rgb="FF0563C1"/>
      <name val="FreeSans"/>
      <family val="2"/>
    </font>
    <font>
      <sz val="8"/>
      <color rgb="FF595959"/>
      <name val="Tahoma"/>
      <family val="0"/>
      <charset val="1"/>
    </font>
    <font>
      <sz val="8"/>
      <color rgb="FF595959"/>
      <name val="FreeSans"/>
      <family val="2"/>
    </font>
    <font>
      <sz val="8"/>
      <color rgb="FF595959"/>
      <name val="FreeSans"/>
      <family val="2"/>
      <charset val="1"/>
    </font>
    <font>
      <b val="true"/>
      <sz val="12"/>
      <color rgb="FF000000"/>
      <name val="Tahoma"/>
      <family val="0"/>
      <charset val="1"/>
    </font>
    <font>
      <b val="true"/>
      <sz val="12"/>
      <color rgb="FFC00000"/>
      <name val="Tahoma"/>
      <family val="0"/>
      <charset val="1"/>
    </font>
    <font>
      <b val="true"/>
      <u val="single"/>
      <sz val="10"/>
      <color rgb="FF0563C1"/>
      <name val="Tahoma"/>
      <family val="0"/>
      <charset val="1"/>
    </font>
    <font>
      <b val="true"/>
      <sz val="10"/>
      <color rgb="FF7030A0"/>
      <name val="Tahoma"/>
      <family val="0"/>
      <charset val="1"/>
    </font>
    <font>
      <b val="true"/>
      <sz val="10"/>
      <color rgb="FF7030A0"/>
      <name val="FreeSans"/>
      <family val="2"/>
    </font>
    <font>
      <b val="true"/>
      <sz val="9"/>
      <name val="FreeSans"/>
      <family val="2"/>
      <charset val="1"/>
    </font>
    <font>
      <b val="true"/>
      <sz val="10"/>
      <color rgb="FFC00000"/>
      <name val="FreeSans"/>
      <family val="2"/>
      <charset val="1"/>
    </font>
    <font>
      <i val="true"/>
      <sz val="8"/>
      <color rgb="FF595959"/>
      <name val="FreeSans"/>
      <family val="2"/>
      <charset val="1"/>
    </font>
    <font>
      <b val="true"/>
      <sz val="8"/>
      <name val="FreeSans"/>
      <family val="2"/>
      <charset val="1"/>
    </font>
    <font>
      <sz val="8"/>
      <color rgb="FF0000FF"/>
      <name val="Tahoma"/>
      <family val="0"/>
      <charset val="1"/>
    </font>
    <font>
      <sz val="8"/>
      <color rgb="FF0000FF"/>
      <name val="FreeSans"/>
      <family val="2"/>
    </font>
    <font>
      <i val="true"/>
      <sz val="7"/>
      <color rgb="FF595959"/>
      <name val="FreeSans"/>
      <family val="2"/>
      <charset val="1"/>
    </font>
    <font>
      <b val="true"/>
      <sz val="9"/>
      <color rgb="FFFFFFFF"/>
      <name val="FreeSans"/>
      <family val="2"/>
      <charset val="1"/>
    </font>
    <font>
      <b val="true"/>
      <sz val="9"/>
      <color rgb="FFFFFFFF"/>
      <name val="Tahoma"/>
      <family val="0"/>
      <charset val="1"/>
    </font>
    <font>
      <b val="true"/>
      <sz val="9"/>
      <color rgb="FFFFFFFF"/>
      <name val="FreeSans"/>
      <family val="2"/>
    </font>
    <font>
      <b val="true"/>
      <sz val="8"/>
      <color rgb="FFFFFFFF"/>
      <name val="FreeSans"/>
      <family val="2"/>
      <charset val="1"/>
    </font>
    <font>
      <b val="true"/>
      <sz val="8"/>
      <color rgb="FFFFFFFF"/>
      <name val="Tahoma"/>
      <family val="0"/>
      <charset val="1"/>
    </font>
    <font>
      <b val="true"/>
      <sz val="9"/>
      <name val="Tahoma"/>
      <family val="0"/>
      <charset val="1"/>
    </font>
    <font>
      <b val="true"/>
      <sz val="9"/>
      <name val="FreeSans"/>
      <family val="2"/>
    </font>
    <font>
      <sz val="9"/>
      <name val="Tahoma"/>
      <family val="0"/>
      <charset val="1"/>
    </font>
    <font>
      <sz val="9"/>
      <name val="FreeSans"/>
      <family val="2"/>
    </font>
    <font>
      <sz val="9"/>
      <name val="FreeSans"/>
      <family val="2"/>
      <charset val="1"/>
    </font>
    <font>
      <sz val="9"/>
      <color rgb="FF404040"/>
      <name val="Tahoma"/>
      <family val="0"/>
      <charset val="1"/>
    </font>
    <font>
      <sz val="9"/>
      <color rgb="FF375623"/>
      <name val="Tahoma"/>
      <family val="0"/>
      <charset val="1"/>
    </font>
    <font>
      <sz val="8"/>
      <color rgb="FF404040"/>
      <name val="Tahoma"/>
      <family val="0"/>
      <charset val="1"/>
    </font>
    <font>
      <sz val="8"/>
      <color rgb="FF404040"/>
      <name val="FreeSans"/>
      <family val="2"/>
      <charset val="1"/>
    </font>
    <font>
      <b val="true"/>
      <sz val="9"/>
      <color rgb="FF375623"/>
      <name val="Tahoma"/>
      <family val="0"/>
      <charset val="1"/>
    </font>
    <font>
      <b val="true"/>
      <sz val="9"/>
      <color rgb="FF375623"/>
      <name val="FreeSans"/>
      <family val="2"/>
    </font>
    <font>
      <sz val="8"/>
      <color rgb="FF404040"/>
      <name val="FreeSans"/>
      <family val="2"/>
    </font>
    <font>
      <b val="true"/>
      <sz val="9"/>
      <color rgb="FFC00000"/>
      <name val="FreeSans"/>
      <family val="2"/>
      <charset val="1"/>
    </font>
    <font>
      <b val="true"/>
      <sz val="9"/>
      <color rgb="FFC00000"/>
      <name val="Tahoma"/>
      <family val="0"/>
      <charset val="1"/>
    </font>
    <font>
      <b val="true"/>
      <sz val="12"/>
      <color rgb="FF1F4E78"/>
      <name val="FreeSans"/>
      <family val="2"/>
      <charset val="1"/>
    </font>
    <font>
      <b val="true"/>
      <sz val="8"/>
      <color rgb="FFFFFFFF"/>
      <name val="FreeSans"/>
      <family val="2"/>
    </font>
    <font>
      <b val="true"/>
      <sz val="12"/>
      <color rgb="FF1F4E78"/>
      <name val="Tahoma"/>
      <family val="0"/>
      <charset val="1"/>
    </font>
    <font>
      <b val="true"/>
      <sz val="12"/>
      <color rgb="FF1F4E78"/>
      <name val="FreeSans"/>
      <family val="2"/>
    </font>
    <font>
      <b val="true"/>
      <sz val="9"/>
      <color rgb="FF1F4E78"/>
      <name val="FreeSans"/>
      <family val="2"/>
      <charset val="1"/>
    </font>
    <font>
      <sz val="8"/>
      <name val="FreeSans"/>
      <family val="2"/>
      <charset val="1"/>
    </font>
    <font>
      <b val="true"/>
      <sz val="9"/>
      <color rgb="FF0000FF"/>
      <name val="Tahoma"/>
      <family val="0"/>
      <charset val="1"/>
    </font>
    <font>
      <b val="true"/>
      <sz val="14"/>
      <color rgb="FF1F4E78"/>
      <name val="Tahoma"/>
      <family val="0"/>
      <charset val="1"/>
    </font>
    <font>
      <b val="true"/>
      <sz val="10"/>
      <name val="Tahoma"/>
      <family val="0"/>
      <charset val="1"/>
    </font>
    <font>
      <sz val="10"/>
      <name val="Tahoma"/>
      <family val="0"/>
      <charset val="1"/>
    </font>
    <font>
      <sz val="10"/>
      <name val="FreeSans"/>
      <family val="2"/>
    </font>
    <font>
      <b val="true"/>
      <sz val="10"/>
      <name val="FreeSans"/>
      <family val="2"/>
    </font>
    <font>
      <b val="true"/>
      <sz val="8"/>
      <name val="Tahoma"/>
      <family val="0"/>
      <charset val="1"/>
    </font>
    <font>
      <b val="true"/>
      <sz val="7"/>
      <color rgb="FFFFFFFF"/>
      <name val="Tahoma"/>
      <family val="0"/>
      <charset val="1"/>
    </font>
    <font>
      <sz val="9"/>
      <color rgb="FF000000"/>
      <name val="Tahoma"/>
      <family val="0"/>
      <charset val="1"/>
    </font>
    <font>
      <sz val="8"/>
      <color rgb="FF000000"/>
      <name val="Tahoma"/>
      <family val="0"/>
      <charset val="1"/>
    </font>
    <font>
      <sz val="9"/>
      <color rgb="FF0000FF"/>
      <name val="Tahoma"/>
      <family val="0"/>
      <charset val="1"/>
    </font>
    <font>
      <sz val="9"/>
      <color rgb="FF000000"/>
      <name val="FreeSans"/>
      <family val="2"/>
    </font>
    <font>
      <b val="true"/>
      <sz val="9"/>
      <color rgb="FF1F4E78"/>
      <name val="FreeSans"/>
      <family val="2"/>
    </font>
    <font>
      <b val="true"/>
      <sz val="9"/>
      <color rgb="FF1F4E78"/>
      <name val="Tahoma"/>
      <family val="0"/>
      <charset val="1"/>
    </font>
    <font>
      <b val="true"/>
      <sz val="9"/>
      <color rgb="FFC00000"/>
      <name val="FreeSans"/>
      <family val="2"/>
    </font>
    <font>
      <b val="true"/>
      <sz val="18"/>
      <color rgb="FF000000"/>
      <name val="Calibri"/>
      <family val="2"/>
    </font>
    <font>
      <sz val="10"/>
      <color rgb="FF000000"/>
      <name val="Calibri"/>
      <family val="2"/>
    </font>
    <font>
      <b val="true"/>
      <sz val="10"/>
      <color rgb="FF000000"/>
      <name val="Calibri"/>
      <family val="2"/>
    </font>
  </fonts>
  <fills count="11">
    <fill>
      <patternFill patternType="none"/>
    </fill>
    <fill>
      <patternFill patternType="gray125"/>
    </fill>
    <fill>
      <patternFill patternType="solid">
        <fgColor rgb="FFF7F9FC"/>
        <bgColor rgb="FFFFFFFF"/>
      </patternFill>
    </fill>
    <fill>
      <patternFill patternType="solid">
        <fgColor rgb="FFF3EEF8"/>
        <bgColor rgb="FFF2F2F2"/>
      </patternFill>
    </fill>
    <fill>
      <patternFill patternType="solid">
        <fgColor rgb="FFFFF2CC"/>
        <bgColor rgb="FFFCE4D6"/>
      </patternFill>
    </fill>
    <fill>
      <patternFill patternType="solid">
        <fgColor rgb="FF2E75B6"/>
        <bgColor rgb="FF4472C4"/>
      </patternFill>
    </fill>
    <fill>
      <patternFill patternType="solid">
        <fgColor rgb="FF1F4E78"/>
        <bgColor rgb="FF003366"/>
      </patternFill>
    </fill>
    <fill>
      <patternFill patternType="solid">
        <fgColor rgb="FFDDEBF7"/>
        <bgColor rgb="FFEDEDED"/>
      </patternFill>
    </fill>
    <fill>
      <patternFill patternType="solid">
        <fgColor rgb="FFF2F2F2"/>
        <bgColor rgb="FFF3EEF8"/>
      </patternFill>
    </fill>
    <fill>
      <patternFill patternType="solid">
        <fgColor rgb="FFE2EFDA"/>
        <bgColor rgb="FFEDEDED"/>
      </patternFill>
    </fill>
    <fill>
      <patternFill patternType="solid">
        <fgColor rgb="FFEDF4FB"/>
        <bgColor rgb="FFF2F2F2"/>
      </patternFill>
    </fill>
  </fills>
  <borders count="4">
    <border diagonalUp="false" diagonalDown="false">
      <left/>
      <right/>
      <top/>
      <bottom/>
      <diagonal/>
    </border>
    <border diagonalUp="false" diagonalDown="false"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 diagonalUp="false" diagonalDown="false">
      <left style="thin">
        <color rgb="FFBFBFBF"/>
      </left>
      <right/>
      <top style="thin">
        <color rgb="FFBFBFBF"/>
      </top>
      <bottom style="thin">
        <color rgb="FFBFBFBF"/>
      </bottom>
      <diagonal/>
    </border>
    <border diagonalUp="false" diagonalDown="false">
      <left style="hair">
        <color rgb="FFD9D9D9"/>
      </left>
      <right style="hair">
        <color rgb="FFD9D9D9"/>
      </right>
      <top style="hair">
        <color rgb="FFEDEDED"/>
      </top>
      <bottom style="hair">
        <color rgb="FFEDEDED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07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6" fillId="2" borderId="1" xfId="0" applyFont="true" applyBorder="true" applyAlignment="true" applyProtection="false">
      <alignment horizontal="center" vertical="bottom" textRotation="0" wrapText="true" indent="0" shrinkToFit="false"/>
      <protection locked="true" hidden="false"/>
    </xf>
    <xf numFmtId="164" fontId="7" fillId="2" borderId="1" xfId="0" applyFont="true" applyBorder="true" applyAlignment="true" applyProtection="false">
      <alignment horizontal="center" vertical="bottom" textRotation="0" wrapText="true" indent="0" shrinkToFit="false"/>
      <protection locked="true" hidden="false"/>
    </xf>
    <xf numFmtId="164" fontId="9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10" fillId="3" borderId="1" xfId="0" applyFont="true" applyBorder="true" applyAlignment="true" applyProtection="false">
      <alignment horizontal="center" vertical="bottom" textRotation="0" wrapText="true" indent="0" shrinkToFit="false"/>
      <protection locked="true" hidden="false"/>
    </xf>
    <xf numFmtId="164" fontId="12" fillId="3" borderId="1" xfId="0" applyFont="true" applyBorder="true" applyAlignment="true" applyProtection="false">
      <alignment horizontal="center" vertical="bottom" textRotation="0" wrapText="true" indent="0" shrinkToFit="false"/>
      <protection locked="true" hidden="false"/>
    </xf>
    <xf numFmtId="165" fontId="13" fillId="2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5" fontId="14" fillId="2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6" fontId="13" fillId="2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7" fontId="14" fillId="2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8" fontId="13" fillId="2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8" fontId="16" fillId="3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9" fontId="16" fillId="3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8" fontId="17" fillId="3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8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19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20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21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8" fontId="22" fillId="4" borderId="2" xf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2" fillId="4" borderId="2" xf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64" fontId="24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25" fillId="5" borderId="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26" fillId="5" borderId="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26" fillId="5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28" fillId="5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26" fillId="6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25" fillId="6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71" fontId="29" fillId="6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30" fillId="7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72" fontId="30" fillId="7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70" fontId="30" fillId="7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18" fillId="7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73" fontId="30" fillId="7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0" fillId="7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32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32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34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72" fontId="32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70" fontId="35" fillId="8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70" fontId="36" fillId="9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36" fillId="9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70" fontId="32" fillId="1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70" fontId="30" fillId="1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33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73" fontId="32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0" fillId="0" borderId="3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37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38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74" fontId="37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37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70" fontId="37" fillId="8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39" fillId="9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70" fontId="37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73" fontId="37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75" fontId="32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9" fontId="32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42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70" fontId="43" fillId="1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44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28" fillId="6" borderId="1" xfId="0" applyFont="true" applyBorder="true" applyAlignment="true" applyProtection="false">
      <alignment horizontal="center" vertical="bottom" textRotation="0" wrapText="true" indent="0" shrinkToFit="false"/>
      <protection locked="true" hidden="false"/>
    </xf>
    <xf numFmtId="164" fontId="29" fillId="6" borderId="1" xfId="0" applyFont="true" applyBorder="true" applyAlignment="true" applyProtection="false">
      <alignment horizontal="center" vertical="bottom" textRotation="0" wrapText="true" indent="0" shrinkToFit="false"/>
      <protection locked="true" hidden="false"/>
    </xf>
    <xf numFmtId="164" fontId="18" fillId="0" borderId="1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76" fontId="32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77" fontId="32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73" fontId="32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32" fillId="0" borderId="1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30" fillId="0" borderId="1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34" fillId="0" borderId="1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18" fillId="7" borderId="1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76" fontId="30" fillId="7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77" fontId="30" fillId="7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73" fontId="30" fillId="7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30" fillId="7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46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48" fillId="0" borderId="2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28" fillId="6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29" fillId="6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0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49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49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50" fillId="4" borderId="1" xfId="0" applyFont="true" applyBorder="true" applyAlignment="true" applyProtection="true">
      <alignment horizontal="center" vertical="bottom" textRotation="0" wrapText="false" indent="0" shrinkToFit="false"/>
      <protection locked="false" hidden="false"/>
    </xf>
    <xf numFmtId="164" fontId="30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73" fontId="16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51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2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3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26" fillId="6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8" fontId="57" fillId="6" borderId="1" xfId="0" applyFont="true" applyBorder="true" applyAlignment="true" applyProtection="false">
      <alignment horizontal="center" vertical="center" textRotation="90" wrapText="false" indent="0" shrinkToFit="false"/>
      <protection locked="true" hidden="false"/>
    </xf>
    <xf numFmtId="164" fontId="0" fillId="7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30" fillId="7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8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9" fontId="58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8" fontId="58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80" fontId="59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8" fontId="60" fillId="4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0" fillId="4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80" fontId="22" fillId="4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31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81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2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2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14">
    <dxf>
      <fill>
        <patternFill>
          <bgColor rgb="FFC6EFCE"/>
        </patternFill>
      </fill>
    </dxf>
    <dxf>
      <fill>
        <patternFill>
          <bgColor rgb="FFFCE4D6"/>
        </patternFill>
      </fill>
    </dxf>
    <dxf>
      <fill>
        <patternFill>
          <bgColor rgb="FFDDEBF7"/>
        </patternFill>
      </fill>
    </dxf>
    <dxf>
      <fill>
        <patternFill>
          <bgColor rgb="FFF2F2F2"/>
        </patternFill>
      </fill>
    </dxf>
    <dxf>
      <fill>
        <patternFill>
          <bgColor rgb="FFEDEDED"/>
        </patternFill>
      </fill>
    </dxf>
    <dxf>
      <font>
        <b val="1"/>
        <color rgb="FFC00000"/>
      </font>
    </dxf>
    <dxf>
      <fill>
        <patternFill>
          <bgColor rgb="FFC00000"/>
        </patternFill>
      </fill>
    </dxf>
    <dxf>
      <fill>
        <patternFill>
          <bgColor rgb="FF8EA9DB"/>
        </patternFill>
      </fill>
    </dxf>
    <dxf>
      <fill>
        <patternFill>
          <bgColor rgb="FF70AD47"/>
        </patternFill>
      </fill>
    </dxf>
    <dxf>
      <fill>
        <patternFill>
          <bgColor rgb="FFF4B183"/>
        </patternFill>
      </fill>
    </dxf>
    <dxf>
      <fill>
        <patternFill>
          <bgColor rgb="FF4472C4"/>
        </patternFill>
      </fill>
    </dxf>
    <dxf>
      <fill>
        <patternFill>
          <bgColor rgb="FFD9D9D9"/>
        </patternFill>
      </fill>
    </dxf>
    <dxf>
      <fill>
        <patternFill>
          <bgColor rgb="FFFDE9E9"/>
        </patternFill>
      </fill>
    </dxf>
    <dxf>
      <font>
        <color rgb="FFBFBFBF"/>
      </font>
    </dxf>
  </dxfs>
  <colors>
    <indexedColors>
      <rgbColor rgb="FF000000"/>
      <rgbColor rgb="FFFFFFFF"/>
      <rgbColor rgb="FFC00000"/>
      <rgbColor rgb="FF00FF00"/>
      <rgbColor rgb="FF0000FF"/>
      <rgbColor rgb="FFF2F2F2"/>
      <rgbColor rgb="FFFF00FF"/>
      <rgbColor rgb="FF00FFFF"/>
      <rgbColor rgb="FF800000"/>
      <rgbColor rgb="FF008000"/>
      <rgbColor rgb="FF000080"/>
      <rgbColor rgb="FF808000"/>
      <rgbColor rgb="FF800080"/>
      <rgbColor rgb="FF2E75B6"/>
      <rgbColor rgb="FFBFBFBF"/>
      <rgbColor rgb="FF878787"/>
      <rgbColor rgb="FF8EA9DB"/>
      <rgbColor rgb="FFBE4B48"/>
      <rgbColor rgb="FFFFF2CC"/>
      <rgbColor rgb="FFDDEBF7"/>
      <rgbColor rgb="FF660066"/>
      <rgbColor rgb="FFFF8080"/>
      <rgbColor rgb="FF0563C1"/>
      <rgbColor rgb="FFD9D9D9"/>
      <rgbColor rgb="FF000080"/>
      <rgbColor rgb="FFFF00FF"/>
      <rgbColor rgb="FFF3EEF8"/>
      <rgbColor rgb="FF00FFFF"/>
      <rgbColor rgb="FF800080"/>
      <rgbColor rgb="FF800000"/>
      <rgbColor rgb="FF008080"/>
      <rgbColor rgb="FF0000FF"/>
      <rgbColor rgb="FF00CCFF"/>
      <rgbColor rgb="FFEDF4FB"/>
      <rgbColor rgb="FFC6EFCE"/>
      <rgbColor rgb="FFFCE4D6"/>
      <rgbColor rgb="FFE2EFDA"/>
      <rgbColor rgb="FFFDE9E9"/>
      <rgbColor rgb="FFEDEDED"/>
      <rgbColor rgb="FFF4B183"/>
      <rgbColor rgb="FF4472C4"/>
      <rgbColor rgb="FF33CCCC"/>
      <rgbColor rgb="FF99CC00"/>
      <rgbColor rgb="FFF7F9FC"/>
      <rgbColor rgb="FFFF9900"/>
      <rgbColor rgb="FFFF6600"/>
      <rgbColor rgb="FF595959"/>
      <rgbColor rgb="FF70AD47"/>
      <rgbColor rgb="FF003366"/>
      <rgbColor rgb="FF4A7EBB"/>
      <rgbColor rgb="FF003300"/>
      <rgbColor rgb="FF375623"/>
      <rgbColor rgb="FF993300"/>
      <rgbColor rgb="FF7030A0"/>
      <rgbColor rgb="FF1F4E78"/>
      <rgbColor rgb="FF404040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sharedStrings" Target="sharedStrings.xml"/>
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S-Curve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ineChart>
        <c:grouping val="standard"/>
        <c:varyColors val="0"/>
        <c:ser>
          <c:idx val="0"/>
          <c:order val="0"/>
          <c:spPr>
            <a:solidFill>
              <a:srgbClr val="4a7ebb"/>
            </a:solidFill>
            <a:ln w="28440">
              <a:solidFill>
                <a:srgbClr val="4a7ebb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'Weekly PLAN'!$H$6:$BY$6</c:f>
              <c:strCache>
                <c:ptCount val="70"/>
                <c:pt idx="0">
                  <c:v>26/10/26</c:v>
                </c:pt>
                <c:pt idx="1">
                  <c:v>2/11/26</c:v>
                </c:pt>
                <c:pt idx="2">
                  <c:v>9/11/26</c:v>
                </c:pt>
                <c:pt idx="3">
                  <c:v>16/11/26</c:v>
                </c:pt>
                <c:pt idx="4">
                  <c:v>23/11/26</c:v>
                </c:pt>
                <c:pt idx="5">
                  <c:v>30/11/26</c:v>
                </c:pt>
                <c:pt idx="6">
                  <c:v>7/12/26</c:v>
                </c:pt>
                <c:pt idx="7">
                  <c:v>14/12/26</c:v>
                </c:pt>
                <c:pt idx="8">
                  <c:v>21/12/26</c:v>
                </c:pt>
                <c:pt idx="9">
                  <c:v>28/12/26</c:v>
                </c:pt>
                <c:pt idx="10">
                  <c:v>4/1/27</c:v>
                </c:pt>
                <c:pt idx="11">
                  <c:v>11/1/27</c:v>
                </c:pt>
                <c:pt idx="12">
                  <c:v>18/1/27</c:v>
                </c:pt>
                <c:pt idx="13">
                  <c:v>25/1/27</c:v>
                </c:pt>
                <c:pt idx="14">
                  <c:v>1/2/27</c:v>
                </c:pt>
                <c:pt idx="15">
                  <c:v>8/2/27</c:v>
                </c:pt>
                <c:pt idx="16">
                  <c:v>15/2/27</c:v>
                </c:pt>
                <c:pt idx="17">
                  <c:v>22/2/27</c:v>
                </c:pt>
                <c:pt idx="18">
                  <c:v>1/3/27</c:v>
                </c:pt>
                <c:pt idx="19">
                  <c:v>8/3/27</c:v>
                </c:pt>
                <c:pt idx="20">
                  <c:v>15/3/27</c:v>
                </c:pt>
                <c:pt idx="21">
                  <c:v>22/3/27</c:v>
                </c:pt>
                <c:pt idx="22">
                  <c:v>29/3/27</c:v>
                </c:pt>
                <c:pt idx="23">
                  <c:v>5/4/27</c:v>
                </c:pt>
                <c:pt idx="24">
                  <c:v>12/4/27</c:v>
                </c:pt>
                <c:pt idx="25">
                  <c:v>19/4/27</c:v>
                </c:pt>
                <c:pt idx="26">
                  <c:v>26/4/27</c:v>
                </c:pt>
                <c:pt idx="27">
                  <c:v>3/5/27</c:v>
                </c:pt>
                <c:pt idx="28">
                  <c:v>10/5/27</c:v>
                </c:pt>
                <c:pt idx="29">
                  <c:v>17/5/27</c:v>
                </c:pt>
                <c:pt idx="30">
                  <c:v>24/5/27</c:v>
                </c:pt>
                <c:pt idx="31">
                  <c:v>31/5/27</c:v>
                </c:pt>
                <c:pt idx="32">
                  <c:v>7/6/27</c:v>
                </c:pt>
                <c:pt idx="33">
                  <c:v>14/6/27</c:v>
                </c:pt>
                <c:pt idx="34">
                  <c:v>21/6/27</c:v>
                </c:pt>
                <c:pt idx="35">
                  <c:v>28/6/27</c:v>
                </c:pt>
                <c:pt idx="36">
                  <c:v>5/7/27</c:v>
                </c:pt>
                <c:pt idx="37">
                  <c:v>12/7/27</c:v>
                </c:pt>
                <c:pt idx="38">
                  <c:v>19/7/27</c:v>
                </c:pt>
                <c:pt idx="39">
                  <c:v>26/7/27</c:v>
                </c:pt>
                <c:pt idx="40">
                  <c:v>2/8/27</c:v>
                </c:pt>
                <c:pt idx="41">
                  <c:v>9/8/27</c:v>
                </c:pt>
                <c:pt idx="42">
                  <c:v>16/8/27</c:v>
                </c:pt>
                <c:pt idx="43">
                  <c:v>23/8/27</c:v>
                </c:pt>
                <c:pt idx="44">
                  <c:v>30/8/27</c:v>
                </c:pt>
                <c:pt idx="45">
                  <c:v>6/9/27</c:v>
                </c:pt>
                <c:pt idx="46">
                  <c:v>13/9/27</c:v>
                </c:pt>
                <c:pt idx="47">
                  <c:v>20/9/27</c:v>
                </c:pt>
                <c:pt idx="48">
                  <c:v>27/9/27</c:v>
                </c:pt>
                <c:pt idx="49">
                  <c:v>4/10/27</c:v>
                </c:pt>
                <c:pt idx="50">
                  <c:v>11/10/27</c:v>
                </c:pt>
                <c:pt idx="51">
                  <c:v>18/10/27</c:v>
                </c:pt>
                <c:pt idx="52">
                  <c:v>25/10/27</c:v>
                </c:pt>
                <c:pt idx="53">
                  <c:v>1/11/27</c:v>
                </c:pt>
                <c:pt idx="54">
                  <c:v>8/11/27</c:v>
                </c:pt>
                <c:pt idx="55">
                  <c:v>15/11/27</c:v>
                </c:pt>
                <c:pt idx="56">
                  <c:v>22/11/27</c:v>
                </c:pt>
                <c:pt idx="57">
                  <c:v>29/11/27</c:v>
                </c:pt>
                <c:pt idx="58">
                  <c:v>6/12/27</c:v>
                </c:pt>
                <c:pt idx="59">
                  <c:v>13/12/27</c:v>
                </c:pt>
                <c:pt idx="60">
                  <c:v>20/12/27</c:v>
                </c:pt>
                <c:pt idx="61">
                  <c:v>27/12/27</c:v>
                </c:pt>
                <c:pt idx="62">
                  <c:v>3/1/28</c:v>
                </c:pt>
                <c:pt idx="63">
                  <c:v>10/1/28</c:v>
                </c:pt>
                <c:pt idx="64">
                  <c:v>17/1/28</c:v>
                </c:pt>
                <c:pt idx="65">
                  <c:v>24/1/28</c:v>
                </c:pt>
                <c:pt idx="66">
                  <c:v>31/1/28</c:v>
                </c:pt>
                <c:pt idx="67">
                  <c:v>7/2/28</c:v>
                </c:pt>
                <c:pt idx="68">
                  <c:v>14/2/28</c:v>
                </c:pt>
                <c:pt idx="69">
                  <c:v>21/2/28</c:v>
                </c:pt>
              </c:strCache>
            </c:strRef>
          </c:cat>
          <c:val>
            <c:numRef>
              <c:f>'Weekly PLAN'!$H$49:$BY$49</c:f>
              <c:numCache>
                <c:formatCode>0.0</c:formatCode>
                <c:ptCount val="70"/>
                <c:pt idx="0">
                  <c:v>0</c:v>
                </c:pt>
                <c:pt idx="1">
                  <c:v>0.5</c:v>
                </c:pt>
                <c:pt idx="2">
                  <c:v>1.7</c:v>
                </c:pt>
                <c:pt idx="3">
                  <c:v>2.5</c:v>
                </c:pt>
                <c:pt idx="4">
                  <c:v>2.5</c:v>
                </c:pt>
                <c:pt idx="5">
                  <c:v>5.22222222222222</c:v>
                </c:pt>
                <c:pt idx="6">
                  <c:v>13</c:v>
                </c:pt>
                <c:pt idx="7">
                  <c:v>20.7777777777778</c:v>
                </c:pt>
                <c:pt idx="8">
                  <c:v>58.2261904761905</c:v>
                </c:pt>
                <c:pt idx="9">
                  <c:v>93</c:v>
                </c:pt>
                <c:pt idx="10">
                  <c:v>96.6521739130435</c:v>
                </c:pt>
                <c:pt idx="11">
                  <c:v>96.804347826087</c:v>
                </c:pt>
                <c:pt idx="12">
                  <c:v>96.9565217391305</c:v>
                </c:pt>
                <c:pt idx="13">
                  <c:v>97.1086956521739</c:v>
                </c:pt>
                <c:pt idx="14">
                  <c:v>97.2608695652174</c:v>
                </c:pt>
                <c:pt idx="15">
                  <c:v>97.4130434782609</c:v>
                </c:pt>
                <c:pt idx="16">
                  <c:v>97.5</c:v>
                </c:pt>
                <c:pt idx="17">
                  <c:v>98.75</c:v>
                </c:pt>
                <c:pt idx="18">
                  <c:v>100</c:v>
                </c:pt>
                <c:pt idx="19">
                  <c:v>100</c:v>
                </c:pt>
                <c:pt idx="20">
                  <c:v>100</c:v>
                </c:pt>
                <c:pt idx="21">
                  <c:v>100</c:v>
                </c:pt>
                <c:pt idx="22">
                  <c:v>100</c:v>
                </c:pt>
                <c:pt idx="23">
                  <c:v>100</c:v>
                </c:pt>
                <c:pt idx="24">
                  <c:v>100</c:v>
                </c:pt>
                <c:pt idx="25">
                  <c:v>100</c:v>
                </c:pt>
                <c:pt idx="26">
                  <c:v>100</c:v>
                </c:pt>
                <c:pt idx="27">
                  <c:v>100</c:v>
                </c:pt>
                <c:pt idx="28">
                  <c:v>100</c:v>
                </c:pt>
                <c:pt idx="29">
                  <c:v>100</c:v>
                </c:pt>
                <c:pt idx="30">
                  <c:v>100</c:v>
                </c:pt>
                <c:pt idx="31">
                  <c:v>100</c:v>
                </c:pt>
                <c:pt idx="32">
                  <c:v>100</c:v>
                </c:pt>
                <c:pt idx="33">
                  <c:v>100</c:v>
                </c:pt>
                <c:pt idx="34">
                  <c:v>100</c:v>
                </c:pt>
                <c:pt idx="35">
                  <c:v>100</c:v>
                </c:pt>
                <c:pt idx="36">
                  <c:v>100</c:v>
                </c:pt>
                <c:pt idx="37">
                  <c:v>100</c:v>
                </c:pt>
                <c:pt idx="38">
                  <c:v>100</c:v>
                </c:pt>
                <c:pt idx="39">
                  <c:v>100</c:v>
                </c:pt>
                <c:pt idx="40">
                  <c:v>100</c:v>
                </c:pt>
                <c:pt idx="41">
                  <c:v>100</c:v>
                </c:pt>
                <c:pt idx="42">
                  <c:v>100</c:v>
                </c:pt>
                <c:pt idx="43">
                  <c:v>100</c:v>
                </c:pt>
                <c:pt idx="44">
                  <c:v>100</c:v>
                </c:pt>
                <c:pt idx="45">
                  <c:v>100</c:v>
                </c:pt>
                <c:pt idx="46">
                  <c:v>100</c:v>
                </c:pt>
                <c:pt idx="47">
                  <c:v>100</c:v>
                </c:pt>
                <c:pt idx="48">
                  <c:v>100</c:v>
                </c:pt>
                <c:pt idx="49">
                  <c:v>100</c:v>
                </c:pt>
                <c:pt idx="50">
                  <c:v>100</c:v>
                </c:pt>
                <c:pt idx="51">
                  <c:v>100</c:v>
                </c:pt>
                <c:pt idx="52">
                  <c:v>100</c:v>
                </c:pt>
                <c:pt idx="53">
                  <c:v>100</c:v>
                </c:pt>
                <c:pt idx="54">
                  <c:v>100</c:v>
                </c:pt>
                <c:pt idx="55">
                  <c:v>100</c:v>
                </c:pt>
                <c:pt idx="56">
                  <c:v>100</c:v>
                </c:pt>
                <c:pt idx="57">
                  <c:v>100</c:v>
                </c:pt>
                <c:pt idx="58">
                  <c:v>100</c:v>
                </c:pt>
                <c:pt idx="59">
                  <c:v>100</c:v>
                </c:pt>
                <c:pt idx="60">
                  <c:v>100</c:v>
                </c:pt>
                <c:pt idx="61">
                  <c:v>100</c:v>
                </c:pt>
                <c:pt idx="62">
                  <c:v>100</c:v>
                </c:pt>
                <c:pt idx="63">
                  <c:v>100</c:v>
                </c:pt>
                <c:pt idx="64">
                  <c:v>100</c:v>
                </c:pt>
                <c:pt idx="65">
                  <c:v>100</c:v>
                </c:pt>
                <c:pt idx="66">
                  <c:v>100</c:v>
                </c:pt>
                <c:pt idx="67">
                  <c:v>100</c:v>
                </c:pt>
                <c:pt idx="68">
                  <c:v>100</c:v>
                </c:pt>
                <c:pt idx="69">
                  <c:v>100</c:v>
                </c:pt>
              </c:numCache>
            </c:numRef>
          </c:val>
          <c:smooth val="1"/>
        </c:ser>
        <c:ser>
          <c:idx val="1"/>
          <c:order val="1"/>
          <c:spPr>
            <a:solidFill>
              <a:srgbClr val="be4b48"/>
            </a:solidFill>
            <a:ln w="28440">
              <a:solidFill>
                <a:srgbClr val="be4b48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'Weekly PLAN'!$H$6:$BY$6</c:f>
              <c:strCache>
                <c:ptCount val="70"/>
                <c:pt idx="0">
                  <c:v>26/10/26</c:v>
                </c:pt>
                <c:pt idx="1">
                  <c:v>2/11/26</c:v>
                </c:pt>
                <c:pt idx="2">
                  <c:v>9/11/26</c:v>
                </c:pt>
                <c:pt idx="3">
                  <c:v>16/11/26</c:v>
                </c:pt>
                <c:pt idx="4">
                  <c:v>23/11/26</c:v>
                </c:pt>
                <c:pt idx="5">
                  <c:v>30/11/26</c:v>
                </c:pt>
                <c:pt idx="6">
                  <c:v>7/12/26</c:v>
                </c:pt>
                <c:pt idx="7">
                  <c:v>14/12/26</c:v>
                </c:pt>
                <c:pt idx="8">
                  <c:v>21/12/26</c:v>
                </c:pt>
                <c:pt idx="9">
                  <c:v>28/12/26</c:v>
                </c:pt>
                <c:pt idx="10">
                  <c:v>4/1/27</c:v>
                </c:pt>
                <c:pt idx="11">
                  <c:v>11/1/27</c:v>
                </c:pt>
                <c:pt idx="12">
                  <c:v>18/1/27</c:v>
                </c:pt>
                <c:pt idx="13">
                  <c:v>25/1/27</c:v>
                </c:pt>
                <c:pt idx="14">
                  <c:v>1/2/27</c:v>
                </c:pt>
                <c:pt idx="15">
                  <c:v>8/2/27</c:v>
                </c:pt>
                <c:pt idx="16">
                  <c:v>15/2/27</c:v>
                </c:pt>
                <c:pt idx="17">
                  <c:v>22/2/27</c:v>
                </c:pt>
                <c:pt idx="18">
                  <c:v>1/3/27</c:v>
                </c:pt>
                <c:pt idx="19">
                  <c:v>8/3/27</c:v>
                </c:pt>
                <c:pt idx="20">
                  <c:v>15/3/27</c:v>
                </c:pt>
                <c:pt idx="21">
                  <c:v>22/3/27</c:v>
                </c:pt>
                <c:pt idx="22">
                  <c:v>29/3/27</c:v>
                </c:pt>
                <c:pt idx="23">
                  <c:v>5/4/27</c:v>
                </c:pt>
                <c:pt idx="24">
                  <c:v>12/4/27</c:v>
                </c:pt>
                <c:pt idx="25">
                  <c:v>19/4/27</c:v>
                </c:pt>
                <c:pt idx="26">
                  <c:v>26/4/27</c:v>
                </c:pt>
                <c:pt idx="27">
                  <c:v>3/5/27</c:v>
                </c:pt>
                <c:pt idx="28">
                  <c:v>10/5/27</c:v>
                </c:pt>
                <c:pt idx="29">
                  <c:v>17/5/27</c:v>
                </c:pt>
                <c:pt idx="30">
                  <c:v>24/5/27</c:v>
                </c:pt>
                <c:pt idx="31">
                  <c:v>31/5/27</c:v>
                </c:pt>
                <c:pt idx="32">
                  <c:v>7/6/27</c:v>
                </c:pt>
                <c:pt idx="33">
                  <c:v>14/6/27</c:v>
                </c:pt>
                <c:pt idx="34">
                  <c:v>21/6/27</c:v>
                </c:pt>
                <c:pt idx="35">
                  <c:v>28/6/27</c:v>
                </c:pt>
                <c:pt idx="36">
                  <c:v>5/7/27</c:v>
                </c:pt>
                <c:pt idx="37">
                  <c:v>12/7/27</c:v>
                </c:pt>
                <c:pt idx="38">
                  <c:v>19/7/27</c:v>
                </c:pt>
                <c:pt idx="39">
                  <c:v>26/7/27</c:v>
                </c:pt>
                <c:pt idx="40">
                  <c:v>2/8/27</c:v>
                </c:pt>
                <c:pt idx="41">
                  <c:v>9/8/27</c:v>
                </c:pt>
                <c:pt idx="42">
                  <c:v>16/8/27</c:v>
                </c:pt>
                <c:pt idx="43">
                  <c:v>23/8/27</c:v>
                </c:pt>
                <c:pt idx="44">
                  <c:v>30/8/27</c:v>
                </c:pt>
                <c:pt idx="45">
                  <c:v>6/9/27</c:v>
                </c:pt>
                <c:pt idx="46">
                  <c:v>13/9/27</c:v>
                </c:pt>
                <c:pt idx="47">
                  <c:v>20/9/27</c:v>
                </c:pt>
                <c:pt idx="48">
                  <c:v>27/9/27</c:v>
                </c:pt>
                <c:pt idx="49">
                  <c:v>4/10/27</c:v>
                </c:pt>
                <c:pt idx="50">
                  <c:v>11/10/27</c:v>
                </c:pt>
                <c:pt idx="51">
                  <c:v>18/10/27</c:v>
                </c:pt>
                <c:pt idx="52">
                  <c:v>25/10/27</c:v>
                </c:pt>
                <c:pt idx="53">
                  <c:v>1/11/27</c:v>
                </c:pt>
                <c:pt idx="54">
                  <c:v>8/11/27</c:v>
                </c:pt>
                <c:pt idx="55">
                  <c:v>15/11/27</c:v>
                </c:pt>
                <c:pt idx="56">
                  <c:v>22/11/27</c:v>
                </c:pt>
                <c:pt idx="57">
                  <c:v>29/11/27</c:v>
                </c:pt>
                <c:pt idx="58">
                  <c:v>6/12/27</c:v>
                </c:pt>
                <c:pt idx="59">
                  <c:v>13/12/27</c:v>
                </c:pt>
                <c:pt idx="60">
                  <c:v>20/12/27</c:v>
                </c:pt>
                <c:pt idx="61">
                  <c:v>27/12/27</c:v>
                </c:pt>
                <c:pt idx="62">
                  <c:v>3/1/28</c:v>
                </c:pt>
                <c:pt idx="63">
                  <c:v>10/1/28</c:v>
                </c:pt>
                <c:pt idx="64">
                  <c:v>17/1/28</c:v>
                </c:pt>
                <c:pt idx="65">
                  <c:v>24/1/28</c:v>
                </c:pt>
                <c:pt idx="66">
                  <c:v>31/1/28</c:v>
                </c:pt>
                <c:pt idx="67">
                  <c:v>7/2/28</c:v>
                </c:pt>
                <c:pt idx="68">
                  <c:v>14/2/28</c:v>
                </c:pt>
                <c:pt idx="69">
                  <c:v>21/2/28</c:v>
                </c:pt>
              </c:strCache>
            </c:strRef>
          </c:cat>
          <c:val>
            <c:numRef>
              <c:f>'Weekly PLAN'!$H$50:$BY$50</c:f>
              <c:numCache>
                <c:formatCode>0.0</c:formatCode>
                <c:ptCount val="70"/>
                <c:pt idx="0">
                  <c:v>0</c:v>
                </c:pt>
                <c:pt idx="1">
                  <c:v>0</c:v>
                </c:pt>
              </c:numCache>
            </c:numRef>
          </c:val>
          <c:smooth val="1"/>
        </c:ser>
        <c:hiLowLines>
          <c:spPr>
            <a:ln w="0">
              <a:noFill/>
            </a:ln>
          </c:spPr>
        </c:hiLowLines>
        <c:marker val="0"/>
        <c:axId val="44417331"/>
        <c:axId val="8557235"/>
      </c:lineChart>
      <c:catAx>
        <c:axId val="44417331"/>
        <c:scaling>
          <c:orientation val="minMax"/>
        </c:scaling>
        <c:delete val="0"/>
        <c:axPos val="b"/>
        <c:numFmt formatCode="d/m/yy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8557235"/>
        <c:crosses val="autoZero"/>
        <c:auto val="1"/>
        <c:lblAlgn val="ctr"/>
        <c:lblOffset val="100"/>
        <c:noMultiLvlLbl val="0"/>
      </c:catAx>
      <c:valAx>
        <c:axId val="8557235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%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0.0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44417331"/>
        <c:crosses val="autoZero"/>
        <c:crossBetween val="between"/>
      </c:valAx>
      <c:spPr>
        <a:noFill/>
        <a:ln w="0">
          <a:noFill/>
        </a:ln>
      </c:spPr>
    </c:plotArea>
    <c:legend>
      <c:legendPos val="b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Calibri"/>
            </a:defRPr>
          </a:pPr>
        </a:p>
      </c:txPr>
    </c:legend>
    <c:plotVisOnly val="1"/>
    <c:dispBlanksAs val="zero"/>
  </c:chart>
  <c:spPr>
    <a:solidFill>
      <a:srgbClr val="ffffff"/>
    </a:solidFill>
    <a:ln w="9360">
      <a:solidFill>
        <a:srgbClr val="d9d9d9"/>
      </a:solidFill>
      <a:round/>
    </a:ln>
  </c:spPr>
</c:chartSpace>
</file>

<file path=xl/drawings/_rels/drawing1.xml.rels><?xml version="1.0" encoding="UTF-8"?>
<Relationships xmlns="http://schemas.openxmlformats.org/package/2006/relationships"><Relationship Id="rId1" Type="http://schemas.openxmlformats.org/officeDocument/2006/relationships/chart" Target="../charts/chart1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1</xdr:col>
      <xdr:colOff>0</xdr:colOff>
      <xdr:row>51</xdr:row>
      <xdr:rowOff>160560</xdr:rowOff>
    </xdr:from>
    <xdr:to>
      <xdr:col>18</xdr:col>
      <xdr:colOff>199080</xdr:colOff>
      <xdr:row>65</xdr:row>
      <xdr:rowOff>13320</xdr:rowOff>
    </xdr:to>
    <xdr:graphicFrame>
      <xdr:nvGraphicFramePr>
        <xdr:cNvPr id="0" name="Chart 1"/>
        <xdr:cNvGraphicFramePr/>
      </xdr:nvGraphicFramePr>
      <xdr:xfrm>
        <a:off x="352440" y="10267920"/>
        <a:ext cx="10079640" cy="251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2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BV154"/>
  <sheetViews>
    <sheetView showFormulas="false" showGridLines="true" showRowColHeaders="true" showZeros="true" rightToLeft="false" tabSelected="true" showOutlineSymbols="true" defaultGridColor="true" view="normal" topLeftCell="A1" colorId="64" zoomScale="85" zoomScaleNormal="85" zoomScalePageLayoutView="100" workbookViewId="0">
      <pane xSplit="2" ySplit="7" topLeftCell="C8" activePane="bottomRight" state="frozen"/>
      <selection pane="topLeft" activeCell="A1" activeCellId="0" sqref="A1"/>
      <selection pane="topRight" activeCell="C1" activeCellId="0" sqref="C1"/>
      <selection pane="bottomLeft" activeCell="A8" activeCellId="0" sqref="A8"/>
      <selection pane="bottomRight" activeCell="A1" activeCellId="0" sqref="A1"/>
    </sheetView>
  </sheetViews>
  <sheetFormatPr defaultColWidth="8.6796875" defaultRowHeight="15" zeroHeight="false" outlineLevelRow="1" outlineLevelCol="1"/>
  <cols>
    <col collapsed="false" customWidth="true" hidden="false" outlineLevel="0" max="1" min="1" style="0" width="5"/>
    <col collapsed="false" customWidth="true" hidden="false" outlineLevel="0" max="2" min="2" style="0" width="38"/>
    <col collapsed="false" customWidth="true" hidden="true" outlineLevel="1" max="3" min="3" style="0" width="24"/>
    <col collapsed="false" customWidth="true" hidden="false" outlineLevel="0" max="4" min="4" style="0" width="9"/>
    <col collapsed="false" customWidth="true" hidden="false" outlineLevel="0" max="5" min="5" style="0" width="7"/>
    <col collapsed="false" customWidth="true" hidden="true" outlineLevel="1" max="6" min="6" style="0" width="9"/>
    <col collapsed="false" customWidth="true" hidden="true" outlineLevel="1" max="7" min="7" style="0" width="5"/>
    <col collapsed="false" customWidth="true" hidden="true" outlineLevel="1" max="8" min="8" style="0" width="6"/>
    <col collapsed="false" customWidth="true" hidden="false" outlineLevel="0" max="9" min="9" style="0" width="9.52"/>
    <col collapsed="false" customWidth="true" hidden="false" outlineLevel="0" max="13" min="13" style="0" width="6"/>
    <col collapsed="false" customWidth="true" hidden="false" outlineLevel="0" max="14" min="14" style="0" width="9.52"/>
    <col collapsed="false" customWidth="true" hidden="false" outlineLevel="0" max="16" min="16" style="0" width="13"/>
    <col collapsed="false" customWidth="true" hidden="false" outlineLevel="0" max="17" min="17" style="0" width="8"/>
    <col collapsed="false" customWidth="true" hidden="true" outlineLevel="1" max="18" min="18" style="0" width="30"/>
    <col collapsed="false" customWidth="true" hidden="false" outlineLevel="0" max="19" min="19" style="0" width="5"/>
    <col collapsed="false" customWidth="true" hidden="true" outlineLevel="0" max="20" min="20" style="0" width="4"/>
    <col collapsed="false" customWidth="true" hidden="false" outlineLevel="0" max="22" min="22" style="0" width="6"/>
    <col collapsed="false" customWidth="true" hidden="true" outlineLevel="1" max="23" min="23" style="0" width="9"/>
    <col collapsed="false" customWidth="true" hidden="true" outlineLevel="1" max="24" min="24" style="0" width="30"/>
    <col collapsed="false" customWidth="true" hidden="true" outlineLevel="1" max="25" min="25" style="0" width="10"/>
    <col collapsed="false" customWidth="true" hidden="false" outlineLevel="0" max="26" min="26" style="0" width="1.51"/>
    <col collapsed="false" customWidth="true" hidden="false" outlineLevel="0" max="27" min="27" style="0" width="3.3"/>
  </cols>
  <sheetData>
    <row r="1" customFormat="false" ht="18" hidden="false" customHeight="true" outlineLevel="0" collapsed="false">
      <c r="A1" s="1" t="s">
        <v>0</v>
      </c>
    </row>
    <row r="2" customFormat="false" ht="15" hidden="false" customHeight="true" outlineLevel="0" collapsed="false">
      <c r="A2" s="2" t="s">
        <v>1</v>
      </c>
    </row>
    <row r="3" customFormat="false" ht="24" hidden="false" customHeight="true" outlineLevel="0" collapsed="false">
      <c r="A3" s="3" t="s">
        <v>2</v>
      </c>
      <c r="C3" s="4" t="s">
        <v>3</v>
      </c>
      <c r="D3" s="4" t="s">
        <v>4</v>
      </c>
      <c r="E3" s="4"/>
      <c r="F3" s="5" t="s">
        <v>5</v>
      </c>
      <c r="G3" s="5"/>
      <c r="H3" s="5"/>
      <c r="J3" s="5" t="s">
        <v>6</v>
      </c>
      <c r="K3" s="5"/>
      <c r="L3" s="4" t="s">
        <v>7</v>
      </c>
      <c r="M3" s="4"/>
      <c r="N3" s="5" t="s">
        <v>8</v>
      </c>
      <c r="O3" s="5"/>
      <c r="P3" s="5" t="s">
        <v>9</v>
      </c>
      <c r="Q3" s="5"/>
      <c r="R3" s="6" t="s">
        <v>10</v>
      </c>
      <c r="AA3" s="7" t="s">
        <v>11</v>
      </c>
      <c r="AB3" s="7"/>
      <c r="AC3" s="7"/>
      <c r="AD3" s="7"/>
      <c r="AE3" s="7"/>
      <c r="AF3" s="7" t="s">
        <v>12</v>
      </c>
      <c r="AG3" s="7"/>
      <c r="AH3" s="7"/>
      <c r="AI3" s="7"/>
      <c r="AJ3" s="7"/>
      <c r="AK3" s="7" t="s">
        <v>13</v>
      </c>
      <c r="AL3" s="7"/>
      <c r="AM3" s="7"/>
      <c r="AN3" s="7"/>
      <c r="AO3" s="7"/>
      <c r="AP3" s="8" t="s">
        <v>14</v>
      </c>
      <c r="AQ3" s="8"/>
      <c r="AR3" s="8"/>
      <c r="AS3" s="8"/>
      <c r="AT3" s="8"/>
      <c r="AU3" s="8" t="s">
        <v>15</v>
      </c>
      <c r="AV3" s="8"/>
      <c r="AW3" s="8"/>
      <c r="AX3" s="8"/>
      <c r="AY3" s="8"/>
      <c r="AZ3" s="8" t="s">
        <v>16</v>
      </c>
      <c r="BA3" s="8"/>
      <c r="BB3" s="8"/>
      <c r="BC3" s="8"/>
      <c r="BD3" s="8"/>
      <c r="BE3" s="8" t="s">
        <v>17</v>
      </c>
      <c r="BF3" s="8"/>
      <c r="BG3" s="8"/>
      <c r="BH3" s="8"/>
      <c r="BI3" s="8"/>
      <c r="BJ3" s="8" t="s">
        <v>18</v>
      </c>
      <c r="BK3" s="8"/>
      <c r="BL3" s="8"/>
      <c r="BM3" s="8"/>
      <c r="BN3" s="8"/>
    </row>
    <row r="4" customFormat="false" ht="21.75" hidden="false" customHeight="true" outlineLevel="0" collapsed="false">
      <c r="C4" s="9" t="n">
        <v>46403</v>
      </c>
      <c r="D4" s="9" t="n">
        <v>46328</v>
      </c>
      <c r="E4" s="9"/>
      <c r="F4" s="10" t="n">
        <v>46433</v>
      </c>
      <c r="G4" s="10"/>
      <c r="H4" s="10"/>
      <c r="J4" s="11" t="n">
        <v>0</v>
      </c>
      <c r="K4" s="11"/>
      <c r="L4" s="12" t="n">
        <v>-36</v>
      </c>
      <c r="M4" s="12"/>
      <c r="N4" s="12" t="n">
        <v>-3</v>
      </c>
      <c r="O4" s="12"/>
      <c r="P4" s="13" t="s">
        <v>19</v>
      </c>
      <c r="Q4" s="13"/>
      <c r="R4" s="6" t="s">
        <v>20</v>
      </c>
      <c r="AA4" s="14" t="s">
        <v>21</v>
      </c>
      <c r="AB4" s="14"/>
      <c r="AC4" s="14"/>
      <c r="AD4" s="14"/>
      <c r="AE4" s="14"/>
      <c r="AF4" s="14" t="s">
        <v>22</v>
      </c>
      <c r="AG4" s="14"/>
      <c r="AH4" s="14"/>
      <c r="AI4" s="14"/>
      <c r="AJ4" s="14"/>
      <c r="AK4" s="15" t="n">
        <v>0</v>
      </c>
      <c r="AL4" s="15"/>
      <c r="AM4" s="15"/>
      <c r="AN4" s="15"/>
      <c r="AO4" s="15"/>
      <c r="AP4" s="14" t="s">
        <v>23</v>
      </c>
      <c r="AQ4" s="14"/>
      <c r="AR4" s="14"/>
      <c r="AS4" s="14"/>
      <c r="AT4" s="14"/>
      <c r="AU4" s="14" t="s">
        <v>24</v>
      </c>
      <c r="AV4" s="14"/>
      <c r="AW4" s="14"/>
      <c r="AX4" s="14"/>
      <c r="AY4" s="14"/>
      <c r="AZ4" s="15" t="n">
        <v>0</v>
      </c>
      <c r="BA4" s="15"/>
      <c r="BB4" s="15"/>
      <c r="BC4" s="15"/>
      <c r="BD4" s="15"/>
      <c r="BE4" s="16" t="s">
        <v>25</v>
      </c>
      <c r="BF4" s="16"/>
      <c r="BG4" s="16"/>
      <c r="BH4" s="16"/>
      <c r="BI4" s="16"/>
      <c r="BJ4" s="14" t="s">
        <v>26</v>
      </c>
      <c r="BK4" s="14"/>
      <c r="BL4" s="14"/>
      <c r="BM4" s="14"/>
      <c r="BN4" s="14"/>
    </row>
    <row r="5" customFormat="false" ht="15" hidden="false" customHeight="true" outlineLevel="0" collapsed="false">
      <c r="A5" s="17" t="s">
        <v>27</v>
      </c>
      <c r="B5" s="18" t="s">
        <v>28</v>
      </c>
      <c r="C5" s="19" t="s">
        <v>29</v>
      </c>
      <c r="AA5" s="20" t="s">
        <v>30</v>
      </c>
      <c r="AB5" s="21" t="s">
        <v>31</v>
      </c>
      <c r="AC5" s="21"/>
      <c r="AD5" s="21"/>
      <c r="AE5" s="21"/>
      <c r="AF5" s="20" t="s">
        <v>32</v>
      </c>
      <c r="AG5" s="21"/>
      <c r="AH5" s="21"/>
      <c r="AI5" s="21"/>
      <c r="AJ5" s="21"/>
      <c r="AK5" s="20" t="s">
        <v>33</v>
      </c>
      <c r="AL5" s="22"/>
      <c r="AM5" s="22"/>
      <c r="AN5" s="22"/>
      <c r="AO5" s="22"/>
      <c r="AP5" s="23" t="s">
        <v>34</v>
      </c>
    </row>
    <row r="6" customFormat="false" ht="15" hidden="false" customHeight="true" outlineLevel="0" collapsed="false">
      <c r="A6" s="24" t="s">
        <v>35</v>
      </c>
      <c r="B6" s="24"/>
      <c r="C6" s="24"/>
      <c r="D6" s="24"/>
      <c r="E6" s="24" t="s">
        <v>36</v>
      </c>
      <c r="F6" s="24"/>
      <c r="G6" s="24"/>
      <c r="H6" s="24"/>
      <c r="I6" s="25" t="s">
        <v>37</v>
      </c>
      <c r="J6" s="25"/>
      <c r="K6" s="24" t="s">
        <v>38</v>
      </c>
      <c r="L6" s="24"/>
      <c r="M6" s="24"/>
      <c r="N6" s="24" t="s">
        <v>39</v>
      </c>
      <c r="O6" s="24"/>
      <c r="P6" s="24"/>
      <c r="Q6" s="24"/>
      <c r="R6" s="26"/>
      <c r="AA6" s="27" t="s">
        <v>40</v>
      </c>
      <c r="AB6" s="27" t="s">
        <v>41</v>
      </c>
      <c r="AC6" s="27"/>
      <c r="AD6" s="27"/>
      <c r="AE6" s="27"/>
      <c r="AF6" s="27"/>
      <c r="AG6" s="27" t="s">
        <v>42</v>
      </c>
      <c r="AH6" s="27"/>
      <c r="AI6" s="27"/>
      <c r="AJ6" s="27"/>
      <c r="AK6" s="27" t="s">
        <v>43</v>
      </c>
      <c r="AL6" s="27"/>
      <c r="AM6" s="27"/>
      <c r="AN6" s="27"/>
      <c r="AO6" s="27" t="s">
        <v>44</v>
      </c>
      <c r="AP6" s="27"/>
      <c r="AQ6" s="27"/>
      <c r="AR6" s="27"/>
      <c r="AS6" s="27" t="s">
        <v>45</v>
      </c>
      <c r="AT6" s="27"/>
      <c r="AU6" s="27"/>
      <c r="AV6" s="27"/>
      <c r="AW6" s="27"/>
      <c r="AX6" s="27" t="s">
        <v>46</v>
      </c>
      <c r="AY6" s="27"/>
      <c r="AZ6" s="27"/>
      <c r="BA6" s="27"/>
      <c r="BB6" s="27" t="s">
        <v>47</v>
      </c>
      <c r="BC6" s="27"/>
      <c r="BD6" s="27"/>
      <c r="BE6" s="27"/>
      <c r="BF6" s="27"/>
      <c r="BG6" s="27" t="s">
        <v>48</v>
      </c>
      <c r="BH6" s="27"/>
      <c r="BI6" s="27"/>
      <c r="BJ6" s="27"/>
      <c r="BK6" s="27" t="s">
        <v>49</v>
      </c>
      <c r="BL6" s="27"/>
      <c r="BM6" s="27"/>
      <c r="BN6" s="27"/>
      <c r="BO6" s="27" t="s">
        <v>50</v>
      </c>
      <c r="BP6" s="27"/>
      <c r="BQ6" s="27"/>
      <c r="BR6" s="27"/>
      <c r="BS6" s="27"/>
      <c r="BT6" s="27" t="s">
        <v>51</v>
      </c>
      <c r="BU6" s="27"/>
      <c r="BV6" s="27"/>
    </row>
    <row r="7" customFormat="false" ht="30" hidden="false" customHeight="true" outlineLevel="0" collapsed="false">
      <c r="A7" s="28" t="s">
        <v>52</v>
      </c>
      <c r="B7" s="29" t="s">
        <v>35</v>
      </c>
      <c r="C7" s="29" t="s">
        <v>53</v>
      </c>
      <c r="D7" s="29" t="s">
        <v>54</v>
      </c>
      <c r="E7" s="29" t="s">
        <v>55</v>
      </c>
      <c r="F7" s="29" t="s">
        <v>56</v>
      </c>
      <c r="G7" s="29" t="s">
        <v>57</v>
      </c>
      <c r="H7" s="29" t="s">
        <v>58</v>
      </c>
      <c r="I7" s="29" t="s">
        <v>59</v>
      </c>
      <c r="J7" s="29" t="s">
        <v>60</v>
      </c>
      <c r="K7" s="29" t="s">
        <v>59</v>
      </c>
      <c r="L7" s="29" t="s">
        <v>61</v>
      </c>
      <c r="M7" s="29" t="s">
        <v>62</v>
      </c>
      <c r="N7" s="29" t="s">
        <v>59</v>
      </c>
      <c r="O7" s="29" t="s">
        <v>60</v>
      </c>
      <c r="P7" s="29" t="s">
        <v>63</v>
      </c>
      <c r="Q7" s="29" t="s">
        <v>64</v>
      </c>
      <c r="R7" s="29" t="s">
        <v>65</v>
      </c>
      <c r="S7" s="29" t="s">
        <v>66</v>
      </c>
      <c r="T7" s="28" t="s">
        <v>67</v>
      </c>
      <c r="U7" s="28" t="s">
        <v>68</v>
      </c>
      <c r="V7" s="28" t="s">
        <v>69</v>
      </c>
      <c r="W7" s="29" t="s">
        <v>70</v>
      </c>
      <c r="X7" s="29" t="s">
        <v>71</v>
      </c>
      <c r="Y7" s="29" t="s">
        <v>72</v>
      </c>
      <c r="AA7" s="30" t="n">
        <v>46321</v>
      </c>
      <c r="AB7" s="30" t="n">
        <v>46328</v>
      </c>
      <c r="AC7" s="30" t="n">
        <v>46335</v>
      </c>
      <c r="AD7" s="30" t="n">
        <v>46342</v>
      </c>
      <c r="AE7" s="30" t="n">
        <v>46349</v>
      </c>
      <c r="AF7" s="30" t="n">
        <v>46356</v>
      </c>
      <c r="AG7" s="30" t="n">
        <v>46363</v>
      </c>
      <c r="AH7" s="30" t="n">
        <v>46370</v>
      </c>
      <c r="AI7" s="30" t="n">
        <v>46377</v>
      </c>
      <c r="AJ7" s="30" t="n">
        <v>46384</v>
      </c>
      <c r="AK7" s="30" t="n">
        <v>46391</v>
      </c>
      <c r="AL7" s="30" t="n">
        <v>46398</v>
      </c>
      <c r="AM7" s="30" t="n">
        <v>46405</v>
      </c>
      <c r="AN7" s="30" t="n">
        <v>46412</v>
      </c>
      <c r="AO7" s="30" t="n">
        <v>46419</v>
      </c>
      <c r="AP7" s="30" t="n">
        <v>46426</v>
      </c>
      <c r="AQ7" s="30" t="n">
        <v>46433</v>
      </c>
      <c r="AR7" s="30" t="n">
        <v>46440</v>
      </c>
      <c r="AS7" s="30" t="n">
        <v>46447</v>
      </c>
      <c r="AT7" s="30" t="n">
        <v>46454</v>
      </c>
      <c r="AU7" s="30" t="n">
        <v>46461</v>
      </c>
      <c r="AV7" s="30" t="n">
        <v>46468</v>
      </c>
      <c r="AW7" s="30" t="n">
        <v>46475</v>
      </c>
      <c r="AX7" s="30" t="n">
        <v>46482</v>
      </c>
      <c r="AY7" s="30" t="n">
        <v>46489</v>
      </c>
      <c r="AZ7" s="30" t="n">
        <v>46496</v>
      </c>
      <c r="BA7" s="30" t="n">
        <v>46503</v>
      </c>
      <c r="BB7" s="30" t="n">
        <v>46510</v>
      </c>
      <c r="BC7" s="30" t="n">
        <v>46517</v>
      </c>
      <c r="BD7" s="30" t="n">
        <v>46524</v>
      </c>
      <c r="BE7" s="30" t="n">
        <v>46531</v>
      </c>
      <c r="BF7" s="30" t="n">
        <v>46538</v>
      </c>
      <c r="BG7" s="30" t="n">
        <v>46545</v>
      </c>
      <c r="BH7" s="30" t="n">
        <v>46552</v>
      </c>
      <c r="BI7" s="30" t="n">
        <v>46559</v>
      </c>
      <c r="BJ7" s="30" t="n">
        <v>46566</v>
      </c>
      <c r="BK7" s="30" t="n">
        <v>46573</v>
      </c>
      <c r="BL7" s="30" t="n">
        <v>46580</v>
      </c>
      <c r="BM7" s="30" t="n">
        <v>46587</v>
      </c>
      <c r="BN7" s="30" t="n">
        <v>46594</v>
      </c>
      <c r="BO7" s="30" t="n">
        <v>46601</v>
      </c>
      <c r="BP7" s="30" t="n">
        <v>46608</v>
      </c>
      <c r="BQ7" s="30" t="n">
        <v>46615</v>
      </c>
      <c r="BR7" s="30" t="n">
        <v>46622</v>
      </c>
      <c r="BS7" s="30" t="n">
        <v>46629</v>
      </c>
      <c r="BT7" s="30" t="n">
        <v>46636</v>
      </c>
      <c r="BU7" s="30" t="n">
        <v>46643</v>
      </c>
      <c r="BV7" s="30" t="n">
        <v>46650</v>
      </c>
    </row>
    <row r="8" customFormat="false" ht="15" hidden="false" customHeight="true" outlineLevel="0" collapsed="false">
      <c r="A8" s="31" t="s">
        <v>73</v>
      </c>
      <c r="B8" s="31" t="s">
        <v>74</v>
      </c>
      <c r="C8" s="31"/>
      <c r="D8" s="31"/>
      <c r="E8" s="32" t="n">
        <v>0</v>
      </c>
      <c r="F8" s="31"/>
      <c r="G8" s="31"/>
      <c r="H8" s="31"/>
      <c r="I8" s="33" t="n">
        <v>46328</v>
      </c>
      <c r="J8" s="33" t="n">
        <v>46453</v>
      </c>
      <c r="K8" s="31"/>
      <c r="L8" s="31"/>
      <c r="M8" s="31"/>
      <c r="N8" s="33" t="n">
        <v>46328</v>
      </c>
      <c r="O8" s="33" t="n">
        <v>46450</v>
      </c>
      <c r="P8" s="34" t="s">
        <v>75</v>
      </c>
      <c r="Q8" s="31" t="n">
        <v>-3</v>
      </c>
      <c r="R8" s="31"/>
      <c r="S8" s="31" t="n">
        <v>0</v>
      </c>
      <c r="T8" s="31" t="s">
        <v>76</v>
      </c>
      <c r="U8" s="31"/>
      <c r="V8" s="35" t="n">
        <v>0</v>
      </c>
      <c r="W8" s="31"/>
      <c r="X8" s="31"/>
      <c r="Y8" s="31"/>
      <c r="AA8" s="36"/>
      <c r="AB8" s="36"/>
      <c r="AC8" s="36"/>
      <c r="AD8" s="36"/>
      <c r="AE8" s="36"/>
      <c r="AF8" s="36"/>
      <c r="AG8" s="36"/>
      <c r="AH8" s="36"/>
      <c r="AI8" s="36"/>
      <c r="AJ8" s="36"/>
      <c r="AK8" s="36"/>
      <c r="AL8" s="36"/>
      <c r="AM8" s="36"/>
      <c r="AN8" s="36"/>
      <c r="AO8" s="36"/>
      <c r="AP8" s="36"/>
      <c r="AQ8" s="36"/>
      <c r="AR8" s="36"/>
      <c r="AS8" s="36"/>
      <c r="AT8" s="36"/>
      <c r="AU8" s="36"/>
      <c r="AV8" s="36"/>
      <c r="AW8" s="36"/>
      <c r="AX8" s="36"/>
      <c r="AY8" s="36"/>
      <c r="AZ8" s="36"/>
      <c r="BA8" s="36"/>
      <c r="BB8" s="36"/>
      <c r="BC8" s="36"/>
      <c r="BD8" s="36"/>
      <c r="BE8" s="36"/>
      <c r="BF8" s="36"/>
      <c r="BG8" s="36"/>
      <c r="BH8" s="36"/>
      <c r="BI8" s="36"/>
      <c r="BJ8" s="36"/>
      <c r="BK8" s="36"/>
      <c r="BL8" s="36"/>
      <c r="BM8" s="36"/>
      <c r="BN8" s="36"/>
      <c r="BO8" s="36"/>
      <c r="BP8" s="36"/>
      <c r="BQ8" s="36"/>
      <c r="BR8" s="36"/>
      <c r="BS8" s="36"/>
      <c r="BT8" s="36"/>
      <c r="BU8" s="36"/>
      <c r="BV8" s="36"/>
    </row>
    <row r="9" customFormat="false" ht="15" hidden="false" customHeight="true" outlineLevel="0" collapsed="false">
      <c r="A9" s="37" t="s">
        <v>77</v>
      </c>
      <c r="B9" s="38" t="s">
        <v>78</v>
      </c>
      <c r="C9" s="39"/>
      <c r="D9" s="39" t="s">
        <v>79</v>
      </c>
      <c r="E9" s="40" t="n">
        <v>0</v>
      </c>
      <c r="F9" s="39"/>
      <c r="G9" s="37"/>
      <c r="H9" s="37" t="n">
        <v>1</v>
      </c>
      <c r="I9" s="41" t="n">
        <v>46328</v>
      </c>
      <c r="J9" s="41" t="n">
        <v>46453</v>
      </c>
      <c r="K9" s="42"/>
      <c r="L9" s="42"/>
      <c r="M9" s="43"/>
      <c r="N9" s="44" t="n">
        <v>46328</v>
      </c>
      <c r="O9" s="45" t="n">
        <v>46450</v>
      </c>
      <c r="P9" s="46" t="s">
        <v>75</v>
      </c>
      <c r="Q9" s="37" t="n">
        <v>-3</v>
      </c>
      <c r="R9" s="39"/>
      <c r="S9" s="39" t="n">
        <v>1</v>
      </c>
      <c r="T9" s="39" t="s">
        <v>76</v>
      </c>
      <c r="U9" s="39"/>
      <c r="V9" s="47" t="n">
        <v>0</v>
      </c>
      <c r="W9" s="38" t="s">
        <v>80</v>
      </c>
      <c r="X9" s="39" t="s">
        <v>81</v>
      </c>
      <c r="Y9" s="38" t="s">
        <v>82</v>
      </c>
      <c r="AA9" s="48"/>
      <c r="AB9" s="48"/>
      <c r="AC9" s="48"/>
      <c r="AD9" s="48"/>
      <c r="AE9" s="48"/>
      <c r="AF9" s="48"/>
      <c r="AG9" s="48"/>
      <c r="AH9" s="48"/>
      <c r="AI9" s="48"/>
      <c r="AJ9" s="48"/>
      <c r="AK9" s="48"/>
      <c r="AL9" s="48"/>
      <c r="AM9" s="48"/>
      <c r="AN9" s="48"/>
      <c r="AO9" s="48"/>
      <c r="AP9" s="48"/>
      <c r="AQ9" s="48"/>
      <c r="AR9" s="48"/>
      <c r="AS9" s="48"/>
      <c r="AT9" s="48"/>
      <c r="AU9" s="48"/>
      <c r="AV9" s="48"/>
      <c r="AW9" s="48"/>
      <c r="AX9" s="48"/>
      <c r="AY9" s="48"/>
      <c r="AZ9" s="48"/>
      <c r="BA9" s="48"/>
      <c r="BB9" s="48"/>
      <c r="BC9" s="48"/>
      <c r="BD9" s="48"/>
      <c r="BE9" s="48"/>
      <c r="BF9" s="48"/>
      <c r="BG9" s="48"/>
      <c r="BH9" s="48"/>
      <c r="BI9" s="48"/>
      <c r="BJ9" s="48"/>
      <c r="BK9" s="48"/>
      <c r="BL9" s="48"/>
      <c r="BM9" s="48"/>
      <c r="BN9" s="48"/>
      <c r="BO9" s="48"/>
      <c r="BP9" s="48"/>
      <c r="BQ9" s="48"/>
      <c r="BR9" s="48"/>
      <c r="BS9" s="48"/>
      <c r="BT9" s="48"/>
      <c r="BU9" s="48"/>
      <c r="BV9" s="48"/>
    </row>
    <row r="10" customFormat="false" ht="15" hidden="true" customHeight="true" outlineLevel="1" collapsed="false">
      <c r="A10" s="49" t="s">
        <v>83</v>
      </c>
      <c r="B10" s="50" t="s">
        <v>84</v>
      </c>
      <c r="C10" s="50" t="s">
        <v>85</v>
      </c>
      <c r="D10" s="50" t="s">
        <v>86</v>
      </c>
      <c r="E10" s="51" t="n">
        <v>0</v>
      </c>
      <c r="F10" s="52"/>
      <c r="G10" s="52"/>
      <c r="H10" s="52"/>
      <c r="I10" s="53" t="n">
        <v>46328</v>
      </c>
      <c r="J10" s="53" t="n">
        <v>46340</v>
      </c>
      <c r="K10" s="52"/>
      <c r="L10" s="52"/>
      <c r="M10" s="54" t="s">
        <v>87</v>
      </c>
      <c r="N10" s="55" t="n">
        <v>46328</v>
      </c>
      <c r="O10" s="55" t="n">
        <v>46340</v>
      </c>
      <c r="P10" s="50" t="s">
        <v>75</v>
      </c>
      <c r="Q10" s="52" t="n">
        <v>0</v>
      </c>
      <c r="R10" s="52"/>
      <c r="S10" s="52" t="n">
        <v>2</v>
      </c>
      <c r="T10" s="52" t="s">
        <v>76</v>
      </c>
      <c r="U10" s="52"/>
      <c r="V10" s="56" t="n">
        <v>0</v>
      </c>
      <c r="W10" s="52" t="s">
        <v>80</v>
      </c>
      <c r="X10" s="52"/>
      <c r="Y10" s="52" t="s">
        <v>82</v>
      </c>
      <c r="AA10" s="48"/>
      <c r="AB10" s="48"/>
      <c r="AC10" s="48"/>
      <c r="AD10" s="48"/>
      <c r="AE10" s="48"/>
      <c r="AF10" s="48"/>
      <c r="AG10" s="48"/>
      <c r="AH10" s="48"/>
      <c r="AI10" s="48"/>
      <c r="AJ10" s="48"/>
      <c r="AK10" s="48"/>
      <c r="AL10" s="48"/>
      <c r="AM10" s="48"/>
      <c r="AN10" s="48"/>
      <c r="AO10" s="48"/>
      <c r="AP10" s="48"/>
      <c r="AQ10" s="48"/>
      <c r="AR10" s="48"/>
      <c r="AS10" s="48"/>
      <c r="AT10" s="48"/>
      <c r="AU10" s="48"/>
      <c r="AV10" s="48"/>
      <c r="AW10" s="48"/>
      <c r="AX10" s="48"/>
      <c r="AY10" s="48"/>
      <c r="AZ10" s="48"/>
      <c r="BA10" s="48"/>
      <c r="BB10" s="48"/>
      <c r="BC10" s="48"/>
      <c r="BD10" s="48"/>
      <c r="BE10" s="48"/>
      <c r="BF10" s="48"/>
      <c r="BG10" s="48"/>
      <c r="BH10" s="48"/>
      <c r="BI10" s="48"/>
      <c r="BJ10" s="48"/>
      <c r="BK10" s="48"/>
      <c r="BL10" s="48"/>
      <c r="BM10" s="48"/>
      <c r="BN10" s="48"/>
      <c r="BO10" s="48"/>
      <c r="BP10" s="48"/>
      <c r="BQ10" s="48"/>
      <c r="BR10" s="48"/>
      <c r="BS10" s="48"/>
      <c r="BT10" s="48"/>
      <c r="BU10" s="48"/>
      <c r="BV10" s="48"/>
    </row>
    <row r="11" customFormat="false" ht="15" hidden="true" customHeight="true" outlineLevel="1" collapsed="false">
      <c r="A11" s="49" t="s">
        <v>88</v>
      </c>
      <c r="B11" s="50" t="s">
        <v>89</v>
      </c>
      <c r="C11" s="50" t="s">
        <v>90</v>
      </c>
      <c r="D11" s="50" t="s">
        <v>91</v>
      </c>
      <c r="E11" s="51" t="n">
        <v>0</v>
      </c>
      <c r="F11" s="52"/>
      <c r="G11" s="52"/>
      <c r="H11" s="52"/>
      <c r="I11" s="53" t="n">
        <v>46328</v>
      </c>
      <c r="J11" s="53" t="n">
        <v>46340</v>
      </c>
      <c r="K11" s="52"/>
      <c r="L11" s="52"/>
      <c r="M11" s="54" t="s">
        <v>92</v>
      </c>
      <c r="N11" s="55" t="n">
        <v>46328</v>
      </c>
      <c r="O11" s="55" t="n">
        <v>46340</v>
      </c>
      <c r="P11" s="50" t="s">
        <v>75</v>
      </c>
      <c r="Q11" s="52" t="n">
        <v>0</v>
      </c>
      <c r="R11" s="52"/>
      <c r="S11" s="52" t="n">
        <v>2</v>
      </c>
      <c r="T11" s="52" t="s">
        <v>76</v>
      </c>
      <c r="U11" s="52"/>
      <c r="V11" s="56" t="n">
        <v>0</v>
      </c>
      <c r="W11" s="50" t="s">
        <v>86</v>
      </c>
      <c r="X11" s="52"/>
      <c r="Y11" s="52" t="s">
        <v>82</v>
      </c>
      <c r="AA11" s="48"/>
      <c r="AB11" s="48"/>
      <c r="AC11" s="48"/>
      <c r="AD11" s="48"/>
      <c r="AE11" s="48"/>
      <c r="AF11" s="48"/>
      <c r="AG11" s="48"/>
      <c r="AH11" s="48"/>
      <c r="AI11" s="48"/>
      <c r="AJ11" s="48"/>
      <c r="AK11" s="48"/>
      <c r="AL11" s="48"/>
      <c r="AM11" s="48"/>
      <c r="AN11" s="48"/>
      <c r="AO11" s="48"/>
      <c r="AP11" s="48"/>
      <c r="AQ11" s="48"/>
      <c r="AR11" s="48"/>
      <c r="AS11" s="48"/>
      <c r="AT11" s="48"/>
      <c r="AU11" s="48"/>
      <c r="AV11" s="48"/>
      <c r="AW11" s="48"/>
      <c r="AX11" s="48"/>
      <c r="AY11" s="48"/>
      <c r="AZ11" s="48"/>
      <c r="BA11" s="48"/>
      <c r="BB11" s="48"/>
      <c r="BC11" s="48"/>
      <c r="BD11" s="48"/>
      <c r="BE11" s="48"/>
      <c r="BF11" s="48"/>
      <c r="BG11" s="48"/>
      <c r="BH11" s="48"/>
      <c r="BI11" s="48"/>
      <c r="BJ11" s="48"/>
      <c r="BK11" s="48"/>
      <c r="BL11" s="48"/>
      <c r="BM11" s="48"/>
      <c r="BN11" s="48"/>
      <c r="BO11" s="48"/>
      <c r="BP11" s="48"/>
      <c r="BQ11" s="48"/>
      <c r="BR11" s="48"/>
      <c r="BS11" s="48"/>
      <c r="BT11" s="48"/>
      <c r="BU11" s="48"/>
      <c r="BV11" s="48"/>
    </row>
    <row r="12" customFormat="false" ht="15" hidden="true" customHeight="true" outlineLevel="1" collapsed="false">
      <c r="A12" s="49" t="s">
        <v>93</v>
      </c>
      <c r="B12" s="50" t="s">
        <v>94</v>
      </c>
      <c r="C12" s="52" t="s">
        <v>95</v>
      </c>
      <c r="D12" s="50" t="s">
        <v>91</v>
      </c>
      <c r="E12" s="51" t="n">
        <v>0</v>
      </c>
      <c r="F12" s="52"/>
      <c r="G12" s="52"/>
      <c r="H12" s="52"/>
      <c r="I12" s="53" t="n">
        <v>46328</v>
      </c>
      <c r="J12" s="53" t="n">
        <v>46340</v>
      </c>
      <c r="K12" s="52"/>
      <c r="L12" s="52"/>
      <c r="M12" s="54" t="s">
        <v>96</v>
      </c>
      <c r="N12" s="55" t="n">
        <v>46328</v>
      </c>
      <c r="O12" s="55" t="n">
        <v>46340</v>
      </c>
      <c r="P12" s="50" t="s">
        <v>75</v>
      </c>
      <c r="Q12" s="52" t="n">
        <v>0</v>
      </c>
      <c r="R12" s="52"/>
      <c r="S12" s="52" t="n">
        <v>2</v>
      </c>
      <c r="T12" s="52" t="s">
        <v>76</v>
      </c>
      <c r="U12" s="52"/>
      <c r="V12" s="56" t="n">
        <v>0</v>
      </c>
      <c r="W12" s="50" t="s">
        <v>86</v>
      </c>
      <c r="X12" s="52"/>
      <c r="Y12" s="52" t="s">
        <v>82</v>
      </c>
      <c r="AA12" s="48"/>
      <c r="AB12" s="48"/>
      <c r="AC12" s="48"/>
      <c r="AD12" s="48"/>
      <c r="AE12" s="48"/>
      <c r="AF12" s="48"/>
      <c r="AG12" s="48"/>
      <c r="AH12" s="48"/>
      <c r="AI12" s="48"/>
      <c r="AJ12" s="48"/>
      <c r="AK12" s="48"/>
      <c r="AL12" s="48"/>
      <c r="AM12" s="48"/>
      <c r="AN12" s="48"/>
      <c r="AO12" s="48"/>
      <c r="AP12" s="48"/>
      <c r="AQ12" s="48"/>
      <c r="AR12" s="48"/>
      <c r="AS12" s="48"/>
      <c r="AT12" s="48"/>
      <c r="AU12" s="48"/>
      <c r="AV12" s="48"/>
      <c r="AW12" s="48"/>
      <c r="AX12" s="48"/>
      <c r="AY12" s="48"/>
      <c r="AZ12" s="48"/>
      <c r="BA12" s="48"/>
      <c r="BB12" s="48"/>
      <c r="BC12" s="48"/>
      <c r="BD12" s="48"/>
      <c r="BE12" s="48"/>
      <c r="BF12" s="48"/>
      <c r="BG12" s="48"/>
      <c r="BH12" s="48"/>
      <c r="BI12" s="48"/>
      <c r="BJ12" s="48"/>
      <c r="BK12" s="48"/>
      <c r="BL12" s="48"/>
      <c r="BM12" s="48"/>
      <c r="BN12" s="48"/>
      <c r="BO12" s="48"/>
      <c r="BP12" s="48"/>
      <c r="BQ12" s="48"/>
      <c r="BR12" s="48"/>
      <c r="BS12" s="48"/>
      <c r="BT12" s="48"/>
      <c r="BU12" s="48"/>
      <c r="BV12" s="48"/>
    </row>
    <row r="13" customFormat="false" ht="15" hidden="true" customHeight="true" outlineLevel="1" collapsed="false">
      <c r="A13" s="49" t="s">
        <v>97</v>
      </c>
      <c r="B13" s="50" t="s">
        <v>98</v>
      </c>
      <c r="C13" s="50" t="s">
        <v>99</v>
      </c>
      <c r="D13" s="50" t="s">
        <v>91</v>
      </c>
      <c r="E13" s="51" t="n">
        <v>0</v>
      </c>
      <c r="F13" s="52"/>
      <c r="G13" s="52"/>
      <c r="H13" s="52"/>
      <c r="I13" s="53" t="n">
        <v>46328</v>
      </c>
      <c r="J13" s="53" t="n">
        <v>46347</v>
      </c>
      <c r="K13" s="52"/>
      <c r="L13" s="52"/>
      <c r="M13" s="54" t="s">
        <v>100</v>
      </c>
      <c r="N13" s="55" t="n">
        <v>46328</v>
      </c>
      <c r="O13" s="55" t="n">
        <v>46346</v>
      </c>
      <c r="P13" s="50" t="s">
        <v>75</v>
      </c>
      <c r="Q13" s="52" t="n">
        <v>-1</v>
      </c>
      <c r="R13" s="52"/>
      <c r="S13" s="52" t="n">
        <v>2</v>
      </c>
      <c r="T13" s="52" t="s">
        <v>76</v>
      </c>
      <c r="U13" s="52"/>
      <c r="V13" s="56" t="n">
        <v>0</v>
      </c>
      <c r="W13" s="50" t="s">
        <v>86</v>
      </c>
      <c r="X13" s="52"/>
      <c r="Y13" s="52" t="s">
        <v>82</v>
      </c>
      <c r="AA13" s="48"/>
      <c r="AB13" s="48"/>
      <c r="AC13" s="48"/>
      <c r="AD13" s="48"/>
      <c r="AE13" s="48"/>
      <c r="AF13" s="48"/>
      <c r="AG13" s="48"/>
      <c r="AH13" s="48"/>
      <c r="AI13" s="48"/>
      <c r="AJ13" s="48"/>
      <c r="AK13" s="48"/>
      <c r="AL13" s="48"/>
      <c r="AM13" s="48"/>
      <c r="AN13" s="48"/>
      <c r="AO13" s="48"/>
      <c r="AP13" s="48"/>
      <c r="AQ13" s="48"/>
      <c r="AR13" s="48"/>
      <c r="AS13" s="48"/>
      <c r="AT13" s="48"/>
      <c r="AU13" s="48"/>
      <c r="AV13" s="48"/>
      <c r="AW13" s="48"/>
      <c r="AX13" s="48"/>
      <c r="AY13" s="48"/>
      <c r="AZ13" s="48"/>
      <c r="BA13" s="48"/>
      <c r="BB13" s="48"/>
      <c r="BC13" s="48"/>
      <c r="BD13" s="48"/>
      <c r="BE13" s="48"/>
      <c r="BF13" s="48"/>
      <c r="BG13" s="48"/>
      <c r="BH13" s="48"/>
      <c r="BI13" s="48"/>
      <c r="BJ13" s="48"/>
      <c r="BK13" s="48"/>
      <c r="BL13" s="48"/>
      <c r="BM13" s="48"/>
      <c r="BN13" s="48"/>
      <c r="BO13" s="48"/>
      <c r="BP13" s="48"/>
      <c r="BQ13" s="48"/>
      <c r="BR13" s="48"/>
      <c r="BS13" s="48"/>
      <c r="BT13" s="48"/>
      <c r="BU13" s="48"/>
      <c r="BV13" s="48"/>
    </row>
    <row r="14" customFormat="false" ht="15" hidden="true" customHeight="true" outlineLevel="1" collapsed="false">
      <c r="A14" s="49" t="s">
        <v>101</v>
      </c>
      <c r="B14" s="50" t="s">
        <v>102</v>
      </c>
      <c r="C14" s="50" t="s">
        <v>103</v>
      </c>
      <c r="D14" s="50" t="s">
        <v>91</v>
      </c>
      <c r="E14" s="51" t="n">
        <v>0</v>
      </c>
      <c r="F14" s="52"/>
      <c r="G14" s="52"/>
      <c r="H14" s="52"/>
      <c r="I14" s="53" t="n">
        <v>46340</v>
      </c>
      <c r="J14" s="53" t="n">
        <v>46453</v>
      </c>
      <c r="K14" s="52"/>
      <c r="L14" s="52"/>
      <c r="M14" s="54" t="s">
        <v>104</v>
      </c>
      <c r="N14" s="55" t="n">
        <v>46340</v>
      </c>
      <c r="O14" s="55" t="n">
        <v>46450</v>
      </c>
      <c r="P14" s="50" t="s">
        <v>105</v>
      </c>
      <c r="Q14" s="52" t="n">
        <v>-3</v>
      </c>
      <c r="R14" s="52"/>
      <c r="S14" s="52" t="n">
        <v>2</v>
      </c>
      <c r="T14" s="52" t="s">
        <v>106</v>
      </c>
      <c r="U14" s="52"/>
      <c r="V14" s="56" t="n">
        <v>0</v>
      </c>
      <c r="W14" s="50" t="s">
        <v>86</v>
      </c>
      <c r="X14" s="52"/>
      <c r="Y14" s="52" t="s">
        <v>82</v>
      </c>
      <c r="AA14" s="48"/>
      <c r="AB14" s="48"/>
      <c r="AC14" s="48"/>
      <c r="AD14" s="48"/>
      <c r="AE14" s="48"/>
      <c r="AF14" s="48"/>
      <c r="AG14" s="48"/>
      <c r="AH14" s="48"/>
      <c r="AI14" s="48"/>
      <c r="AJ14" s="48"/>
      <c r="AK14" s="48"/>
      <c r="AL14" s="48"/>
      <c r="AM14" s="48"/>
      <c r="AN14" s="48"/>
      <c r="AO14" s="48"/>
      <c r="AP14" s="48"/>
      <c r="AQ14" s="48"/>
      <c r="AR14" s="48"/>
      <c r="AS14" s="48"/>
      <c r="AT14" s="48"/>
      <c r="AU14" s="48"/>
      <c r="AV14" s="48"/>
      <c r="AW14" s="48"/>
      <c r="AX14" s="48"/>
      <c r="AY14" s="48"/>
      <c r="AZ14" s="48"/>
      <c r="BA14" s="48"/>
      <c r="BB14" s="48"/>
      <c r="BC14" s="48"/>
      <c r="BD14" s="48"/>
      <c r="BE14" s="48"/>
      <c r="BF14" s="48"/>
      <c r="BG14" s="48"/>
      <c r="BH14" s="48"/>
      <c r="BI14" s="48"/>
      <c r="BJ14" s="48"/>
      <c r="BK14" s="48"/>
      <c r="BL14" s="48"/>
      <c r="BM14" s="48"/>
      <c r="BN14" s="48"/>
      <c r="BO14" s="48"/>
      <c r="BP14" s="48"/>
      <c r="BQ14" s="48"/>
      <c r="BR14" s="48"/>
      <c r="BS14" s="48"/>
      <c r="BT14" s="48"/>
      <c r="BU14" s="48"/>
      <c r="BV14" s="48"/>
    </row>
    <row r="15" customFormat="false" ht="15" hidden="true" customHeight="true" outlineLevel="1" collapsed="false">
      <c r="A15" s="49" t="s">
        <v>107</v>
      </c>
      <c r="B15" s="50" t="s">
        <v>108</v>
      </c>
      <c r="C15" s="52" t="s">
        <v>109</v>
      </c>
      <c r="D15" s="50" t="s">
        <v>86</v>
      </c>
      <c r="E15" s="51" t="n">
        <v>0</v>
      </c>
      <c r="F15" s="52"/>
      <c r="G15" s="52"/>
      <c r="H15" s="52"/>
      <c r="I15" s="53" t="n">
        <v>46340</v>
      </c>
      <c r="J15" s="53" t="n">
        <v>46453</v>
      </c>
      <c r="K15" s="52"/>
      <c r="L15" s="52"/>
      <c r="M15" s="54" t="s">
        <v>110</v>
      </c>
      <c r="N15" s="55" t="n">
        <v>46340</v>
      </c>
      <c r="O15" s="55" t="n">
        <v>46450</v>
      </c>
      <c r="P15" s="50" t="s">
        <v>105</v>
      </c>
      <c r="Q15" s="52" t="n">
        <v>-3</v>
      </c>
      <c r="R15" s="52"/>
      <c r="S15" s="52" t="n">
        <v>2</v>
      </c>
      <c r="T15" s="52" t="s">
        <v>106</v>
      </c>
      <c r="U15" s="52"/>
      <c r="V15" s="56" t="n">
        <v>0</v>
      </c>
      <c r="W15" s="52" t="s">
        <v>80</v>
      </c>
      <c r="X15" s="52"/>
      <c r="Y15" s="52" t="s">
        <v>82</v>
      </c>
      <c r="AA15" s="48"/>
      <c r="AB15" s="48"/>
      <c r="AC15" s="48"/>
      <c r="AD15" s="48"/>
      <c r="AE15" s="48"/>
      <c r="AF15" s="48"/>
      <c r="AG15" s="48"/>
      <c r="AH15" s="48"/>
      <c r="AI15" s="48"/>
      <c r="AJ15" s="48"/>
      <c r="AK15" s="48"/>
      <c r="AL15" s="48"/>
      <c r="AM15" s="48"/>
      <c r="AN15" s="48"/>
      <c r="AO15" s="48"/>
      <c r="AP15" s="48"/>
      <c r="AQ15" s="48"/>
      <c r="AR15" s="48"/>
      <c r="AS15" s="48"/>
      <c r="AT15" s="48"/>
      <c r="AU15" s="48"/>
      <c r="AV15" s="48"/>
      <c r="AW15" s="48"/>
      <c r="AX15" s="48"/>
      <c r="AY15" s="48"/>
      <c r="AZ15" s="48"/>
      <c r="BA15" s="48"/>
      <c r="BB15" s="48"/>
      <c r="BC15" s="48"/>
      <c r="BD15" s="48"/>
      <c r="BE15" s="48"/>
      <c r="BF15" s="48"/>
      <c r="BG15" s="48"/>
      <c r="BH15" s="48"/>
      <c r="BI15" s="48"/>
      <c r="BJ15" s="48"/>
      <c r="BK15" s="48"/>
      <c r="BL15" s="48"/>
      <c r="BM15" s="48"/>
      <c r="BN15" s="48"/>
      <c r="BO15" s="48"/>
      <c r="BP15" s="48"/>
      <c r="BQ15" s="48"/>
      <c r="BR15" s="48"/>
      <c r="BS15" s="48"/>
      <c r="BT15" s="48"/>
      <c r="BU15" s="48"/>
      <c r="BV15" s="48"/>
    </row>
    <row r="16" customFormat="false" ht="15" hidden="false" customHeight="true" outlineLevel="0" collapsed="false">
      <c r="A16" s="37" t="s">
        <v>111</v>
      </c>
      <c r="B16" s="39" t="s">
        <v>28</v>
      </c>
      <c r="C16" s="39"/>
      <c r="D16" s="38" t="s">
        <v>112</v>
      </c>
      <c r="E16" s="40" t="n">
        <v>0</v>
      </c>
      <c r="F16" s="39" t="s">
        <v>113</v>
      </c>
      <c r="G16" s="37"/>
      <c r="H16" s="37" t="n">
        <v>10</v>
      </c>
      <c r="I16" s="41" t="n">
        <v>46347</v>
      </c>
      <c r="J16" s="41" t="n">
        <v>46358</v>
      </c>
      <c r="K16" s="42"/>
      <c r="L16" s="42"/>
      <c r="M16" s="43"/>
      <c r="N16" s="44" t="n">
        <v>46328</v>
      </c>
      <c r="O16" s="45" t="n">
        <v>46328</v>
      </c>
      <c r="P16" s="46" t="s">
        <v>75</v>
      </c>
      <c r="Q16" s="37" t="n">
        <v>-30</v>
      </c>
      <c r="R16" s="39"/>
      <c r="S16" s="39" t="n">
        <v>1</v>
      </c>
      <c r="T16" s="39" t="s">
        <v>76</v>
      </c>
      <c r="U16" s="57" t="n">
        <v>46328.0016</v>
      </c>
      <c r="V16" s="47" t="n">
        <v>0</v>
      </c>
      <c r="W16" s="39" t="s">
        <v>86</v>
      </c>
      <c r="X16" s="39" t="s">
        <v>114</v>
      </c>
      <c r="Y16" s="38" t="s">
        <v>115</v>
      </c>
      <c r="AA16" s="48"/>
      <c r="AB16" s="48"/>
      <c r="AC16" s="48"/>
      <c r="AD16" s="48"/>
      <c r="AE16" s="48"/>
      <c r="AF16" s="48"/>
      <c r="AG16" s="48"/>
      <c r="AH16" s="48"/>
      <c r="AI16" s="48"/>
      <c r="AJ16" s="48"/>
      <c r="AK16" s="48"/>
      <c r="AL16" s="48"/>
      <c r="AM16" s="48"/>
      <c r="AN16" s="48"/>
      <c r="AO16" s="48"/>
      <c r="AP16" s="48"/>
      <c r="AQ16" s="48"/>
      <c r="AR16" s="48"/>
      <c r="AS16" s="48"/>
      <c r="AT16" s="48"/>
      <c r="AU16" s="48"/>
      <c r="AV16" s="48"/>
      <c r="AW16" s="48"/>
      <c r="AX16" s="48"/>
      <c r="AY16" s="48"/>
      <c r="AZ16" s="48"/>
      <c r="BA16" s="48"/>
      <c r="BB16" s="48"/>
      <c r="BC16" s="48"/>
      <c r="BD16" s="48"/>
      <c r="BE16" s="48"/>
      <c r="BF16" s="48"/>
      <c r="BG16" s="48"/>
      <c r="BH16" s="48"/>
      <c r="BI16" s="48"/>
      <c r="BJ16" s="48"/>
      <c r="BK16" s="48"/>
      <c r="BL16" s="48"/>
      <c r="BM16" s="48"/>
      <c r="BN16" s="48"/>
      <c r="BO16" s="48"/>
      <c r="BP16" s="48"/>
      <c r="BQ16" s="48"/>
      <c r="BR16" s="48"/>
      <c r="BS16" s="48"/>
      <c r="BT16" s="48"/>
      <c r="BU16" s="48"/>
      <c r="BV16" s="48"/>
    </row>
    <row r="17" customFormat="false" ht="15" hidden="true" customHeight="true" outlineLevel="1" collapsed="false">
      <c r="A17" s="49" t="s">
        <v>116</v>
      </c>
      <c r="B17" s="50" t="s">
        <v>117</v>
      </c>
      <c r="C17" s="50" t="s">
        <v>118</v>
      </c>
      <c r="D17" s="52" t="s">
        <v>112</v>
      </c>
      <c r="E17" s="51" t="n">
        <v>0</v>
      </c>
      <c r="F17" s="52"/>
      <c r="G17" s="52"/>
      <c r="H17" s="52"/>
      <c r="I17" s="53" t="n">
        <v>46347</v>
      </c>
      <c r="J17" s="53" t="n">
        <v>46349</v>
      </c>
      <c r="K17" s="52"/>
      <c r="L17" s="52"/>
      <c r="M17" s="54" t="s">
        <v>119</v>
      </c>
      <c r="N17" s="55" t="n">
        <v>46328</v>
      </c>
      <c r="O17" s="55" t="n">
        <v>46328</v>
      </c>
      <c r="P17" s="50" t="s">
        <v>75</v>
      </c>
      <c r="Q17" s="52" t="n">
        <v>-21</v>
      </c>
      <c r="R17" s="52"/>
      <c r="S17" s="52" t="n">
        <v>2</v>
      </c>
      <c r="T17" s="52" t="s">
        <v>76</v>
      </c>
      <c r="U17" s="52"/>
      <c r="V17" s="56" t="n">
        <v>0</v>
      </c>
      <c r="W17" s="52" t="s">
        <v>80</v>
      </c>
      <c r="X17" s="52"/>
      <c r="Y17" s="52" t="s">
        <v>115</v>
      </c>
      <c r="AA17" s="48"/>
      <c r="AB17" s="48"/>
      <c r="AC17" s="48"/>
      <c r="AD17" s="48"/>
      <c r="AE17" s="48"/>
      <c r="AF17" s="48"/>
      <c r="AG17" s="48"/>
      <c r="AH17" s="48"/>
      <c r="AI17" s="48"/>
      <c r="AJ17" s="48"/>
      <c r="AK17" s="48"/>
      <c r="AL17" s="48"/>
      <c r="AM17" s="48"/>
      <c r="AN17" s="48"/>
      <c r="AO17" s="48"/>
      <c r="AP17" s="48"/>
      <c r="AQ17" s="48"/>
      <c r="AR17" s="48"/>
      <c r="AS17" s="48"/>
      <c r="AT17" s="48"/>
      <c r="AU17" s="48"/>
      <c r="AV17" s="48"/>
      <c r="AW17" s="48"/>
      <c r="AX17" s="48"/>
      <c r="AY17" s="48"/>
      <c r="AZ17" s="48"/>
      <c r="BA17" s="48"/>
      <c r="BB17" s="48"/>
      <c r="BC17" s="48"/>
      <c r="BD17" s="48"/>
      <c r="BE17" s="48"/>
      <c r="BF17" s="48"/>
      <c r="BG17" s="48"/>
      <c r="BH17" s="48"/>
      <c r="BI17" s="48"/>
      <c r="BJ17" s="48"/>
      <c r="BK17" s="48"/>
      <c r="BL17" s="48"/>
      <c r="BM17" s="48"/>
      <c r="BN17" s="48"/>
      <c r="BO17" s="48"/>
      <c r="BP17" s="48"/>
      <c r="BQ17" s="48"/>
      <c r="BR17" s="48"/>
      <c r="BS17" s="48"/>
      <c r="BT17" s="48"/>
      <c r="BU17" s="48"/>
      <c r="BV17" s="48"/>
    </row>
    <row r="18" customFormat="false" ht="15" hidden="true" customHeight="true" outlineLevel="1" collapsed="false">
      <c r="A18" s="49" t="s">
        <v>120</v>
      </c>
      <c r="B18" s="50" t="s">
        <v>121</v>
      </c>
      <c r="C18" s="50" t="s">
        <v>122</v>
      </c>
      <c r="D18" s="50" t="s">
        <v>91</v>
      </c>
      <c r="E18" s="51" t="n">
        <v>0</v>
      </c>
      <c r="F18" s="52"/>
      <c r="G18" s="52"/>
      <c r="H18" s="52"/>
      <c r="I18" s="53" t="n">
        <v>46348</v>
      </c>
      <c r="J18" s="53" t="n">
        <v>46351</v>
      </c>
      <c r="K18" s="52"/>
      <c r="L18" s="52"/>
      <c r="M18" s="54" t="s">
        <v>123</v>
      </c>
      <c r="N18" s="55" t="n">
        <v>46328</v>
      </c>
      <c r="O18" s="55" t="n">
        <v>46328</v>
      </c>
      <c r="P18" s="50" t="s">
        <v>75</v>
      </c>
      <c r="Q18" s="52" t="n">
        <v>-23</v>
      </c>
      <c r="R18" s="52"/>
      <c r="S18" s="52" t="n">
        <v>2</v>
      </c>
      <c r="T18" s="52" t="s">
        <v>76</v>
      </c>
      <c r="U18" s="52"/>
      <c r="V18" s="56" t="n">
        <v>0</v>
      </c>
      <c r="W18" s="50" t="s">
        <v>86</v>
      </c>
      <c r="X18" s="52"/>
      <c r="Y18" s="52" t="s">
        <v>115</v>
      </c>
      <c r="AA18" s="48"/>
      <c r="AB18" s="48"/>
      <c r="AC18" s="48"/>
      <c r="AD18" s="48"/>
      <c r="AE18" s="48"/>
      <c r="AF18" s="48"/>
      <c r="AG18" s="48"/>
      <c r="AH18" s="48"/>
      <c r="AI18" s="48"/>
      <c r="AJ18" s="48"/>
      <c r="AK18" s="48"/>
      <c r="AL18" s="48"/>
      <c r="AM18" s="48"/>
      <c r="AN18" s="48"/>
      <c r="AO18" s="48"/>
      <c r="AP18" s="48"/>
      <c r="AQ18" s="48"/>
      <c r="AR18" s="48"/>
      <c r="AS18" s="48"/>
      <c r="AT18" s="48"/>
      <c r="AU18" s="48"/>
      <c r="AV18" s="48"/>
      <c r="AW18" s="48"/>
      <c r="AX18" s="48"/>
      <c r="AY18" s="48"/>
      <c r="AZ18" s="48"/>
      <c r="BA18" s="48"/>
      <c r="BB18" s="48"/>
      <c r="BC18" s="48"/>
      <c r="BD18" s="48"/>
      <c r="BE18" s="48"/>
      <c r="BF18" s="48"/>
      <c r="BG18" s="48"/>
      <c r="BH18" s="48"/>
      <c r="BI18" s="48"/>
      <c r="BJ18" s="48"/>
      <c r="BK18" s="48"/>
      <c r="BL18" s="48"/>
      <c r="BM18" s="48"/>
      <c r="BN18" s="48"/>
      <c r="BO18" s="48"/>
      <c r="BP18" s="48"/>
      <c r="BQ18" s="48"/>
      <c r="BR18" s="48"/>
      <c r="BS18" s="48"/>
      <c r="BT18" s="48"/>
      <c r="BU18" s="48"/>
      <c r="BV18" s="48"/>
    </row>
    <row r="19" customFormat="false" ht="15" hidden="true" customHeight="true" outlineLevel="1" collapsed="false">
      <c r="A19" s="49" t="s">
        <v>124</v>
      </c>
      <c r="B19" s="50" t="s">
        <v>125</v>
      </c>
      <c r="C19" s="50" t="s">
        <v>126</v>
      </c>
      <c r="D19" s="50" t="s">
        <v>91</v>
      </c>
      <c r="E19" s="51" t="n">
        <v>0</v>
      </c>
      <c r="F19" s="52"/>
      <c r="G19" s="52"/>
      <c r="H19" s="52"/>
      <c r="I19" s="53" t="n">
        <v>46350</v>
      </c>
      <c r="J19" s="53" t="n">
        <v>46355</v>
      </c>
      <c r="K19" s="52"/>
      <c r="L19" s="52"/>
      <c r="M19" s="54" t="s">
        <v>127</v>
      </c>
      <c r="N19" s="55" t="n">
        <v>46328</v>
      </c>
      <c r="O19" s="55" t="n">
        <v>46328</v>
      </c>
      <c r="P19" s="50" t="s">
        <v>75</v>
      </c>
      <c r="Q19" s="52" t="n">
        <v>-27</v>
      </c>
      <c r="R19" s="52"/>
      <c r="S19" s="52" t="n">
        <v>2</v>
      </c>
      <c r="T19" s="52" t="s">
        <v>76</v>
      </c>
      <c r="U19" s="52"/>
      <c r="V19" s="56" t="n">
        <v>0</v>
      </c>
      <c r="W19" s="50" t="s">
        <v>86</v>
      </c>
      <c r="X19" s="52"/>
      <c r="Y19" s="52" t="s">
        <v>115</v>
      </c>
      <c r="AA19" s="48"/>
      <c r="AB19" s="48"/>
      <c r="AC19" s="48"/>
      <c r="AD19" s="48"/>
      <c r="AE19" s="48"/>
      <c r="AF19" s="48"/>
      <c r="AG19" s="48"/>
      <c r="AH19" s="48"/>
      <c r="AI19" s="48"/>
      <c r="AJ19" s="48"/>
      <c r="AK19" s="48"/>
      <c r="AL19" s="48"/>
      <c r="AM19" s="48"/>
      <c r="AN19" s="48"/>
      <c r="AO19" s="48"/>
      <c r="AP19" s="48"/>
      <c r="AQ19" s="48"/>
      <c r="AR19" s="48"/>
      <c r="AS19" s="48"/>
      <c r="AT19" s="48"/>
      <c r="AU19" s="48"/>
      <c r="AV19" s="48"/>
      <c r="AW19" s="48"/>
      <c r="AX19" s="48"/>
      <c r="AY19" s="48"/>
      <c r="AZ19" s="48"/>
      <c r="BA19" s="48"/>
      <c r="BB19" s="48"/>
      <c r="BC19" s="48"/>
      <c r="BD19" s="48"/>
      <c r="BE19" s="48"/>
      <c r="BF19" s="48"/>
      <c r="BG19" s="48"/>
      <c r="BH19" s="48"/>
      <c r="BI19" s="48"/>
      <c r="BJ19" s="48"/>
      <c r="BK19" s="48"/>
      <c r="BL19" s="48"/>
      <c r="BM19" s="48"/>
      <c r="BN19" s="48"/>
      <c r="BO19" s="48"/>
      <c r="BP19" s="48"/>
      <c r="BQ19" s="48"/>
      <c r="BR19" s="48"/>
      <c r="BS19" s="48"/>
      <c r="BT19" s="48"/>
      <c r="BU19" s="48"/>
      <c r="BV19" s="48"/>
    </row>
    <row r="20" customFormat="false" ht="15" hidden="true" customHeight="true" outlineLevel="1" collapsed="false">
      <c r="A20" s="49" t="s">
        <v>128</v>
      </c>
      <c r="B20" s="50" t="s">
        <v>129</v>
      </c>
      <c r="C20" s="50" t="s">
        <v>130</v>
      </c>
      <c r="D20" s="50" t="s">
        <v>91</v>
      </c>
      <c r="E20" s="51" t="n">
        <v>0</v>
      </c>
      <c r="F20" s="52"/>
      <c r="G20" s="52"/>
      <c r="H20" s="52"/>
      <c r="I20" s="53" t="n">
        <v>46350</v>
      </c>
      <c r="J20" s="53" t="n">
        <v>46355</v>
      </c>
      <c r="K20" s="52"/>
      <c r="L20" s="52"/>
      <c r="M20" s="54" t="s">
        <v>131</v>
      </c>
      <c r="N20" s="55" t="n">
        <v>46328</v>
      </c>
      <c r="O20" s="55" t="n">
        <v>46328</v>
      </c>
      <c r="P20" s="50" t="s">
        <v>75</v>
      </c>
      <c r="Q20" s="52" t="n">
        <v>-27</v>
      </c>
      <c r="R20" s="52"/>
      <c r="S20" s="52" t="n">
        <v>2</v>
      </c>
      <c r="T20" s="52" t="s">
        <v>76</v>
      </c>
      <c r="U20" s="52"/>
      <c r="V20" s="56" t="n">
        <v>0</v>
      </c>
      <c r="W20" s="50" t="s">
        <v>86</v>
      </c>
      <c r="X20" s="52"/>
      <c r="Y20" s="52" t="s">
        <v>115</v>
      </c>
      <c r="AA20" s="48"/>
      <c r="AB20" s="48"/>
      <c r="AC20" s="48"/>
      <c r="AD20" s="48"/>
      <c r="AE20" s="48"/>
      <c r="AF20" s="48"/>
      <c r="AG20" s="48"/>
      <c r="AH20" s="48"/>
      <c r="AI20" s="48"/>
      <c r="AJ20" s="48"/>
      <c r="AK20" s="48"/>
      <c r="AL20" s="48"/>
      <c r="AM20" s="48"/>
      <c r="AN20" s="48"/>
      <c r="AO20" s="48"/>
      <c r="AP20" s="48"/>
      <c r="AQ20" s="48"/>
      <c r="AR20" s="48"/>
      <c r="AS20" s="48"/>
      <c r="AT20" s="48"/>
      <c r="AU20" s="48"/>
      <c r="AV20" s="48"/>
      <c r="AW20" s="48"/>
      <c r="AX20" s="48"/>
      <c r="AY20" s="48"/>
      <c r="AZ20" s="48"/>
      <c r="BA20" s="48"/>
      <c r="BB20" s="48"/>
      <c r="BC20" s="48"/>
      <c r="BD20" s="48"/>
      <c r="BE20" s="48"/>
      <c r="BF20" s="48"/>
      <c r="BG20" s="48"/>
      <c r="BH20" s="48"/>
      <c r="BI20" s="48"/>
      <c r="BJ20" s="48"/>
      <c r="BK20" s="48"/>
      <c r="BL20" s="48"/>
      <c r="BM20" s="48"/>
      <c r="BN20" s="48"/>
      <c r="BO20" s="48"/>
      <c r="BP20" s="48"/>
      <c r="BQ20" s="48"/>
      <c r="BR20" s="48"/>
      <c r="BS20" s="48"/>
      <c r="BT20" s="48"/>
      <c r="BU20" s="48"/>
      <c r="BV20" s="48"/>
    </row>
    <row r="21" customFormat="false" ht="15" hidden="true" customHeight="true" outlineLevel="1" collapsed="false">
      <c r="A21" s="49" t="s">
        <v>132</v>
      </c>
      <c r="B21" s="50" t="s">
        <v>133</v>
      </c>
      <c r="C21" s="50" t="s">
        <v>134</v>
      </c>
      <c r="D21" s="50" t="s">
        <v>91</v>
      </c>
      <c r="E21" s="51" t="n">
        <v>0</v>
      </c>
      <c r="F21" s="52"/>
      <c r="G21" s="52"/>
      <c r="H21" s="52"/>
      <c r="I21" s="53" t="n">
        <v>46351</v>
      </c>
      <c r="J21" s="53" t="n">
        <v>46356</v>
      </c>
      <c r="K21" s="52"/>
      <c r="L21" s="52"/>
      <c r="M21" s="54" t="s">
        <v>135</v>
      </c>
      <c r="N21" s="55" t="n">
        <v>46328</v>
      </c>
      <c r="O21" s="55" t="n">
        <v>46328</v>
      </c>
      <c r="P21" s="50" t="s">
        <v>75</v>
      </c>
      <c r="Q21" s="52" t="n">
        <v>-28</v>
      </c>
      <c r="R21" s="52"/>
      <c r="S21" s="52" t="n">
        <v>2</v>
      </c>
      <c r="T21" s="52" t="s">
        <v>76</v>
      </c>
      <c r="U21" s="52"/>
      <c r="V21" s="56" t="n">
        <v>0</v>
      </c>
      <c r="W21" s="50" t="s">
        <v>86</v>
      </c>
      <c r="X21" s="52"/>
      <c r="Y21" s="52" t="s">
        <v>115</v>
      </c>
      <c r="AA21" s="48"/>
      <c r="AB21" s="48"/>
      <c r="AC21" s="48"/>
      <c r="AD21" s="48"/>
      <c r="AE21" s="48"/>
      <c r="AF21" s="48"/>
      <c r="AG21" s="48"/>
      <c r="AH21" s="48"/>
      <c r="AI21" s="48"/>
      <c r="AJ21" s="48"/>
      <c r="AK21" s="48"/>
      <c r="AL21" s="48"/>
      <c r="AM21" s="48"/>
      <c r="AN21" s="48"/>
      <c r="AO21" s="48"/>
      <c r="AP21" s="48"/>
      <c r="AQ21" s="48"/>
      <c r="AR21" s="48"/>
      <c r="AS21" s="48"/>
      <c r="AT21" s="48"/>
      <c r="AU21" s="48"/>
      <c r="AV21" s="48"/>
      <c r="AW21" s="48"/>
      <c r="AX21" s="48"/>
      <c r="AY21" s="48"/>
      <c r="AZ21" s="48"/>
      <c r="BA21" s="48"/>
      <c r="BB21" s="48"/>
      <c r="BC21" s="48"/>
      <c r="BD21" s="48"/>
      <c r="BE21" s="48"/>
      <c r="BF21" s="48"/>
      <c r="BG21" s="48"/>
      <c r="BH21" s="48"/>
      <c r="BI21" s="48"/>
      <c r="BJ21" s="48"/>
      <c r="BK21" s="48"/>
      <c r="BL21" s="48"/>
      <c r="BM21" s="48"/>
      <c r="BN21" s="48"/>
      <c r="BO21" s="48"/>
      <c r="BP21" s="48"/>
      <c r="BQ21" s="48"/>
      <c r="BR21" s="48"/>
      <c r="BS21" s="48"/>
      <c r="BT21" s="48"/>
      <c r="BU21" s="48"/>
      <c r="BV21" s="48"/>
    </row>
    <row r="22" customFormat="false" ht="15" hidden="true" customHeight="true" outlineLevel="1" collapsed="false">
      <c r="A22" s="49" t="s">
        <v>136</v>
      </c>
      <c r="B22" s="50" t="s">
        <v>137</v>
      </c>
      <c r="C22" s="50" t="s">
        <v>138</v>
      </c>
      <c r="D22" s="50" t="s">
        <v>91</v>
      </c>
      <c r="E22" s="51" t="n">
        <v>0</v>
      </c>
      <c r="F22" s="52"/>
      <c r="G22" s="52"/>
      <c r="H22" s="52"/>
      <c r="I22" s="53" t="n">
        <v>46353</v>
      </c>
      <c r="J22" s="53" t="n">
        <v>46357</v>
      </c>
      <c r="K22" s="52"/>
      <c r="L22" s="52"/>
      <c r="M22" s="54" t="s">
        <v>139</v>
      </c>
      <c r="N22" s="55" t="n">
        <v>46328</v>
      </c>
      <c r="O22" s="55" t="n">
        <v>46328</v>
      </c>
      <c r="P22" s="50" t="s">
        <v>75</v>
      </c>
      <c r="Q22" s="52" t="n">
        <v>-29</v>
      </c>
      <c r="R22" s="52"/>
      <c r="S22" s="52" t="n">
        <v>2</v>
      </c>
      <c r="T22" s="52" t="s">
        <v>76</v>
      </c>
      <c r="U22" s="52"/>
      <c r="V22" s="56" t="n">
        <v>0</v>
      </c>
      <c r="W22" s="50" t="s">
        <v>86</v>
      </c>
      <c r="X22" s="52"/>
      <c r="Y22" s="52" t="s">
        <v>115</v>
      </c>
      <c r="AA22" s="48"/>
      <c r="AB22" s="48"/>
      <c r="AC22" s="48"/>
      <c r="AD22" s="48"/>
      <c r="AE22" s="48"/>
      <c r="AF22" s="48"/>
      <c r="AG22" s="48"/>
      <c r="AH22" s="48"/>
      <c r="AI22" s="48"/>
      <c r="AJ22" s="48"/>
      <c r="AK22" s="48"/>
      <c r="AL22" s="48"/>
      <c r="AM22" s="48"/>
      <c r="AN22" s="48"/>
      <c r="AO22" s="48"/>
      <c r="AP22" s="48"/>
      <c r="AQ22" s="48"/>
      <c r="AR22" s="48"/>
      <c r="AS22" s="48"/>
      <c r="AT22" s="48"/>
      <c r="AU22" s="48"/>
      <c r="AV22" s="48"/>
      <c r="AW22" s="48"/>
      <c r="AX22" s="48"/>
      <c r="AY22" s="48"/>
      <c r="AZ22" s="48"/>
      <c r="BA22" s="48"/>
      <c r="BB22" s="48"/>
      <c r="BC22" s="48"/>
      <c r="BD22" s="48"/>
      <c r="BE22" s="48"/>
      <c r="BF22" s="48"/>
      <c r="BG22" s="48"/>
      <c r="BH22" s="48"/>
      <c r="BI22" s="48"/>
      <c r="BJ22" s="48"/>
      <c r="BK22" s="48"/>
      <c r="BL22" s="48"/>
      <c r="BM22" s="48"/>
      <c r="BN22" s="48"/>
      <c r="BO22" s="48"/>
      <c r="BP22" s="48"/>
      <c r="BQ22" s="48"/>
      <c r="BR22" s="48"/>
      <c r="BS22" s="48"/>
      <c r="BT22" s="48"/>
      <c r="BU22" s="48"/>
      <c r="BV22" s="48"/>
    </row>
    <row r="23" customFormat="false" ht="15" hidden="true" customHeight="true" outlineLevel="1" collapsed="false">
      <c r="A23" s="49" t="s">
        <v>140</v>
      </c>
      <c r="B23" s="50" t="s">
        <v>141</v>
      </c>
      <c r="C23" s="50" t="s">
        <v>142</v>
      </c>
      <c r="D23" s="50" t="s">
        <v>91</v>
      </c>
      <c r="E23" s="51" t="n">
        <v>0</v>
      </c>
      <c r="F23" s="52"/>
      <c r="G23" s="52"/>
      <c r="H23" s="52"/>
      <c r="I23" s="53"/>
      <c r="J23" s="53"/>
      <c r="K23" s="52"/>
      <c r="L23" s="52"/>
      <c r="M23" s="49"/>
      <c r="N23" s="55"/>
      <c r="O23" s="55"/>
      <c r="P23" s="50" t="s">
        <v>143</v>
      </c>
      <c r="Q23" s="52"/>
      <c r="R23" s="52"/>
      <c r="S23" s="52" t="n">
        <v>2</v>
      </c>
      <c r="T23" s="52" t="s">
        <v>144</v>
      </c>
      <c r="U23" s="52"/>
      <c r="V23" s="56" t="n">
        <v>0</v>
      </c>
      <c r="W23" s="50" t="s">
        <v>86</v>
      </c>
      <c r="X23" s="52"/>
      <c r="Y23" s="52"/>
      <c r="AA23" s="48"/>
      <c r="AB23" s="48"/>
      <c r="AC23" s="48"/>
      <c r="AD23" s="48"/>
      <c r="AE23" s="48"/>
      <c r="AF23" s="48"/>
      <c r="AG23" s="48"/>
      <c r="AH23" s="48"/>
      <c r="AI23" s="48"/>
      <c r="AJ23" s="48"/>
      <c r="AK23" s="48"/>
      <c r="AL23" s="48"/>
      <c r="AM23" s="48"/>
      <c r="AN23" s="48"/>
      <c r="AO23" s="48"/>
      <c r="AP23" s="48"/>
      <c r="AQ23" s="48"/>
      <c r="AR23" s="48"/>
      <c r="AS23" s="48"/>
      <c r="AT23" s="48"/>
      <c r="AU23" s="48"/>
      <c r="AV23" s="48"/>
      <c r="AW23" s="48"/>
      <c r="AX23" s="48"/>
      <c r="AY23" s="48"/>
      <c r="AZ23" s="48"/>
      <c r="BA23" s="48"/>
      <c r="BB23" s="48"/>
      <c r="BC23" s="48"/>
      <c r="BD23" s="48"/>
      <c r="BE23" s="48"/>
      <c r="BF23" s="48"/>
      <c r="BG23" s="48"/>
      <c r="BH23" s="48"/>
      <c r="BI23" s="48"/>
      <c r="BJ23" s="48"/>
      <c r="BK23" s="48"/>
      <c r="BL23" s="48"/>
      <c r="BM23" s="48"/>
      <c r="BN23" s="48"/>
      <c r="BO23" s="48"/>
      <c r="BP23" s="48"/>
      <c r="BQ23" s="48"/>
      <c r="BR23" s="48"/>
      <c r="BS23" s="48"/>
      <c r="BT23" s="48"/>
      <c r="BU23" s="48"/>
      <c r="BV23" s="48"/>
    </row>
    <row r="24" customFormat="false" ht="15" hidden="true" customHeight="true" outlineLevel="1" collapsed="false">
      <c r="A24" s="49" t="s">
        <v>145</v>
      </c>
      <c r="B24" s="50" t="s">
        <v>146</v>
      </c>
      <c r="C24" s="50" t="s">
        <v>147</v>
      </c>
      <c r="D24" s="50" t="s">
        <v>91</v>
      </c>
      <c r="E24" s="51" t="n">
        <v>0</v>
      </c>
      <c r="F24" s="52"/>
      <c r="G24" s="52"/>
      <c r="H24" s="52"/>
      <c r="I24" s="53" t="n">
        <v>46354</v>
      </c>
      <c r="J24" s="53" t="n">
        <v>46358</v>
      </c>
      <c r="K24" s="52"/>
      <c r="L24" s="52"/>
      <c r="M24" s="54" t="s">
        <v>148</v>
      </c>
      <c r="N24" s="55" t="n">
        <v>46328</v>
      </c>
      <c r="O24" s="55" t="n">
        <v>46328</v>
      </c>
      <c r="P24" s="50" t="s">
        <v>75</v>
      </c>
      <c r="Q24" s="52" t="n">
        <v>-30</v>
      </c>
      <c r="R24" s="52"/>
      <c r="S24" s="52" t="n">
        <v>2</v>
      </c>
      <c r="T24" s="52" t="s">
        <v>76</v>
      </c>
      <c r="U24" s="52"/>
      <c r="V24" s="56" t="n">
        <v>0</v>
      </c>
      <c r="W24" s="50" t="s">
        <v>86</v>
      </c>
      <c r="X24" s="52"/>
      <c r="Y24" s="52" t="s">
        <v>115</v>
      </c>
      <c r="AA24" s="48"/>
      <c r="AB24" s="48"/>
      <c r="AC24" s="48"/>
      <c r="AD24" s="48"/>
      <c r="AE24" s="48"/>
      <c r="AF24" s="48"/>
      <c r="AG24" s="48"/>
      <c r="AH24" s="48"/>
      <c r="AI24" s="48"/>
      <c r="AJ24" s="48"/>
      <c r="AK24" s="48"/>
      <c r="AL24" s="48"/>
      <c r="AM24" s="48"/>
      <c r="AN24" s="48"/>
      <c r="AO24" s="48"/>
      <c r="AP24" s="48"/>
      <c r="AQ24" s="48"/>
      <c r="AR24" s="48"/>
      <c r="AS24" s="48"/>
      <c r="AT24" s="48"/>
      <c r="AU24" s="48"/>
      <c r="AV24" s="48"/>
      <c r="AW24" s="48"/>
      <c r="AX24" s="48"/>
      <c r="AY24" s="48"/>
      <c r="AZ24" s="48"/>
      <c r="BA24" s="48"/>
      <c r="BB24" s="48"/>
      <c r="BC24" s="48"/>
      <c r="BD24" s="48"/>
      <c r="BE24" s="48"/>
      <c r="BF24" s="48"/>
      <c r="BG24" s="48"/>
      <c r="BH24" s="48"/>
      <c r="BI24" s="48"/>
      <c r="BJ24" s="48"/>
      <c r="BK24" s="48"/>
      <c r="BL24" s="48"/>
      <c r="BM24" s="48"/>
      <c r="BN24" s="48"/>
      <c r="BO24" s="48"/>
      <c r="BP24" s="48"/>
      <c r="BQ24" s="48"/>
      <c r="BR24" s="48"/>
      <c r="BS24" s="48"/>
      <c r="BT24" s="48"/>
      <c r="BU24" s="48"/>
      <c r="BV24" s="48"/>
    </row>
    <row r="25" customFormat="false" ht="15" hidden="false" customHeight="true" outlineLevel="0" collapsed="false">
      <c r="A25" s="37" t="s">
        <v>149</v>
      </c>
      <c r="B25" s="39" t="s">
        <v>150</v>
      </c>
      <c r="C25" s="39"/>
      <c r="D25" s="38" t="s">
        <v>112</v>
      </c>
      <c r="E25" s="40" t="n">
        <v>0</v>
      </c>
      <c r="F25" s="39" t="s">
        <v>151</v>
      </c>
      <c r="G25" s="37"/>
      <c r="H25" s="37" t="n">
        <v>1</v>
      </c>
      <c r="I25" s="41" t="n">
        <v>46352</v>
      </c>
      <c r="J25" s="41" t="n">
        <v>46352</v>
      </c>
      <c r="K25" s="42"/>
      <c r="L25" s="42"/>
      <c r="M25" s="43"/>
      <c r="N25" s="44" t="n">
        <v>46329</v>
      </c>
      <c r="O25" s="45" t="n">
        <v>46329</v>
      </c>
      <c r="P25" s="46" t="s">
        <v>105</v>
      </c>
      <c r="Q25" s="37" t="n">
        <v>-23</v>
      </c>
      <c r="R25" s="39"/>
      <c r="S25" s="39" t="n">
        <v>1</v>
      </c>
      <c r="T25" s="39" t="s">
        <v>106</v>
      </c>
      <c r="U25" s="57" t="n">
        <v>46329.0025</v>
      </c>
      <c r="V25" s="47" t="n">
        <v>0</v>
      </c>
      <c r="W25" s="38" t="s">
        <v>80</v>
      </c>
      <c r="X25" s="39" t="s">
        <v>152</v>
      </c>
      <c r="Y25" s="38" t="s">
        <v>153</v>
      </c>
      <c r="AA25" s="48"/>
      <c r="AB25" s="48"/>
      <c r="AC25" s="48"/>
      <c r="AD25" s="48"/>
      <c r="AE25" s="48"/>
      <c r="AF25" s="48"/>
      <c r="AG25" s="48"/>
      <c r="AH25" s="48"/>
      <c r="AI25" s="48"/>
      <c r="AJ25" s="48"/>
      <c r="AK25" s="48"/>
      <c r="AL25" s="48"/>
      <c r="AM25" s="48"/>
      <c r="AN25" s="48"/>
      <c r="AO25" s="48"/>
      <c r="AP25" s="48"/>
      <c r="AQ25" s="48"/>
      <c r="AR25" s="48"/>
      <c r="AS25" s="48"/>
      <c r="AT25" s="48"/>
      <c r="AU25" s="48"/>
      <c r="AV25" s="48"/>
      <c r="AW25" s="48"/>
      <c r="AX25" s="48"/>
      <c r="AY25" s="48"/>
      <c r="AZ25" s="48"/>
      <c r="BA25" s="48"/>
      <c r="BB25" s="48"/>
      <c r="BC25" s="48"/>
      <c r="BD25" s="48"/>
      <c r="BE25" s="48"/>
      <c r="BF25" s="48"/>
      <c r="BG25" s="48"/>
      <c r="BH25" s="48"/>
      <c r="BI25" s="48"/>
      <c r="BJ25" s="48"/>
      <c r="BK25" s="48"/>
      <c r="BL25" s="48"/>
      <c r="BM25" s="48"/>
      <c r="BN25" s="48"/>
      <c r="BO25" s="48"/>
      <c r="BP25" s="48"/>
      <c r="BQ25" s="48"/>
      <c r="BR25" s="48"/>
      <c r="BS25" s="48"/>
      <c r="BT25" s="48"/>
      <c r="BU25" s="48"/>
      <c r="BV25" s="48"/>
    </row>
    <row r="26" customFormat="false" ht="15" hidden="true" customHeight="true" outlineLevel="1" collapsed="false">
      <c r="A26" s="49" t="s">
        <v>154</v>
      </c>
      <c r="B26" s="50" t="s">
        <v>155</v>
      </c>
      <c r="C26" s="50" t="s">
        <v>156</v>
      </c>
      <c r="D26" s="52" t="s">
        <v>112</v>
      </c>
      <c r="E26" s="51" t="n">
        <v>0</v>
      </c>
      <c r="F26" s="52"/>
      <c r="G26" s="52"/>
      <c r="H26" s="52"/>
      <c r="I26" s="53" t="n">
        <v>46352</v>
      </c>
      <c r="J26" s="53" t="n">
        <v>46352</v>
      </c>
      <c r="K26" s="52"/>
      <c r="L26" s="52"/>
      <c r="M26" s="54" t="s">
        <v>157</v>
      </c>
      <c r="N26" s="55" t="n">
        <v>46329</v>
      </c>
      <c r="O26" s="55" t="n">
        <v>46329</v>
      </c>
      <c r="P26" s="50" t="s">
        <v>105</v>
      </c>
      <c r="Q26" s="52" t="n">
        <v>-23</v>
      </c>
      <c r="R26" s="52"/>
      <c r="S26" s="52" t="n">
        <v>2</v>
      </c>
      <c r="T26" s="52" t="s">
        <v>106</v>
      </c>
      <c r="U26" s="52"/>
      <c r="V26" s="56" t="n">
        <v>0</v>
      </c>
      <c r="W26" s="50" t="s">
        <v>86</v>
      </c>
      <c r="X26" s="52"/>
      <c r="Y26" s="52" t="s">
        <v>153</v>
      </c>
      <c r="AA26" s="48"/>
      <c r="AB26" s="48"/>
      <c r="AC26" s="48"/>
      <c r="AD26" s="48"/>
      <c r="AE26" s="48"/>
      <c r="AF26" s="48"/>
      <c r="AG26" s="48"/>
      <c r="AH26" s="48"/>
      <c r="AI26" s="48"/>
      <c r="AJ26" s="48"/>
      <c r="AK26" s="48"/>
      <c r="AL26" s="48"/>
      <c r="AM26" s="48"/>
      <c r="AN26" s="48"/>
      <c r="AO26" s="48"/>
      <c r="AP26" s="48"/>
      <c r="AQ26" s="48"/>
      <c r="AR26" s="48"/>
      <c r="AS26" s="48"/>
      <c r="AT26" s="48"/>
      <c r="AU26" s="48"/>
      <c r="AV26" s="48"/>
      <c r="AW26" s="48"/>
      <c r="AX26" s="48"/>
      <c r="AY26" s="48"/>
      <c r="AZ26" s="48"/>
      <c r="BA26" s="48"/>
      <c r="BB26" s="48"/>
      <c r="BC26" s="48"/>
      <c r="BD26" s="48"/>
      <c r="BE26" s="48"/>
      <c r="BF26" s="48"/>
      <c r="BG26" s="48"/>
      <c r="BH26" s="48"/>
      <c r="BI26" s="48"/>
      <c r="BJ26" s="48"/>
      <c r="BK26" s="48"/>
      <c r="BL26" s="48"/>
      <c r="BM26" s="48"/>
      <c r="BN26" s="48"/>
      <c r="BO26" s="48"/>
      <c r="BP26" s="48"/>
      <c r="BQ26" s="48"/>
      <c r="BR26" s="48"/>
      <c r="BS26" s="48"/>
      <c r="BT26" s="48"/>
      <c r="BU26" s="48"/>
      <c r="BV26" s="48"/>
    </row>
    <row r="27" customFormat="false" ht="15" hidden="true" customHeight="true" outlineLevel="1" collapsed="false">
      <c r="A27" s="49" t="s">
        <v>158</v>
      </c>
      <c r="B27" s="50" t="s">
        <v>159</v>
      </c>
      <c r="C27" s="50" t="s">
        <v>160</v>
      </c>
      <c r="D27" s="52" t="s">
        <v>112</v>
      </c>
      <c r="E27" s="51" t="n">
        <v>0</v>
      </c>
      <c r="F27" s="52"/>
      <c r="G27" s="52"/>
      <c r="H27" s="52"/>
      <c r="I27" s="53" t="n">
        <v>46352</v>
      </c>
      <c r="J27" s="53" t="n">
        <v>46352</v>
      </c>
      <c r="K27" s="52"/>
      <c r="L27" s="52"/>
      <c r="M27" s="54" t="s">
        <v>161</v>
      </c>
      <c r="N27" s="55" t="n">
        <v>46329</v>
      </c>
      <c r="O27" s="55" t="n">
        <v>46329</v>
      </c>
      <c r="P27" s="50" t="s">
        <v>105</v>
      </c>
      <c r="Q27" s="52" t="n">
        <v>-23</v>
      </c>
      <c r="R27" s="52"/>
      <c r="S27" s="52" t="n">
        <v>2</v>
      </c>
      <c r="T27" s="52" t="s">
        <v>106</v>
      </c>
      <c r="U27" s="52"/>
      <c r="V27" s="56" t="n">
        <v>0</v>
      </c>
      <c r="W27" s="52" t="s">
        <v>80</v>
      </c>
      <c r="X27" s="52"/>
      <c r="Y27" s="52" t="s">
        <v>153</v>
      </c>
      <c r="AA27" s="48"/>
      <c r="AB27" s="48"/>
      <c r="AC27" s="48"/>
      <c r="AD27" s="48"/>
      <c r="AE27" s="48"/>
      <c r="AF27" s="48"/>
      <c r="AG27" s="48"/>
      <c r="AH27" s="48"/>
      <c r="AI27" s="48"/>
      <c r="AJ27" s="48"/>
      <c r="AK27" s="48"/>
      <c r="AL27" s="48"/>
      <c r="AM27" s="48"/>
      <c r="AN27" s="48"/>
      <c r="AO27" s="48"/>
      <c r="AP27" s="48"/>
      <c r="AQ27" s="48"/>
      <c r="AR27" s="48"/>
      <c r="AS27" s="48"/>
      <c r="AT27" s="48"/>
      <c r="AU27" s="48"/>
      <c r="AV27" s="48"/>
      <c r="AW27" s="48"/>
      <c r="AX27" s="48"/>
      <c r="AY27" s="48"/>
      <c r="AZ27" s="48"/>
      <c r="BA27" s="48"/>
      <c r="BB27" s="48"/>
      <c r="BC27" s="48"/>
      <c r="BD27" s="48"/>
      <c r="BE27" s="48"/>
      <c r="BF27" s="48"/>
      <c r="BG27" s="48"/>
      <c r="BH27" s="48"/>
      <c r="BI27" s="48"/>
      <c r="BJ27" s="48"/>
      <c r="BK27" s="48"/>
      <c r="BL27" s="48"/>
      <c r="BM27" s="48"/>
      <c r="BN27" s="48"/>
      <c r="BO27" s="48"/>
      <c r="BP27" s="48"/>
      <c r="BQ27" s="48"/>
      <c r="BR27" s="48"/>
      <c r="BS27" s="48"/>
      <c r="BT27" s="48"/>
      <c r="BU27" s="48"/>
      <c r="BV27" s="48"/>
    </row>
    <row r="28" customFormat="false" ht="15" hidden="true" customHeight="true" outlineLevel="1" collapsed="false">
      <c r="A28" s="49" t="s">
        <v>162</v>
      </c>
      <c r="B28" s="50" t="s">
        <v>163</v>
      </c>
      <c r="C28" s="50" t="s">
        <v>164</v>
      </c>
      <c r="D28" s="50" t="s">
        <v>86</v>
      </c>
      <c r="E28" s="51" t="n">
        <v>0</v>
      </c>
      <c r="F28" s="52"/>
      <c r="G28" s="52"/>
      <c r="H28" s="52"/>
      <c r="I28" s="53" t="n">
        <v>46352</v>
      </c>
      <c r="J28" s="53" t="n">
        <v>46352</v>
      </c>
      <c r="K28" s="52"/>
      <c r="L28" s="52"/>
      <c r="M28" s="54" t="s">
        <v>165</v>
      </c>
      <c r="N28" s="55" t="n">
        <v>46329</v>
      </c>
      <c r="O28" s="55" t="n">
        <v>46329</v>
      </c>
      <c r="P28" s="50" t="s">
        <v>105</v>
      </c>
      <c r="Q28" s="52" t="n">
        <v>-23</v>
      </c>
      <c r="R28" s="52"/>
      <c r="S28" s="52" t="n">
        <v>2</v>
      </c>
      <c r="T28" s="52" t="s">
        <v>106</v>
      </c>
      <c r="U28" s="52"/>
      <c r="V28" s="56" t="n">
        <v>0</v>
      </c>
      <c r="W28" s="52" t="s">
        <v>80</v>
      </c>
      <c r="X28" s="52"/>
      <c r="Y28" s="52" t="s">
        <v>153</v>
      </c>
      <c r="AA28" s="48"/>
      <c r="AB28" s="48"/>
      <c r="AC28" s="48"/>
      <c r="AD28" s="48"/>
      <c r="AE28" s="48"/>
      <c r="AF28" s="48"/>
      <c r="AG28" s="48"/>
      <c r="AH28" s="48"/>
      <c r="AI28" s="48"/>
      <c r="AJ28" s="48"/>
      <c r="AK28" s="48"/>
      <c r="AL28" s="48"/>
      <c r="AM28" s="48"/>
      <c r="AN28" s="48"/>
      <c r="AO28" s="48"/>
      <c r="AP28" s="48"/>
      <c r="AQ28" s="48"/>
      <c r="AR28" s="48"/>
      <c r="AS28" s="48"/>
      <c r="AT28" s="48"/>
      <c r="AU28" s="48"/>
      <c r="AV28" s="48"/>
      <c r="AW28" s="48"/>
      <c r="AX28" s="48"/>
      <c r="AY28" s="48"/>
      <c r="AZ28" s="48"/>
      <c r="BA28" s="48"/>
      <c r="BB28" s="48"/>
      <c r="BC28" s="48"/>
      <c r="BD28" s="48"/>
      <c r="BE28" s="48"/>
      <c r="BF28" s="48"/>
      <c r="BG28" s="48"/>
      <c r="BH28" s="48"/>
      <c r="BI28" s="48"/>
      <c r="BJ28" s="48"/>
      <c r="BK28" s="48"/>
      <c r="BL28" s="48"/>
      <c r="BM28" s="48"/>
      <c r="BN28" s="48"/>
      <c r="BO28" s="48"/>
      <c r="BP28" s="48"/>
      <c r="BQ28" s="48"/>
      <c r="BR28" s="48"/>
      <c r="BS28" s="48"/>
      <c r="BT28" s="48"/>
      <c r="BU28" s="48"/>
      <c r="BV28" s="48"/>
    </row>
    <row r="29" customFormat="false" ht="15" hidden="false" customHeight="true" outlineLevel="0" collapsed="false">
      <c r="A29" s="31" t="s">
        <v>166</v>
      </c>
      <c r="B29" s="31" t="s">
        <v>167</v>
      </c>
      <c r="C29" s="31"/>
      <c r="D29" s="31"/>
      <c r="E29" s="32" t="n">
        <v>5</v>
      </c>
      <c r="F29" s="31"/>
      <c r="G29" s="31"/>
      <c r="H29" s="31"/>
      <c r="I29" s="33" t="n">
        <v>46328</v>
      </c>
      <c r="J29" s="33" t="n">
        <v>46436</v>
      </c>
      <c r="K29" s="31"/>
      <c r="L29" s="31"/>
      <c r="M29" s="31"/>
      <c r="N29" s="33" t="n">
        <v>46328</v>
      </c>
      <c r="O29" s="33" t="n">
        <v>46433</v>
      </c>
      <c r="P29" s="34" t="s">
        <v>75</v>
      </c>
      <c r="Q29" s="31" t="n">
        <v>-3</v>
      </c>
      <c r="R29" s="31"/>
      <c r="S29" s="31" t="n">
        <v>0</v>
      </c>
      <c r="T29" s="31" t="s">
        <v>76</v>
      </c>
      <c r="U29" s="31"/>
      <c r="V29" s="35" t="n">
        <v>0</v>
      </c>
      <c r="W29" s="31"/>
      <c r="X29" s="31"/>
      <c r="Y29" s="31"/>
      <c r="AA29" s="36"/>
      <c r="AB29" s="36"/>
      <c r="AC29" s="36"/>
      <c r="AD29" s="36"/>
      <c r="AE29" s="36"/>
      <c r="AF29" s="36"/>
      <c r="AG29" s="36"/>
      <c r="AH29" s="36"/>
      <c r="AI29" s="36"/>
      <c r="AJ29" s="36"/>
      <c r="AK29" s="36"/>
      <c r="AL29" s="36"/>
      <c r="AM29" s="36"/>
      <c r="AN29" s="36"/>
      <c r="AO29" s="36"/>
      <c r="AP29" s="36"/>
      <c r="AQ29" s="36"/>
      <c r="AR29" s="36"/>
      <c r="AS29" s="36"/>
      <c r="AT29" s="36"/>
      <c r="AU29" s="36"/>
      <c r="AV29" s="36"/>
      <c r="AW29" s="36"/>
      <c r="AX29" s="36"/>
      <c r="AY29" s="36"/>
      <c r="AZ29" s="36"/>
      <c r="BA29" s="36"/>
      <c r="BB29" s="36"/>
      <c r="BC29" s="36"/>
      <c r="BD29" s="36"/>
      <c r="BE29" s="36"/>
      <c r="BF29" s="36"/>
      <c r="BG29" s="36"/>
      <c r="BH29" s="36"/>
      <c r="BI29" s="36"/>
      <c r="BJ29" s="36"/>
      <c r="BK29" s="36"/>
      <c r="BL29" s="36"/>
      <c r="BM29" s="36"/>
      <c r="BN29" s="36"/>
      <c r="BO29" s="36"/>
      <c r="BP29" s="36"/>
      <c r="BQ29" s="36"/>
      <c r="BR29" s="36"/>
      <c r="BS29" s="36"/>
      <c r="BT29" s="36"/>
      <c r="BU29" s="36"/>
      <c r="BV29" s="36"/>
    </row>
    <row r="30" customFormat="false" ht="15" hidden="false" customHeight="true" outlineLevel="0" collapsed="false">
      <c r="A30" s="37" t="s">
        <v>168</v>
      </c>
      <c r="B30" s="38" t="s">
        <v>169</v>
      </c>
      <c r="C30" s="39"/>
      <c r="D30" s="39" t="s">
        <v>79</v>
      </c>
      <c r="E30" s="40" t="n">
        <v>0.5</v>
      </c>
      <c r="F30" s="39" t="s">
        <v>170</v>
      </c>
      <c r="G30" s="37"/>
      <c r="H30" s="37" t="n">
        <v>1</v>
      </c>
      <c r="I30" s="41" t="n">
        <v>46328</v>
      </c>
      <c r="J30" s="41" t="n">
        <v>46328</v>
      </c>
      <c r="K30" s="42"/>
      <c r="L30" s="42"/>
      <c r="M30" s="43"/>
      <c r="N30" s="44" t="n">
        <v>46328</v>
      </c>
      <c r="O30" s="45" t="n">
        <v>46328</v>
      </c>
      <c r="P30" s="46" t="s">
        <v>75</v>
      </c>
      <c r="Q30" s="37" t="n">
        <v>0</v>
      </c>
      <c r="R30" s="39"/>
      <c r="S30" s="39" t="n">
        <v>1</v>
      </c>
      <c r="T30" s="39" t="s">
        <v>76</v>
      </c>
      <c r="U30" s="57" t="n">
        <v>46328.003</v>
      </c>
      <c r="V30" s="47" t="n">
        <v>0</v>
      </c>
      <c r="W30" s="38" t="s">
        <v>80</v>
      </c>
      <c r="X30" s="39" t="s">
        <v>171</v>
      </c>
      <c r="Y30" s="39"/>
      <c r="AA30" s="48"/>
      <c r="AB30" s="48"/>
      <c r="AC30" s="48"/>
      <c r="AD30" s="48"/>
      <c r="AE30" s="48"/>
      <c r="AF30" s="48"/>
      <c r="AG30" s="48"/>
      <c r="AH30" s="48"/>
      <c r="AI30" s="48"/>
      <c r="AJ30" s="48"/>
      <c r="AK30" s="48"/>
      <c r="AL30" s="48"/>
      <c r="AM30" s="48"/>
      <c r="AN30" s="48"/>
      <c r="AO30" s="48"/>
      <c r="AP30" s="48"/>
      <c r="AQ30" s="48"/>
      <c r="AR30" s="48"/>
      <c r="AS30" s="48"/>
      <c r="AT30" s="48"/>
      <c r="AU30" s="48"/>
      <c r="AV30" s="48"/>
      <c r="AW30" s="48"/>
      <c r="AX30" s="48"/>
      <c r="AY30" s="48"/>
      <c r="AZ30" s="48"/>
      <c r="BA30" s="48"/>
      <c r="BB30" s="48"/>
      <c r="BC30" s="48"/>
      <c r="BD30" s="48"/>
      <c r="BE30" s="48"/>
      <c r="BF30" s="48"/>
      <c r="BG30" s="48"/>
      <c r="BH30" s="48"/>
      <c r="BI30" s="48"/>
      <c r="BJ30" s="48"/>
      <c r="BK30" s="48"/>
      <c r="BL30" s="48"/>
      <c r="BM30" s="48"/>
      <c r="BN30" s="48"/>
      <c r="BO30" s="48"/>
      <c r="BP30" s="48"/>
      <c r="BQ30" s="48"/>
      <c r="BR30" s="48"/>
      <c r="BS30" s="48"/>
      <c r="BT30" s="48"/>
      <c r="BU30" s="48"/>
      <c r="BV30" s="48"/>
    </row>
    <row r="31" customFormat="false" ht="15" hidden="true" customHeight="true" outlineLevel="1" collapsed="false">
      <c r="A31" s="49" t="s">
        <v>172</v>
      </c>
      <c r="B31" s="50" t="s">
        <v>173</v>
      </c>
      <c r="C31" s="50" t="s">
        <v>174</v>
      </c>
      <c r="D31" s="50" t="s">
        <v>86</v>
      </c>
      <c r="E31" s="51" t="n">
        <v>0.2</v>
      </c>
      <c r="F31" s="52"/>
      <c r="G31" s="52"/>
      <c r="H31" s="52"/>
      <c r="I31" s="53" t="n">
        <v>46328</v>
      </c>
      <c r="J31" s="53" t="n">
        <v>46328</v>
      </c>
      <c r="K31" s="52"/>
      <c r="L31" s="52"/>
      <c r="M31" s="54" t="s">
        <v>175</v>
      </c>
      <c r="N31" s="55" t="n">
        <v>46328</v>
      </c>
      <c r="O31" s="55" t="n">
        <v>46328</v>
      </c>
      <c r="P31" s="50" t="s">
        <v>75</v>
      </c>
      <c r="Q31" s="52" t="n">
        <v>0</v>
      </c>
      <c r="R31" s="52"/>
      <c r="S31" s="52" t="n">
        <v>2</v>
      </c>
      <c r="T31" s="52" t="s">
        <v>76</v>
      </c>
      <c r="U31" s="52"/>
      <c r="V31" s="56" t="n">
        <v>0</v>
      </c>
      <c r="W31" s="52" t="s">
        <v>80</v>
      </c>
      <c r="X31" s="52"/>
      <c r="Y31" s="52"/>
      <c r="AA31" s="48"/>
      <c r="AB31" s="48"/>
      <c r="AC31" s="48"/>
      <c r="AD31" s="48"/>
      <c r="AE31" s="48"/>
      <c r="AF31" s="48"/>
      <c r="AG31" s="48"/>
      <c r="AH31" s="48"/>
      <c r="AI31" s="48"/>
      <c r="AJ31" s="48"/>
      <c r="AK31" s="48"/>
      <c r="AL31" s="48"/>
      <c r="AM31" s="48"/>
      <c r="AN31" s="48"/>
      <c r="AO31" s="48"/>
      <c r="AP31" s="48"/>
      <c r="AQ31" s="48"/>
      <c r="AR31" s="48"/>
      <c r="AS31" s="48"/>
      <c r="AT31" s="48"/>
      <c r="AU31" s="48"/>
      <c r="AV31" s="48"/>
      <c r="AW31" s="48"/>
      <c r="AX31" s="48"/>
      <c r="AY31" s="48"/>
      <c r="AZ31" s="48"/>
      <c r="BA31" s="48"/>
      <c r="BB31" s="48"/>
      <c r="BC31" s="48"/>
      <c r="BD31" s="48"/>
      <c r="BE31" s="48"/>
      <c r="BF31" s="48"/>
      <c r="BG31" s="48"/>
      <c r="BH31" s="48"/>
      <c r="BI31" s="48"/>
      <c r="BJ31" s="48"/>
      <c r="BK31" s="48"/>
      <c r="BL31" s="48"/>
      <c r="BM31" s="48"/>
      <c r="BN31" s="48"/>
      <c r="BO31" s="48"/>
      <c r="BP31" s="48"/>
      <c r="BQ31" s="48"/>
      <c r="BR31" s="48"/>
      <c r="BS31" s="48"/>
      <c r="BT31" s="48"/>
      <c r="BU31" s="48"/>
      <c r="BV31" s="48"/>
    </row>
    <row r="32" customFormat="false" ht="15" hidden="true" customHeight="true" outlineLevel="1" collapsed="false">
      <c r="A32" s="49" t="s">
        <v>176</v>
      </c>
      <c r="B32" s="50" t="s">
        <v>177</v>
      </c>
      <c r="C32" s="50" t="s">
        <v>178</v>
      </c>
      <c r="D32" s="52" t="s">
        <v>112</v>
      </c>
      <c r="E32" s="51" t="n">
        <v>0.1</v>
      </c>
      <c r="F32" s="52"/>
      <c r="G32" s="52"/>
      <c r="H32" s="52"/>
      <c r="I32" s="53" t="n">
        <v>46328</v>
      </c>
      <c r="J32" s="53" t="n">
        <v>46328</v>
      </c>
      <c r="K32" s="52"/>
      <c r="L32" s="52"/>
      <c r="M32" s="54" t="s">
        <v>179</v>
      </c>
      <c r="N32" s="55" t="n">
        <v>46328</v>
      </c>
      <c r="O32" s="55" t="n">
        <v>46328</v>
      </c>
      <c r="P32" s="50" t="s">
        <v>75</v>
      </c>
      <c r="Q32" s="52" t="n">
        <v>0</v>
      </c>
      <c r="R32" s="52"/>
      <c r="S32" s="52" t="n">
        <v>2</v>
      </c>
      <c r="T32" s="52" t="s">
        <v>76</v>
      </c>
      <c r="U32" s="52"/>
      <c r="V32" s="56" t="n">
        <v>0</v>
      </c>
      <c r="W32" s="52" t="s">
        <v>80</v>
      </c>
      <c r="X32" s="52"/>
      <c r="Y32" s="52"/>
      <c r="AA32" s="48"/>
      <c r="AB32" s="48"/>
      <c r="AC32" s="48"/>
      <c r="AD32" s="48"/>
      <c r="AE32" s="48"/>
      <c r="AF32" s="48"/>
      <c r="AG32" s="48"/>
      <c r="AH32" s="48"/>
      <c r="AI32" s="48"/>
      <c r="AJ32" s="48"/>
      <c r="AK32" s="48"/>
      <c r="AL32" s="48"/>
      <c r="AM32" s="48"/>
      <c r="AN32" s="48"/>
      <c r="AO32" s="48"/>
      <c r="AP32" s="48"/>
      <c r="AQ32" s="48"/>
      <c r="AR32" s="48"/>
      <c r="AS32" s="48"/>
      <c r="AT32" s="48"/>
      <c r="AU32" s="48"/>
      <c r="AV32" s="48"/>
      <c r="AW32" s="48"/>
      <c r="AX32" s="48"/>
      <c r="AY32" s="48"/>
      <c r="AZ32" s="48"/>
      <c r="BA32" s="48"/>
      <c r="BB32" s="48"/>
      <c r="BC32" s="48"/>
      <c r="BD32" s="48"/>
      <c r="BE32" s="48"/>
      <c r="BF32" s="48"/>
      <c r="BG32" s="48"/>
      <c r="BH32" s="48"/>
      <c r="BI32" s="48"/>
      <c r="BJ32" s="48"/>
      <c r="BK32" s="48"/>
      <c r="BL32" s="48"/>
      <c r="BM32" s="48"/>
      <c r="BN32" s="48"/>
      <c r="BO32" s="48"/>
      <c r="BP32" s="48"/>
      <c r="BQ32" s="48"/>
      <c r="BR32" s="48"/>
      <c r="BS32" s="48"/>
      <c r="BT32" s="48"/>
      <c r="BU32" s="48"/>
      <c r="BV32" s="48"/>
    </row>
    <row r="33" customFormat="false" ht="15" hidden="true" customHeight="true" outlineLevel="1" collapsed="false">
      <c r="A33" s="49" t="s">
        <v>180</v>
      </c>
      <c r="B33" s="50" t="s">
        <v>181</v>
      </c>
      <c r="C33" s="50" t="s">
        <v>182</v>
      </c>
      <c r="D33" s="50" t="s">
        <v>86</v>
      </c>
      <c r="E33" s="51" t="n">
        <v>0.2</v>
      </c>
      <c r="F33" s="52"/>
      <c r="G33" s="52"/>
      <c r="H33" s="52"/>
      <c r="I33" s="53" t="n">
        <v>46328</v>
      </c>
      <c r="J33" s="53" t="n">
        <v>46328</v>
      </c>
      <c r="K33" s="52"/>
      <c r="L33" s="52"/>
      <c r="M33" s="54" t="s">
        <v>183</v>
      </c>
      <c r="N33" s="55" t="n">
        <v>46328</v>
      </c>
      <c r="O33" s="55" t="n">
        <v>46328</v>
      </c>
      <c r="P33" s="50" t="s">
        <v>75</v>
      </c>
      <c r="Q33" s="52" t="n">
        <v>0</v>
      </c>
      <c r="R33" s="52"/>
      <c r="S33" s="52" t="n">
        <v>2</v>
      </c>
      <c r="T33" s="52" t="s">
        <v>76</v>
      </c>
      <c r="U33" s="52"/>
      <c r="V33" s="56" t="n">
        <v>0</v>
      </c>
      <c r="W33" s="52" t="s">
        <v>80</v>
      </c>
      <c r="X33" s="52"/>
      <c r="Y33" s="52"/>
      <c r="AA33" s="48"/>
      <c r="AB33" s="48"/>
      <c r="AC33" s="48"/>
      <c r="AD33" s="48"/>
      <c r="AE33" s="48"/>
      <c r="AF33" s="48"/>
      <c r="AG33" s="48"/>
      <c r="AH33" s="48"/>
      <c r="AI33" s="48"/>
      <c r="AJ33" s="48"/>
      <c r="AK33" s="48"/>
      <c r="AL33" s="48"/>
      <c r="AM33" s="48"/>
      <c r="AN33" s="48"/>
      <c r="AO33" s="48"/>
      <c r="AP33" s="48"/>
      <c r="AQ33" s="48"/>
      <c r="AR33" s="48"/>
      <c r="AS33" s="48"/>
      <c r="AT33" s="48"/>
      <c r="AU33" s="48"/>
      <c r="AV33" s="48"/>
      <c r="AW33" s="48"/>
      <c r="AX33" s="48"/>
      <c r="AY33" s="48"/>
      <c r="AZ33" s="48"/>
      <c r="BA33" s="48"/>
      <c r="BB33" s="48"/>
      <c r="BC33" s="48"/>
      <c r="BD33" s="48"/>
      <c r="BE33" s="48"/>
      <c r="BF33" s="48"/>
      <c r="BG33" s="48"/>
      <c r="BH33" s="48"/>
      <c r="BI33" s="48"/>
      <c r="BJ33" s="48"/>
      <c r="BK33" s="48"/>
      <c r="BL33" s="48"/>
      <c r="BM33" s="48"/>
      <c r="BN33" s="48"/>
      <c r="BO33" s="48"/>
      <c r="BP33" s="48"/>
      <c r="BQ33" s="48"/>
      <c r="BR33" s="48"/>
      <c r="BS33" s="48"/>
      <c r="BT33" s="48"/>
      <c r="BU33" s="48"/>
      <c r="BV33" s="48"/>
    </row>
    <row r="34" customFormat="false" ht="15" hidden="false" customHeight="true" outlineLevel="0" collapsed="false">
      <c r="A34" s="37" t="s">
        <v>184</v>
      </c>
      <c r="B34" s="38" t="s">
        <v>185</v>
      </c>
      <c r="C34" s="39"/>
      <c r="D34" s="39" t="s">
        <v>79</v>
      </c>
      <c r="E34" s="40" t="n">
        <v>1</v>
      </c>
      <c r="F34" s="39" t="s">
        <v>186</v>
      </c>
      <c r="G34" s="37"/>
      <c r="H34" s="37" t="n">
        <v>10</v>
      </c>
      <c r="I34" s="41" t="n">
        <v>46335</v>
      </c>
      <c r="J34" s="41" t="n">
        <v>46344</v>
      </c>
      <c r="K34" s="42"/>
      <c r="L34" s="42"/>
      <c r="M34" s="43"/>
      <c r="N34" s="44" t="n">
        <v>46328</v>
      </c>
      <c r="O34" s="45" t="n">
        <v>46328</v>
      </c>
      <c r="P34" s="46" t="s">
        <v>75</v>
      </c>
      <c r="Q34" s="37" t="n">
        <v>-16</v>
      </c>
      <c r="R34" s="39"/>
      <c r="S34" s="39" t="n">
        <v>1</v>
      </c>
      <c r="T34" s="39" t="s">
        <v>76</v>
      </c>
      <c r="U34" s="57" t="n">
        <v>46328.0034</v>
      </c>
      <c r="V34" s="47" t="n">
        <v>0</v>
      </c>
      <c r="W34" s="38" t="s">
        <v>80</v>
      </c>
      <c r="X34" s="38" t="s">
        <v>187</v>
      </c>
      <c r="Y34" s="39"/>
      <c r="AA34" s="48"/>
      <c r="AB34" s="48"/>
      <c r="AC34" s="48"/>
      <c r="AD34" s="48"/>
      <c r="AE34" s="48"/>
      <c r="AF34" s="48"/>
      <c r="AG34" s="48"/>
      <c r="AH34" s="48"/>
      <c r="AI34" s="48"/>
      <c r="AJ34" s="48"/>
      <c r="AK34" s="48"/>
      <c r="AL34" s="48"/>
      <c r="AM34" s="48"/>
      <c r="AN34" s="48"/>
      <c r="AO34" s="48"/>
      <c r="AP34" s="48"/>
      <c r="AQ34" s="48"/>
      <c r="AR34" s="48"/>
      <c r="AS34" s="48"/>
      <c r="AT34" s="48"/>
      <c r="AU34" s="48"/>
      <c r="AV34" s="48"/>
      <c r="AW34" s="48"/>
      <c r="AX34" s="48"/>
      <c r="AY34" s="48"/>
      <c r="AZ34" s="48"/>
      <c r="BA34" s="48"/>
      <c r="BB34" s="48"/>
      <c r="BC34" s="48"/>
      <c r="BD34" s="48"/>
      <c r="BE34" s="48"/>
      <c r="BF34" s="48"/>
      <c r="BG34" s="48"/>
      <c r="BH34" s="48"/>
      <c r="BI34" s="48"/>
      <c r="BJ34" s="48"/>
      <c r="BK34" s="48"/>
      <c r="BL34" s="48"/>
      <c r="BM34" s="48"/>
      <c r="BN34" s="48"/>
      <c r="BO34" s="48"/>
      <c r="BP34" s="48"/>
      <c r="BQ34" s="48"/>
      <c r="BR34" s="48"/>
      <c r="BS34" s="48"/>
      <c r="BT34" s="48"/>
      <c r="BU34" s="48"/>
      <c r="BV34" s="48"/>
    </row>
    <row r="35" customFormat="false" ht="15" hidden="true" customHeight="true" outlineLevel="1" collapsed="false">
      <c r="A35" s="49" t="s">
        <v>188</v>
      </c>
      <c r="B35" s="52" t="s">
        <v>189</v>
      </c>
      <c r="C35" s="52" t="s">
        <v>190</v>
      </c>
      <c r="D35" s="50" t="s">
        <v>86</v>
      </c>
      <c r="E35" s="51" t="n">
        <v>0.3</v>
      </c>
      <c r="F35" s="52"/>
      <c r="G35" s="52"/>
      <c r="H35" s="52"/>
      <c r="I35" s="53" t="n">
        <v>46335</v>
      </c>
      <c r="J35" s="53" t="n">
        <v>46339</v>
      </c>
      <c r="K35" s="52"/>
      <c r="L35" s="52"/>
      <c r="M35" s="54" t="s">
        <v>191</v>
      </c>
      <c r="N35" s="55" t="n">
        <v>46328</v>
      </c>
      <c r="O35" s="55" t="n">
        <v>46328</v>
      </c>
      <c r="P35" s="50" t="s">
        <v>75</v>
      </c>
      <c r="Q35" s="52" t="n">
        <v>-11</v>
      </c>
      <c r="R35" s="52"/>
      <c r="S35" s="52" t="n">
        <v>2</v>
      </c>
      <c r="T35" s="52" t="s">
        <v>76</v>
      </c>
      <c r="U35" s="52"/>
      <c r="V35" s="56" t="n">
        <v>0</v>
      </c>
      <c r="W35" s="52" t="s">
        <v>80</v>
      </c>
      <c r="X35" s="52"/>
      <c r="Y35" s="52"/>
      <c r="AA35" s="48"/>
      <c r="AB35" s="48"/>
      <c r="AC35" s="48"/>
      <c r="AD35" s="48"/>
      <c r="AE35" s="48"/>
      <c r="AF35" s="48"/>
      <c r="AG35" s="48"/>
      <c r="AH35" s="48"/>
      <c r="AI35" s="48"/>
      <c r="AJ35" s="48"/>
      <c r="AK35" s="48"/>
      <c r="AL35" s="48"/>
      <c r="AM35" s="48"/>
      <c r="AN35" s="48"/>
      <c r="AO35" s="48"/>
      <c r="AP35" s="48"/>
      <c r="AQ35" s="48"/>
      <c r="AR35" s="48"/>
      <c r="AS35" s="48"/>
      <c r="AT35" s="48"/>
      <c r="AU35" s="48"/>
      <c r="AV35" s="48"/>
      <c r="AW35" s="48"/>
      <c r="AX35" s="48"/>
      <c r="AY35" s="48"/>
      <c r="AZ35" s="48"/>
      <c r="BA35" s="48"/>
      <c r="BB35" s="48"/>
      <c r="BC35" s="48"/>
      <c r="BD35" s="48"/>
      <c r="BE35" s="48"/>
      <c r="BF35" s="48"/>
      <c r="BG35" s="48"/>
      <c r="BH35" s="48"/>
      <c r="BI35" s="48"/>
      <c r="BJ35" s="48"/>
      <c r="BK35" s="48"/>
      <c r="BL35" s="48"/>
      <c r="BM35" s="48"/>
      <c r="BN35" s="48"/>
      <c r="BO35" s="48"/>
      <c r="BP35" s="48"/>
      <c r="BQ35" s="48"/>
      <c r="BR35" s="48"/>
      <c r="BS35" s="48"/>
      <c r="BT35" s="48"/>
      <c r="BU35" s="48"/>
      <c r="BV35" s="48"/>
    </row>
    <row r="36" customFormat="false" ht="15" hidden="true" customHeight="true" outlineLevel="1" collapsed="false">
      <c r="A36" s="49" t="s">
        <v>192</v>
      </c>
      <c r="B36" s="50" t="s">
        <v>193</v>
      </c>
      <c r="C36" s="50" t="s">
        <v>194</v>
      </c>
      <c r="D36" s="50" t="s">
        <v>86</v>
      </c>
      <c r="E36" s="51" t="n">
        <v>0.3</v>
      </c>
      <c r="F36" s="52"/>
      <c r="G36" s="52"/>
      <c r="H36" s="52"/>
      <c r="I36" s="53" t="n">
        <v>46335</v>
      </c>
      <c r="J36" s="53" t="n">
        <v>46340</v>
      </c>
      <c r="K36" s="52"/>
      <c r="L36" s="52"/>
      <c r="M36" s="54" t="s">
        <v>195</v>
      </c>
      <c r="N36" s="55" t="n">
        <v>46328</v>
      </c>
      <c r="O36" s="55" t="n">
        <v>46328</v>
      </c>
      <c r="P36" s="50" t="s">
        <v>75</v>
      </c>
      <c r="Q36" s="52" t="n">
        <v>-12</v>
      </c>
      <c r="R36" s="52"/>
      <c r="S36" s="52" t="n">
        <v>2</v>
      </c>
      <c r="T36" s="52" t="s">
        <v>76</v>
      </c>
      <c r="U36" s="52"/>
      <c r="V36" s="56" t="n">
        <v>0</v>
      </c>
      <c r="W36" s="52" t="s">
        <v>80</v>
      </c>
      <c r="X36" s="52"/>
      <c r="Y36" s="52"/>
      <c r="AA36" s="48"/>
      <c r="AB36" s="48"/>
      <c r="AC36" s="48"/>
      <c r="AD36" s="48"/>
      <c r="AE36" s="48"/>
      <c r="AF36" s="48"/>
      <c r="AG36" s="48"/>
      <c r="AH36" s="48"/>
      <c r="AI36" s="48"/>
      <c r="AJ36" s="48"/>
      <c r="AK36" s="48"/>
      <c r="AL36" s="48"/>
      <c r="AM36" s="48"/>
      <c r="AN36" s="48"/>
      <c r="AO36" s="48"/>
      <c r="AP36" s="48"/>
      <c r="AQ36" s="48"/>
      <c r="AR36" s="48"/>
      <c r="AS36" s="48"/>
      <c r="AT36" s="48"/>
      <c r="AU36" s="48"/>
      <c r="AV36" s="48"/>
      <c r="AW36" s="48"/>
      <c r="AX36" s="48"/>
      <c r="AY36" s="48"/>
      <c r="AZ36" s="48"/>
      <c r="BA36" s="48"/>
      <c r="BB36" s="48"/>
      <c r="BC36" s="48"/>
      <c r="BD36" s="48"/>
      <c r="BE36" s="48"/>
      <c r="BF36" s="48"/>
      <c r="BG36" s="48"/>
      <c r="BH36" s="48"/>
      <c r="BI36" s="48"/>
      <c r="BJ36" s="48"/>
      <c r="BK36" s="48"/>
      <c r="BL36" s="48"/>
      <c r="BM36" s="48"/>
      <c r="BN36" s="48"/>
      <c r="BO36" s="48"/>
      <c r="BP36" s="48"/>
      <c r="BQ36" s="48"/>
      <c r="BR36" s="48"/>
      <c r="BS36" s="48"/>
      <c r="BT36" s="48"/>
      <c r="BU36" s="48"/>
      <c r="BV36" s="48"/>
    </row>
    <row r="37" customFormat="false" ht="15" hidden="true" customHeight="true" outlineLevel="1" collapsed="false">
      <c r="A37" s="49" t="s">
        <v>196</v>
      </c>
      <c r="B37" s="50" t="s">
        <v>197</v>
      </c>
      <c r="C37" s="50" t="s">
        <v>198</v>
      </c>
      <c r="D37" s="50" t="s">
        <v>86</v>
      </c>
      <c r="E37" s="51" t="n">
        <v>0.1</v>
      </c>
      <c r="F37" s="52"/>
      <c r="G37" s="52"/>
      <c r="H37" s="52"/>
      <c r="I37" s="53" t="n">
        <v>46338</v>
      </c>
      <c r="J37" s="53" t="n">
        <v>46341</v>
      </c>
      <c r="K37" s="52"/>
      <c r="L37" s="52"/>
      <c r="M37" s="54" t="s">
        <v>199</v>
      </c>
      <c r="N37" s="55" t="n">
        <v>46328</v>
      </c>
      <c r="O37" s="55" t="n">
        <v>46328</v>
      </c>
      <c r="P37" s="50" t="s">
        <v>75</v>
      </c>
      <c r="Q37" s="52" t="n">
        <v>-13</v>
      </c>
      <c r="R37" s="52"/>
      <c r="S37" s="52" t="n">
        <v>2</v>
      </c>
      <c r="T37" s="52" t="s">
        <v>76</v>
      </c>
      <c r="U37" s="52"/>
      <c r="V37" s="56" t="n">
        <v>0</v>
      </c>
      <c r="W37" s="52" t="s">
        <v>80</v>
      </c>
      <c r="X37" s="52"/>
      <c r="Y37" s="52"/>
      <c r="AA37" s="48"/>
      <c r="AB37" s="48"/>
      <c r="AC37" s="48"/>
      <c r="AD37" s="48"/>
      <c r="AE37" s="48"/>
      <c r="AF37" s="48"/>
      <c r="AG37" s="48"/>
      <c r="AH37" s="48"/>
      <c r="AI37" s="48"/>
      <c r="AJ37" s="48"/>
      <c r="AK37" s="48"/>
      <c r="AL37" s="48"/>
      <c r="AM37" s="48"/>
      <c r="AN37" s="48"/>
      <c r="AO37" s="48"/>
      <c r="AP37" s="48"/>
      <c r="AQ37" s="48"/>
      <c r="AR37" s="48"/>
      <c r="AS37" s="48"/>
      <c r="AT37" s="48"/>
      <c r="AU37" s="48"/>
      <c r="AV37" s="48"/>
      <c r="AW37" s="48"/>
      <c r="AX37" s="48"/>
      <c r="AY37" s="48"/>
      <c r="AZ37" s="48"/>
      <c r="BA37" s="48"/>
      <c r="BB37" s="48"/>
      <c r="BC37" s="48"/>
      <c r="BD37" s="48"/>
      <c r="BE37" s="48"/>
      <c r="BF37" s="48"/>
      <c r="BG37" s="48"/>
      <c r="BH37" s="48"/>
      <c r="BI37" s="48"/>
      <c r="BJ37" s="48"/>
      <c r="BK37" s="48"/>
      <c r="BL37" s="48"/>
      <c r="BM37" s="48"/>
      <c r="BN37" s="48"/>
      <c r="BO37" s="48"/>
      <c r="BP37" s="48"/>
      <c r="BQ37" s="48"/>
      <c r="BR37" s="48"/>
      <c r="BS37" s="48"/>
      <c r="BT37" s="48"/>
      <c r="BU37" s="48"/>
      <c r="BV37" s="48"/>
    </row>
    <row r="38" customFormat="false" ht="15" hidden="true" customHeight="true" outlineLevel="1" collapsed="false">
      <c r="A38" s="49" t="s">
        <v>200</v>
      </c>
      <c r="B38" s="50" t="s">
        <v>201</v>
      </c>
      <c r="C38" s="50" t="s">
        <v>202</v>
      </c>
      <c r="D38" s="50" t="s">
        <v>86</v>
      </c>
      <c r="E38" s="51" t="n">
        <v>0.3</v>
      </c>
      <c r="F38" s="52"/>
      <c r="G38" s="52"/>
      <c r="H38" s="52"/>
      <c r="I38" s="53" t="n">
        <v>46340</v>
      </c>
      <c r="J38" s="53" t="n">
        <v>46344</v>
      </c>
      <c r="K38" s="52"/>
      <c r="L38" s="52"/>
      <c r="M38" s="54" t="s">
        <v>203</v>
      </c>
      <c r="N38" s="55" t="n">
        <v>46328</v>
      </c>
      <c r="O38" s="55" t="n">
        <v>46328</v>
      </c>
      <c r="P38" s="50" t="s">
        <v>75</v>
      </c>
      <c r="Q38" s="52" t="n">
        <v>-16</v>
      </c>
      <c r="R38" s="52"/>
      <c r="S38" s="52" t="n">
        <v>2</v>
      </c>
      <c r="T38" s="52" t="s">
        <v>76</v>
      </c>
      <c r="U38" s="52"/>
      <c r="V38" s="56" t="n">
        <v>0</v>
      </c>
      <c r="W38" s="52" t="s">
        <v>80</v>
      </c>
      <c r="X38" s="52"/>
      <c r="Y38" s="52"/>
      <c r="AA38" s="48"/>
      <c r="AB38" s="48"/>
      <c r="AC38" s="48"/>
      <c r="AD38" s="48"/>
      <c r="AE38" s="48"/>
      <c r="AF38" s="48"/>
      <c r="AG38" s="48"/>
      <c r="AH38" s="48"/>
      <c r="AI38" s="48"/>
      <c r="AJ38" s="48"/>
      <c r="AK38" s="48"/>
      <c r="AL38" s="48"/>
      <c r="AM38" s="48"/>
      <c r="AN38" s="48"/>
      <c r="AO38" s="48"/>
      <c r="AP38" s="48"/>
      <c r="AQ38" s="48"/>
      <c r="AR38" s="48"/>
      <c r="AS38" s="48"/>
      <c r="AT38" s="48"/>
      <c r="AU38" s="48"/>
      <c r="AV38" s="48"/>
      <c r="AW38" s="48"/>
      <c r="AX38" s="48"/>
      <c r="AY38" s="48"/>
      <c r="AZ38" s="48"/>
      <c r="BA38" s="48"/>
      <c r="BB38" s="48"/>
      <c r="BC38" s="48"/>
      <c r="BD38" s="48"/>
      <c r="BE38" s="48"/>
      <c r="BF38" s="48"/>
      <c r="BG38" s="48"/>
      <c r="BH38" s="48"/>
      <c r="BI38" s="48"/>
      <c r="BJ38" s="48"/>
      <c r="BK38" s="48"/>
      <c r="BL38" s="48"/>
      <c r="BM38" s="48"/>
      <c r="BN38" s="48"/>
      <c r="BO38" s="48"/>
      <c r="BP38" s="48"/>
      <c r="BQ38" s="48"/>
      <c r="BR38" s="48"/>
      <c r="BS38" s="48"/>
      <c r="BT38" s="48"/>
      <c r="BU38" s="48"/>
      <c r="BV38" s="48"/>
    </row>
    <row r="39" customFormat="false" ht="15" hidden="false" customHeight="true" outlineLevel="0" collapsed="false">
      <c r="A39" s="37" t="s">
        <v>204</v>
      </c>
      <c r="B39" s="39" t="s">
        <v>205</v>
      </c>
      <c r="C39" s="39"/>
      <c r="D39" s="39" t="s">
        <v>79</v>
      </c>
      <c r="E39" s="40" t="n">
        <v>0.5</v>
      </c>
      <c r="F39" s="39" t="s">
        <v>206</v>
      </c>
      <c r="G39" s="37"/>
      <c r="H39" s="37" t="n">
        <v>1</v>
      </c>
      <c r="I39" s="41" t="n">
        <v>46358</v>
      </c>
      <c r="J39" s="41" t="n">
        <v>46358</v>
      </c>
      <c r="K39" s="42"/>
      <c r="L39" s="42"/>
      <c r="M39" s="43"/>
      <c r="N39" s="44" t="n">
        <v>46328</v>
      </c>
      <c r="O39" s="45" t="n">
        <v>46328</v>
      </c>
      <c r="P39" s="46" t="s">
        <v>75</v>
      </c>
      <c r="Q39" s="37" t="n">
        <v>-30</v>
      </c>
      <c r="R39" s="39"/>
      <c r="S39" s="39" t="n">
        <v>1</v>
      </c>
      <c r="T39" s="39" t="s">
        <v>76</v>
      </c>
      <c r="U39" s="57" t="n">
        <v>46328.0039</v>
      </c>
      <c r="V39" s="47" t="n">
        <v>0</v>
      </c>
      <c r="W39" s="38" t="s">
        <v>80</v>
      </c>
      <c r="X39" s="39" t="s">
        <v>207</v>
      </c>
      <c r="Y39" s="39"/>
      <c r="AA39" s="48"/>
      <c r="AB39" s="48"/>
      <c r="AC39" s="48"/>
      <c r="AD39" s="48"/>
      <c r="AE39" s="48"/>
      <c r="AF39" s="48"/>
      <c r="AG39" s="48"/>
      <c r="AH39" s="48"/>
      <c r="AI39" s="48"/>
      <c r="AJ39" s="48"/>
      <c r="AK39" s="48"/>
      <c r="AL39" s="48"/>
      <c r="AM39" s="48"/>
      <c r="AN39" s="48"/>
      <c r="AO39" s="48"/>
      <c r="AP39" s="48"/>
      <c r="AQ39" s="48"/>
      <c r="AR39" s="48"/>
      <c r="AS39" s="48"/>
      <c r="AT39" s="48"/>
      <c r="AU39" s="48"/>
      <c r="AV39" s="48"/>
      <c r="AW39" s="48"/>
      <c r="AX39" s="48"/>
      <c r="AY39" s="48"/>
      <c r="AZ39" s="48"/>
      <c r="BA39" s="48"/>
      <c r="BB39" s="48"/>
      <c r="BC39" s="48"/>
      <c r="BD39" s="48"/>
      <c r="BE39" s="48"/>
      <c r="BF39" s="48"/>
      <c r="BG39" s="48"/>
      <c r="BH39" s="48"/>
      <c r="BI39" s="48"/>
      <c r="BJ39" s="48"/>
      <c r="BK39" s="48"/>
      <c r="BL39" s="48"/>
      <c r="BM39" s="48"/>
      <c r="BN39" s="48"/>
      <c r="BO39" s="48"/>
      <c r="BP39" s="48"/>
      <c r="BQ39" s="48"/>
      <c r="BR39" s="48"/>
      <c r="BS39" s="48"/>
      <c r="BT39" s="48"/>
      <c r="BU39" s="48"/>
      <c r="BV39" s="48"/>
    </row>
    <row r="40" customFormat="false" ht="15" hidden="true" customHeight="true" outlineLevel="1" collapsed="false">
      <c r="A40" s="49" t="s">
        <v>208</v>
      </c>
      <c r="B40" s="50" t="s">
        <v>209</v>
      </c>
      <c r="C40" s="50" t="s">
        <v>210</v>
      </c>
      <c r="D40" s="50" t="s">
        <v>86</v>
      </c>
      <c r="E40" s="51" t="n">
        <v>0.2</v>
      </c>
      <c r="F40" s="52"/>
      <c r="G40" s="52"/>
      <c r="H40" s="52"/>
      <c r="I40" s="53" t="n">
        <v>46358</v>
      </c>
      <c r="J40" s="53" t="n">
        <v>46358</v>
      </c>
      <c r="K40" s="52"/>
      <c r="L40" s="52"/>
      <c r="M40" s="54" t="s">
        <v>211</v>
      </c>
      <c r="N40" s="55" t="n">
        <v>46328</v>
      </c>
      <c r="O40" s="55" t="n">
        <v>46328</v>
      </c>
      <c r="P40" s="50" t="s">
        <v>75</v>
      </c>
      <c r="Q40" s="52" t="n">
        <v>-30</v>
      </c>
      <c r="R40" s="52"/>
      <c r="S40" s="52" t="n">
        <v>2</v>
      </c>
      <c r="T40" s="52" t="s">
        <v>76</v>
      </c>
      <c r="U40" s="52"/>
      <c r="V40" s="56" t="n">
        <v>0</v>
      </c>
      <c r="W40" s="52" t="s">
        <v>80</v>
      </c>
      <c r="X40" s="52"/>
      <c r="Y40" s="52"/>
      <c r="AA40" s="48"/>
      <c r="AB40" s="48"/>
      <c r="AC40" s="48"/>
      <c r="AD40" s="48"/>
      <c r="AE40" s="48"/>
      <c r="AF40" s="48"/>
      <c r="AG40" s="48"/>
      <c r="AH40" s="48"/>
      <c r="AI40" s="48"/>
      <c r="AJ40" s="48"/>
      <c r="AK40" s="48"/>
      <c r="AL40" s="48"/>
      <c r="AM40" s="48"/>
      <c r="AN40" s="48"/>
      <c r="AO40" s="48"/>
      <c r="AP40" s="48"/>
      <c r="AQ40" s="48"/>
      <c r="AR40" s="48"/>
      <c r="AS40" s="48"/>
      <c r="AT40" s="48"/>
      <c r="AU40" s="48"/>
      <c r="AV40" s="48"/>
      <c r="AW40" s="48"/>
      <c r="AX40" s="48"/>
      <c r="AY40" s="48"/>
      <c r="AZ40" s="48"/>
      <c r="BA40" s="48"/>
      <c r="BB40" s="48"/>
      <c r="BC40" s="48"/>
      <c r="BD40" s="48"/>
      <c r="BE40" s="48"/>
      <c r="BF40" s="48"/>
      <c r="BG40" s="48"/>
      <c r="BH40" s="48"/>
      <c r="BI40" s="48"/>
      <c r="BJ40" s="48"/>
      <c r="BK40" s="48"/>
      <c r="BL40" s="48"/>
      <c r="BM40" s="48"/>
      <c r="BN40" s="48"/>
      <c r="BO40" s="48"/>
      <c r="BP40" s="48"/>
      <c r="BQ40" s="48"/>
      <c r="BR40" s="48"/>
      <c r="BS40" s="48"/>
      <c r="BT40" s="48"/>
      <c r="BU40" s="48"/>
      <c r="BV40" s="48"/>
    </row>
    <row r="41" customFormat="false" ht="15" hidden="true" customHeight="true" outlineLevel="1" collapsed="false">
      <c r="A41" s="49" t="s">
        <v>212</v>
      </c>
      <c r="B41" s="50" t="s">
        <v>213</v>
      </c>
      <c r="C41" s="52" t="s">
        <v>214</v>
      </c>
      <c r="D41" s="50" t="s">
        <v>91</v>
      </c>
      <c r="E41" s="51" t="n">
        <v>0.2</v>
      </c>
      <c r="F41" s="52"/>
      <c r="G41" s="52"/>
      <c r="H41" s="52"/>
      <c r="I41" s="53" t="n">
        <v>46358</v>
      </c>
      <c r="J41" s="53" t="n">
        <v>46358</v>
      </c>
      <c r="K41" s="52"/>
      <c r="L41" s="52"/>
      <c r="M41" s="54" t="s">
        <v>215</v>
      </c>
      <c r="N41" s="55" t="n">
        <v>46328</v>
      </c>
      <c r="O41" s="55" t="n">
        <v>46328</v>
      </c>
      <c r="P41" s="50" t="s">
        <v>75</v>
      </c>
      <c r="Q41" s="52" t="n">
        <v>-30</v>
      </c>
      <c r="R41" s="52"/>
      <c r="S41" s="52" t="n">
        <v>2</v>
      </c>
      <c r="T41" s="52" t="s">
        <v>76</v>
      </c>
      <c r="U41" s="52"/>
      <c r="V41" s="56" t="n">
        <v>0</v>
      </c>
      <c r="W41" s="50" t="s">
        <v>86</v>
      </c>
      <c r="X41" s="52"/>
      <c r="Y41" s="52"/>
      <c r="AA41" s="48"/>
      <c r="AB41" s="48"/>
      <c r="AC41" s="48"/>
      <c r="AD41" s="48"/>
      <c r="AE41" s="48"/>
      <c r="AF41" s="48"/>
      <c r="AG41" s="48"/>
      <c r="AH41" s="48"/>
      <c r="AI41" s="48"/>
      <c r="AJ41" s="48"/>
      <c r="AK41" s="48"/>
      <c r="AL41" s="48"/>
      <c r="AM41" s="48"/>
      <c r="AN41" s="48"/>
      <c r="AO41" s="48"/>
      <c r="AP41" s="48"/>
      <c r="AQ41" s="48"/>
      <c r="AR41" s="48"/>
      <c r="AS41" s="48"/>
      <c r="AT41" s="48"/>
      <c r="AU41" s="48"/>
      <c r="AV41" s="48"/>
      <c r="AW41" s="48"/>
      <c r="AX41" s="48"/>
      <c r="AY41" s="48"/>
      <c r="AZ41" s="48"/>
      <c r="BA41" s="48"/>
      <c r="BB41" s="48"/>
      <c r="BC41" s="48"/>
      <c r="BD41" s="48"/>
      <c r="BE41" s="48"/>
      <c r="BF41" s="48"/>
      <c r="BG41" s="48"/>
      <c r="BH41" s="48"/>
      <c r="BI41" s="48"/>
      <c r="BJ41" s="48"/>
      <c r="BK41" s="48"/>
      <c r="BL41" s="48"/>
      <c r="BM41" s="48"/>
      <c r="BN41" s="48"/>
      <c r="BO41" s="48"/>
      <c r="BP41" s="48"/>
      <c r="BQ41" s="48"/>
      <c r="BR41" s="48"/>
      <c r="BS41" s="48"/>
      <c r="BT41" s="48"/>
      <c r="BU41" s="48"/>
      <c r="BV41" s="48"/>
    </row>
    <row r="42" customFormat="false" ht="15" hidden="true" customHeight="true" outlineLevel="1" collapsed="false">
      <c r="A42" s="49" t="s">
        <v>216</v>
      </c>
      <c r="B42" s="50" t="s">
        <v>217</v>
      </c>
      <c r="C42" s="52" t="s">
        <v>218</v>
      </c>
      <c r="D42" s="50" t="s">
        <v>91</v>
      </c>
      <c r="E42" s="51" t="n">
        <v>0.1</v>
      </c>
      <c r="F42" s="52"/>
      <c r="G42" s="52"/>
      <c r="H42" s="52"/>
      <c r="I42" s="53" t="n">
        <v>46358</v>
      </c>
      <c r="J42" s="53" t="n">
        <v>46358</v>
      </c>
      <c r="K42" s="52"/>
      <c r="L42" s="52"/>
      <c r="M42" s="54" t="s">
        <v>219</v>
      </c>
      <c r="N42" s="55" t="n">
        <v>46328</v>
      </c>
      <c r="O42" s="55" t="n">
        <v>46328</v>
      </c>
      <c r="P42" s="50" t="s">
        <v>75</v>
      </c>
      <c r="Q42" s="52" t="n">
        <v>-30</v>
      </c>
      <c r="R42" s="52"/>
      <c r="S42" s="52" t="n">
        <v>2</v>
      </c>
      <c r="T42" s="52" t="s">
        <v>76</v>
      </c>
      <c r="U42" s="52"/>
      <c r="V42" s="56" t="n">
        <v>0</v>
      </c>
      <c r="W42" s="50" t="s">
        <v>86</v>
      </c>
      <c r="X42" s="52"/>
      <c r="Y42" s="52"/>
      <c r="AA42" s="48"/>
      <c r="AB42" s="48"/>
      <c r="AC42" s="48"/>
      <c r="AD42" s="48"/>
      <c r="AE42" s="48"/>
      <c r="AF42" s="48"/>
      <c r="AG42" s="48"/>
      <c r="AH42" s="48"/>
      <c r="AI42" s="48"/>
      <c r="AJ42" s="48"/>
      <c r="AK42" s="48"/>
      <c r="AL42" s="48"/>
      <c r="AM42" s="48"/>
      <c r="AN42" s="48"/>
      <c r="AO42" s="48"/>
      <c r="AP42" s="48"/>
      <c r="AQ42" s="48"/>
      <c r="AR42" s="48"/>
      <c r="AS42" s="48"/>
      <c r="AT42" s="48"/>
      <c r="AU42" s="48"/>
      <c r="AV42" s="48"/>
      <c r="AW42" s="48"/>
      <c r="AX42" s="48"/>
      <c r="AY42" s="48"/>
      <c r="AZ42" s="48"/>
      <c r="BA42" s="48"/>
      <c r="BB42" s="48"/>
      <c r="BC42" s="48"/>
      <c r="BD42" s="48"/>
      <c r="BE42" s="48"/>
      <c r="BF42" s="48"/>
      <c r="BG42" s="48"/>
      <c r="BH42" s="48"/>
      <c r="BI42" s="48"/>
      <c r="BJ42" s="48"/>
      <c r="BK42" s="48"/>
      <c r="BL42" s="48"/>
      <c r="BM42" s="48"/>
      <c r="BN42" s="48"/>
      <c r="BO42" s="48"/>
      <c r="BP42" s="48"/>
      <c r="BQ42" s="48"/>
      <c r="BR42" s="48"/>
      <c r="BS42" s="48"/>
      <c r="BT42" s="48"/>
      <c r="BU42" s="48"/>
      <c r="BV42" s="48"/>
    </row>
    <row r="43" customFormat="false" ht="15" hidden="false" customHeight="true" outlineLevel="0" collapsed="false">
      <c r="A43" s="37" t="s">
        <v>220</v>
      </c>
      <c r="B43" s="39" t="s">
        <v>221</v>
      </c>
      <c r="C43" s="39"/>
      <c r="D43" s="38" t="s">
        <v>112</v>
      </c>
      <c r="E43" s="40" t="n">
        <v>1</v>
      </c>
      <c r="F43" s="39" t="s">
        <v>222</v>
      </c>
      <c r="G43" s="37"/>
      <c r="H43" s="37" t="n">
        <v>14</v>
      </c>
      <c r="I43" s="41" t="n">
        <v>46335</v>
      </c>
      <c r="J43" s="41" t="n">
        <v>46348</v>
      </c>
      <c r="K43" s="42"/>
      <c r="L43" s="42"/>
      <c r="M43" s="43"/>
      <c r="N43" s="44" t="n">
        <v>46328</v>
      </c>
      <c r="O43" s="45" t="n">
        <v>46328</v>
      </c>
      <c r="P43" s="46" t="s">
        <v>75</v>
      </c>
      <c r="Q43" s="37" t="n">
        <v>-20</v>
      </c>
      <c r="R43" s="39"/>
      <c r="S43" s="39" t="n">
        <v>1</v>
      </c>
      <c r="T43" s="39" t="s">
        <v>76</v>
      </c>
      <c r="U43" s="57" t="n">
        <v>46328.0043</v>
      </c>
      <c r="V43" s="47" t="n">
        <v>0</v>
      </c>
      <c r="W43" s="38" t="s">
        <v>80</v>
      </c>
      <c r="X43" s="39" t="s">
        <v>223</v>
      </c>
      <c r="Y43" s="39"/>
      <c r="AA43" s="48"/>
      <c r="AB43" s="48"/>
      <c r="AC43" s="48"/>
      <c r="AD43" s="48"/>
      <c r="AE43" s="48"/>
      <c r="AF43" s="48"/>
      <c r="AG43" s="48"/>
      <c r="AH43" s="48"/>
      <c r="AI43" s="48"/>
      <c r="AJ43" s="48"/>
      <c r="AK43" s="48"/>
      <c r="AL43" s="48"/>
      <c r="AM43" s="48"/>
      <c r="AN43" s="48"/>
      <c r="AO43" s="48"/>
      <c r="AP43" s="48"/>
      <c r="AQ43" s="48"/>
      <c r="AR43" s="48"/>
      <c r="AS43" s="48"/>
      <c r="AT43" s="48"/>
      <c r="AU43" s="48"/>
      <c r="AV43" s="48"/>
      <c r="AW43" s="48"/>
      <c r="AX43" s="48"/>
      <c r="AY43" s="48"/>
      <c r="AZ43" s="48"/>
      <c r="BA43" s="48"/>
      <c r="BB43" s="48"/>
      <c r="BC43" s="48"/>
      <c r="BD43" s="48"/>
      <c r="BE43" s="48"/>
      <c r="BF43" s="48"/>
      <c r="BG43" s="48"/>
      <c r="BH43" s="48"/>
      <c r="BI43" s="48"/>
      <c r="BJ43" s="48"/>
      <c r="BK43" s="48"/>
      <c r="BL43" s="48"/>
      <c r="BM43" s="48"/>
      <c r="BN43" s="48"/>
      <c r="BO43" s="48"/>
      <c r="BP43" s="48"/>
      <c r="BQ43" s="48"/>
      <c r="BR43" s="48"/>
      <c r="BS43" s="48"/>
      <c r="BT43" s="48"/>
      <c r="BU43" s="48"/>
      <c r="BV43" s="48"/>
    </row>
    <row r="44" customFormat="false" ht="15" hidden="true" customHeight="true" outlineLevel="1" collapsed="false">
      <c r="A44" s="49" t="s">
        <v>224</v>
      </c>
      <c r="B44" s="50" t="s">
        <v>225</v>
      </c>
      <c r="C44" s="50" t="s">
        <v>226</v>
      </c>
      <c r="D44" s="50" t="s">
        <v>86</v>
      </c>
      <c r="E44" s="51" t="n">
        <v>0.2</v>
      </c>
      <c r="F44" s="52"/>
      <c r="G44" s="52"/>
      <c r="H44" s="52"/>
      <c r="I44" s="53" t="n">
        <v>46335</v>
      </c>
      <c r="J44" s="53" t="n">
        <v>46338</v>
      </c>
      <c r="K44" s="52"/>
      <c r="L44" s="52"/>
      <c r="M44" s="54" t="s">
        <v>227</v>
      </c>
      <c r="N44" s="55" t="n">
        <v>46328</v>
      </c>
      <c r="O44" s="55" t="n">
        <v>46328</v>
      </c>
      <c r="P44" s="50" t="s">
        <v>75</v>
      </c>
      <c r="Q44" s="52" t="n">
        <v>-10</v>
      </c>
      <c r="R44" s="52"/>
      <c r="S44" s="52" t="n">
        <v>2</v>
      </c>
      <c r="T44" s="52" t="s">
        <v>76</v>
      </c>
      <c r="U44" s="52"/>
      <c r="V44" s="56" t="n">
        <v>0</v>
      </c>
      <c r="W44" s="52" t="s">
        <v>80</v>
      </c>
      <c r="X44" s="52"/>
      <c r="Y44" s="52"/>
      <c r="AA44" s="48"/>
      <c r="AB44" s="48"/>
      <c r="AC44" s="48"/>
      <c r="AD44" s="48"/>
      <c r="AE44" s="48"/>
      <c r="AF44" s="48"/>
      <c r="AG44" s="48"/>
      <c r="AH44" s="48"/>
      <c r="AI44" s="48"/>
      <c r="AJ44" s="48"/>
      <c r="AK44" s="48"/>
      <c r="AL44" s="48"/>
      <c r="AM44" s="48"/>
      <c r="AN44" s="48"/>
      <c r="AO44" s="48"/>
      <c r="AP44" s="48"/>
      <c r="AQ44" s="48"/>
      <c r="AR44" s="48"/>
      <c r="AS44" s="48"/>
      <c r="AT44" s="48"/>
      <c r="AU44" s="48"/>
      <c r="AV44" s="48"/>
      <c r="AW44" s="48"/>
      <c r="AX44" s="48"/>
      <c r="AY44" s="48"/>
      <c r="AZ44" s="48"/>
      <c r="BA44" s="48"/>
      <c r="BB44" s="48"/>
      <c r="BC44" s="48"/>
      <c r="BD44" s="48"/>
      <c r="BE44" s="48"/>
      <c r="BF44" s="48"/>
      <c r="BG44" s="48"/>
      <c r="BH44" s="48"/>
      <c r="BI44" s="48"/>
      <c r="BJ44" s="48"/>
      <c r="BK44" s="48"/>
      <c r="BL44" s="48"/>
      <c r="BM44" s="48"/>
      <c r="BN44" s="48"/>
      <c r="BO44" s="48"/>
      <c r="BP44" s="48"/>
      <c r="BQ44" s="48"/>
      <c r="BR44" s="48"/>
      <c r="BS44" s="48"/>
      <c r="BT44" s="48"/>
      <c r="BU44" s="48"/>
      <c r="BV44" s="48"/>
    </row>
    <row r="45" customFormat="false" ht="15" hidden="true" customHeight="true" outlineLevel="1" collapsed="false">
      <c r="A45" s="49" t="s">
        <v>228</v>
      </c>
      <c r="B45" s="50" t="s">
        <v>229</v>
      </c>
      <c r="C45" s="50" t="s">
        <v>230</v>
      </c>
      <c r="D45" s="52" t="s">
        <v>112</v>
      </c>
      <c r="E45" s="51" t="n">
        <v>0.4</v>
      </c>
      <c r="F45" s="52"/>
      <c r="G45" s="52"/>
      <c r="H45" s="52"/>
      <c r="I45" s="53" t="n">
        <v>46336</v>
      </c>
      <c r="J45" s="53" t="n">
        <v>46341</v>
      </c>
      <c r="K45" s="52"/>
      <c r="L45" s="52"/>
      <c r="M45" s="54" t="s">
        <v>231</v>
      </c>
      <c r="N45" s="55" t="n">
        <v>46328</v>
      </c>
      <c r="O45" s="55" t="n">
        <v>46328</v>
      </c>
      <c r="P45" s="50" t="s">
        <v>75</v>
      </c>
      <c r="Q45" s="52" t="n">
        <v>-13</v>
      </c>
      <c r="R45" s="52"/>
      <c r="S45" s="52" t="n">
        <v>2</v>
      </c>
      <c r="T45" s="52" t="s">
        <v>76</v>
      </c>
      <c r="U45" s="52"/>
      <c r="V45" s="56" t="n">
        <v>0</v>
      </c>
      <c r="W45" s="50" t="s">
        <v>86</v>
      </c>
      <c r="X45" s="52"/>
      <c r="Y45" s="52"/>
      <c r="AA45" s="48"/>
      <c r="AB45" s="48"/>
      <c r="AC45" s="48"/>
      <c r="AD45" s="48"/>
      <c r="AE45" s="48"/>
      <c r="AF45" s="48"/>
      <c r="AG45" s="48"/>
      <c r="AH45" s="48"/>
      <c r="AI45" s="48"/>
      <c r="AJ45" s="48"/>
      <c r="AK45" s="48"/>
      <c r="AL45" s="48"/>
      <c r="AM45" s="48"/>
      <c r="AN45" s="48"/>
      <c r="AO45" s="48"/>
      <c r="AP45" s="48"/>
      <c r="AQ45" s="48"/>
      <c r="AR45" s="48"/>
      <c r="AS45" s="48"/>
      <c r="AT45" s="48"/>
      <c r="AU45" s="48"/>
      <c r="AV45" s="48"/>
      <c r="AW45" s="48"/>
      <c r="AX45" s="48"/>
      <c r="AY45" s="48"/>
      <c r="AZ45" s="48"/>
      <c r="BA45" s="48"/>
      <c r="BB45" s="48"/>
      <c r="BC45" s="48"/>
      <c r="BD45" s="48"/>
      <c r="BE45" s="48"/>
      <c r="BF45" s="48"/>
      <c r="BG45" s="48"/>
      <c r="BH45" s="48"/>
      <c r="BI45" s="48"/>
      <c r="BJ45" s="48"/>
      <c r="BK45" s="48"/>
      <c r="BL45" s="48"/>
      <c r="BM45" s="48"/>
      <c r="BN45" s="48"/>
      <c r="BO45" s="48"/>
      <c r="BP45" s="48"/>
      <c r="BQ45" s="48"/>
      <c r="BR45" s="48"/>
      <c r="BS45" s="48"/>
      <c r="BT45" s="48"/>
      <c r="BU45" s="48"/>
      <c r="BV45" s="48"/>
    </row>
    <row r="46" customFormat="false" ht="15" hidden="true" customHeight="true" outlineLevel="1" collapsed="false">
      <c r="A46" s="49" t="s">
        <v>232</v>
      </c>
      <c r="B46" s="50" t="s">
        <v>233</v>
      </c>
      <c r="C46" s="50" t="s">
        <v>234</v>
      </c>
      <c r="D46" s="52" t="s">
        <v>112</v>
      </c>
      <c r="E46" s="51" t="n">
        <v>0.4</v>
      </c>
      <c r="F46" s="52"/>
      <c r="G46" s="52"/>
      <c r="H46" s="52"/>
      <c r="I46" s="53" t="n">
        <v>46341</v>
      </c>
      <c r="J46" s="53" t="n">
        <v>46348</v>
      </c>
      <c r="K46" s="52"/>
      <c r="L46" s="52"/>
      <c r="M46" s="54" t="s">
        <v>235</v>
      </c>
      <c r="N46" s="55" t="n">
        <v>46328</v>
      </c>
      <c r="O46" s="55" t="n">
        <v>46328</v>
      </c>
      <c r="P46" s="50" t="s">
        <v>75</v>
      </c>
      <c r="Q46" s="52" t="n">
        <v>-20</v>
      </c>
      <c r="R46" s="52"/>
      <c r="S46" s="52" t="n">
        <v>2</v>
      </c>
      <c r="T46" s="52" t="s">
        <v>76</v>
      </c>
      <c r="U46" s="52"/>
      <c r="V46" s="56" t="n">
        <v>0</v>
      </c>
      <c r="W46" s="52" t="s">
        <v>80</v>
      </c>
      <c r="X46" s="52"/>
      <c r="Y46" s="52"/>
      <c r="AA46" s="48"/>
      <c r="AB46" s="48"/>
      <c r="AC46" s="48"/>
      <c r="AD46" s="48"/>
      <c r="AE46" s="48"/>
      <c r="AF46" s="48"/>
      <c r="AG46" s="48"/>
      <c r="AH46" s="48"/>
      <c r="AI46" s="48"/>
      <c r="AJ46" s="48"/>
      <c r="AK46" s="48"/>
      <c r="AL46" s="48"/>
      <c r="AM46" s="48"/>
      <c r="AN46" s="48"/>
      <c r="AO46" s="48"/>
      <c r="AP46" s="48"/>
      <c r="AQ46" s="48"/>
      <c r="AR46" s="48"/>
      <c r="AS46" s="48"/>
      <c r="AT46" s="48"/>
      <c r="AU46" s="48"/>
      <c r="AV46" s="48"/>
      <c r="AW46" s="48"/>
      <c r="AX46" s="48"/>
      <c r="AY46" s="48"/>
      <c r="AZ46" s="48"/>
      <c r="BA46" s="48"/>
      <c r="BB46" s="48"/>
      <c r="BC46" s="48"/>
      <c r="BD46" s="48"/>
      <c r="BE46" s="48"/>
      <c r="BF46" s="48"/>
      <c r="BG46" s="48"/>
      <c r="BH46" s="48"/>
      <c r="BI46" s="48"/>
      <c r="BJ46" s="48"/>
      <c r="BK46" s="48"/>
      <c r="BL46" s="48"/>
      <c r="BM46" s="48"/>
      <c r="BN46" s="48"/>
      <c r="BO46" s="48"/>
      <c r="BP46" s="48"/>
      <c r="BQ46" s="48"/>
      <c r="BR46" s="48"/>
      <c r="BS46" s="48"/>
      <c r="BT46" s="48"/>
      <c r="BU46" s="48"/>
      <c r="BV46" s="48"/>
    </row>
    <row r="47" customFormat="false" ht="15" hidden="false" customHeight="true" outlineLevel="0" collapsed="false">
      <c r="A47" s="37" t="s">
        <v>236</v>
      </c>
      <c r="B47" s="39" t="s">
        <v>237</v>
      </c>
      <c r="C47" s="39"/>
      <c r="D47" s="38" t="s">
        <v>112</v>
      </c>
      <c r="E47" s="40" t="n">
        <v>1</v>
      </c>
      <c r="F47" s="38" t="s">
        <v>238</v>
      </c>
      <c r="G47" s="37"/>
      <c r="H47" s="37" t="n">
        <v>1</v>
      </c>
      <c r="I47" s="41" t="n">
        <v>46391</v>
      </c>
      <c r="J47" s="41" t="n">
        <v>46391</v>
      </c>
      <c r="K47" s="42"/>
      <c r="L47" s="42"/>
      <c r="M47" s="43"/>
      <c r="N47" s="44" t="n">
        <v>46356</v>
      </c>
      <c r="O47" s="45" t="n">
        <v>46356</v>
      </c>
      <c r="P47" s="46" t="s">
        <v>105</v>
      </c>
      <c r="Q47" s="37" t="n">
        <v>-35</v>
      </c>
      <c r="R47" s="39"/>
      <c r="S47" s="39" t="n">
        <v>1</v>
      </c>
      <c r="T47" s="39" t="s">
        <v>106</v>
      </c>
      <c r="U47" s="57" t="n">
        <v>46356.0047</v>
      </c>
      <c r="V47" s="47" t="n">
        <v>0</v>
      </c>
      <c r="W47" s="38" t="s">
        <v>80</v>
      </c>
      <c r="X47" s="39" t="s">
        <v>239</v>
      </c>
      <c r="Y47" s="38" t="s">
        <v>240</v>
      </c>
      <c r="AA47" s="48"/>
      <c r="AB47" s="48"/>
      <c r="AC47" s="48"/>
      <c r="AD47" s="48"/>
      <c r="AE47" s="48"/>
      <c r="AF47" s="48"/>
      <c r="AG47" s="48"/>
      <c r="AH47" s="48"/>
      <c r="AI47" s="48"/>
      <c r="AJ47" s="48"/>
      <c r="AK47" s="48"/>
      <c r="AL47" s="48"/>
      <c r="AM47" s="48"/>
      <c r="AN47" s="48"/>
      <c r="AO47" s="48"/>
      <c r="AP47" s="48"/>
      <c r="AQ47" s="48"/>
      <c r="AR47" s="48"/>
      <c r="AS47" s="48"/>
      <c r="AT47" s="48"/>
      <c r="AU47" s="48"/>
      <c r="AV47" s="48"/>
      <c r="AW47" s="48"/>
      <c r="AX47" s="48"/>
      <c r="AY47" s="48"/>
      <c r="AZ47" s="48"/>
      <c r="BA47" s="48"/>
      <c r="BB47" s="48"/>
      <c r="BC47" s="48"/>
      <c r="BD47" s="48"/>
      <c r="BE47" s="48"/>
      <c r="BF47" s="48"/>
      <c r="BG47" s="48"/>
      <c r="BH47" s="48"/>
      <c r="BI47" s="48"/>
      <c r="BJ47" s="48"/>
      <c r="BK47" s="48"/>
      <c r="BL47" s="48"/>
      <c r="BM47" s="48"/>
      <c r="BN47" s="48"/>
      <c r="BO47" s="48"/>
      <c r="BP47" s="48"/>
      <c r="BQ47" s="48"/>
      <c r="BR47" s="48"/>
      <c r="BS47" s="48"/>
      <c r="BT47" s="48"/>
      <c r="BU47" s="48"/>
      <c r="BV47" s="48"/>
    </row>
    <row r="48" customFormat="false" ht="15" hidden="true" customHeight="true" outlineLevel="1" collapsed="false">
      <c r="A48" s="49" t="s">
        <v>241</v>
      </c>
      <c r="B48" s="52" t="s">
        <v>242</v>
      </c>
      <c r="C48" s="52" t="s">
        <v>243</v>
      </c>
      <c r="D48" s="52" t="s">
        <v>112</v>
      </c>
      <c r="E48" s="51" t="n">
        <v>0.2</v>
      </c>
      <c r="F48" s="52"/>
      <c r="G48" s="52"/>
      <c r="H48" s="52"/>
      <c r="I48" s="53" t="n">
        <v>46391</v>
      </c>
      <c r="J48" s="53" t="n">
        <v>46391</v>
      </c>
      <c r="K48" s="52"/>
      <c r="L48" s="52"/>
      <c r="M48" s="54" t="s">
        <v>244</v>
      </c>
      <c r="N48" s="55" t="n">
        <v>46356</v>
      </c>
      <c r="O48" s="55" t="n">
        <v>46356</v>
      </c>
      <c r="P48" s="50" t="s">
        <v>105</v>
      </c>
      <c r="Q48" s="52" t="n">
        <v>-35</v>
      </c>
      <c r="R48" s="52"/>
      <c r="S48" s="52" t="n">
        <v>2</v>
      </c>
      <c r="T48" s="52" t="s">
        <v>106</v>
      </c>
      <c r="U48" s="52"/>
      <c r="V48" s="56" t="n">
        <v>0</v>
      </c>
      <c r="W48" s="50" t="s">
        <v>86</v>
      </c>
      <c r="X48" s="52"/>
      <c r="Y48" s="52" t="s">
        <v>240</v>
      </c>
      <c r="AA48" s="48"/>
      <c r="AB48" s="48"/>
      <c r="AC48" s="48"/>
      <c r="AD48" s="48"/>
      <c r="AE48" s="48"/>
      <c r="AF48" s="48"/>
      <c r="AG48" s="48"/>
      <c r="AH48" s="48"/>
      <c r="AI48" s="48"/>
      <c r="AJ48" s="48"/>
      <c r="AK48" s="48"/>
      <c r="AL48" s="48"/>
      <c r="AM48" s="48"/>
      <c r="AN48" s="48"/>
      <c r="AO48" s="48"/>
      <c r="AP48" s="48"/>
      <c r="AQ48" s="48"/>
      <c r="AR48" s="48"/>
      <c r="AS48" s="48"/>
      <c r="AT48" s="48"/>
      <c r="AU48" s="48"/>
      <c r="AV48" s="48"/>
      <c r="AW48" s="48"/>
      <c r="AX48" s="48"/>
      <c r="AY48" s="48"/>
      <c r="AZ48" s="48"/>
      <c r="BA48" s="48"/>
      <c r="BB48" s="48"/>
      <c r="BC48" s="48"/>
      <c r="BD48" s="48"/>
      <c r="BE48" s="48"/>
      <c r="BF48" s="48"/>
      <c r="BG48" s="48"/>
      <c r="BH48" s="48"/>
      <c r="BI48" s="48"/>
      <c r="BJ48" s="48"/>
      <c r="BK48" s="48"/>
      <c r="BL48" s="48"/>
      <c r="BM48" s="48"/>
      <c r="BN48" s="48"/>
      <c r="BO48" s="48"/>
      <c r="BP48" s="48"/>
      <c r="BQ48" s="48"/>
      <c r="BR48" s="48"/>
      <c r="BS48" s="48"/>
      <c r="BT48" s="48"/>
      <c r="BU48" s="48"/>
      <c r="BV48" s="48"/>
    </row>
    <row r="49" customFormat="false" ht="15" hidden="true" customHeight="true" outlineLevel="1" collapsed="false">
      <c r="A49" s="49" t="s">
        <v>245</v>
      </c>
      <c r="B49" s="50" t="s">
        <v>246</v>
      </c>
      <c r="C49" s="50" t="s">
        <v>247</v>
      </c>
      <c r="D49" s="52" t="s">
        <v>112</v>
      </c>
      <c r="E49" s="51" t="n">
        <v>0.4</v>
      </c>
      <c r="F49" s="52"/>
      <c r="G49" s="52"/>
      <c r="H49" s="52"/>
      <c r="I49" s="53" t="n">
        <v>46391</v>
      </c>
      <c r="J49" s="53" t="n">
        <v>46391</v>
      </c>
      <c r="K49" s="52"/>
      <c r="L49" s="52"/>
      <c r="M49" s="54" t="s">
        <v>248</v>
      </c>
      <c r="N49" s="55" t="n">
        <v>46356</v>
      </c>
      <c r="O49" s="55" t="n">
        <v>46356</v>
      </c>
      <c r="P49" s="50" t="s">
        <v>105</v>
      </c>
      <c r="Q49" s="52" t="n">
        <v>-35</v>
      </c>
      <c r="R49" s="52"/>
      <c r="S49" s="52" t="n">
        <v>2</v>
      </c>
      <c r="T49" s="52" t="s">
        <v>106</v>
      </c>
      <c r="U49" s="52"/>
      <c r="V49" s="56" t="n">
        <v>0</v>
      </c>
      <c r="W49" s="52" t="s">
        <v>80</v>
      </c>
      <c r="X49" s="52"/>
      <c r="Y49" s="52" t="s">
        <v>240</v>
      </c>
      <c r="AA49" s="48"/>
      <c r="AB49" s="48"/>
      <c r="AC49" s="48"/>
      <c r="AD49" s="48"/>
      <c r="AE49" s="48"/>
      <c r="AF49" s="48"/>
      <c r="AG49" s="48"/>
      <c r="AH49" s="48"/>
      <c r="AI49" s="48"/>
      <c r="AJ49" s="48"/>
      <c r="AK49" s="48"/>
      <c r="AL49" s="48"/>
      <c r="AM49" s="48"/>
      <c r="AN49" s="48"/>
      <c r="AO49" s="48"/>
      <c r="AP49" s="48"/>
      <c r="AQ49" s="48"/>
      <c r="AR49" s="48"/>
      <c r="AS49" s="48"/>
      <c r="AT49" s="48"/>
      <c r="AU49" s="48"/>
      <c r="AV49" s="48"/>
      <c r="AW49" s="48"/>
      <c r="AX49" s="48"/>
      <c r="AY49" s="48"/>
      <c r="AZ49" s="48"/>
      <c r="BA49" s="48"/>
      <c r="BB49" s="48"/>
      <c r="BC49" s="48"/>
      <c r="BD49" s="48"/>
      <c r="BE49" s="48"/>
      <c r="BF49" s="48"/>
      <c r="BG49" s="48"/>
      <c r="BH49" s="48"/>
      <c r="BI49" s="48"/>
      <c r="BJ49" s="48"/>
      <c r="BK49" s="48"/>
      <c r="BL49" s="48"/>
      <c r="BM49" s="48"/>
      <c r="BN49" s="48"/>
      <c r="BO49" s="48"/>
      <c r="BP49" s="48"/>
      <c r="BQ49" s="48"/>
      <c r="BR49" s="48"/>
      <c r="BS49" s="48"/>
      <c r="BT49" s="48"/>
      <c r="BU49" s="48"/>
      <c r="BV49" s="48"/>
    </row>
    <row r="50" customFormat="false" ht="15" hidden="false" customHeight="true" outlineLevel="0" collapsed="false">
      <c r="A50" s="37" t="s">
        <v>249</v>
      </c>
      <c r="B50" s="39" t="s">
        <v>250</v>
      </c>
      <c r="C50" s="39"/>
      <c r="D50" s="39" t="s">
        <v>251</v>
      </c>
      <c r="E50" s="40" t="n">
        <v>0</v>
      </c>
      <c r="F50" s="38" t="s">
        <v>236</v>
      </c>
      <c r="G50" s="37" t="n">
        <v>0</v>
      </c>
      <c r="H50" s="58" t="n">
        <v>30</v>
      </c>
      <c r="I50" s="41" t="n">
        <v>46392</v>
      </c>
      <c r="J50" s="41" t="n">
        <v>46421</v>
      </c>
      <c r="K50" s="42"/>
      <c r="L50" s="42"/>
      <c r="M50" s="43"/>
      <c r="N50" s="44" t="n">
        <v>46357</v>
      </c>
      <c r="O50" s="45" t="n">
        <v>46386</v>
      </c>
      <c r="P50" s="46" t="s">
        <v>105</v>
      </c>
      <c r="Q50" s="37" t="n">
        <v>-35</v>
      </c>
      <c r="R50" s="39"/>
      <c r="S50" s="39" t="n">
        <v>1</v>
      </c>
      <c r="T50" s="39" t="s">
        <v>106</v>
      </c>
      <c r="U50" s="57" t="n">
        <v>46357.005</v>
      </c>
      <c r="V50" s="47" t="n">
        <v>0</v>
      </c>
      <c r="W50" s="38" t="s">
        <v>80</v>
      </c>
      <c r="X50" s="39"/>
      <c r="Y50" s="38" t="s">
        <v>240</v>
      </c>
      <c r="AA50" s="48"/>
      <c r="AB50" s="48"/>
      <c r="AC50" s="48"/>
      <c r="AD50" s="48"/>
      <c r="AE50" s="48"/>
      <c r="AF50" s="48"/>
      <c r="AG50" s="48"/>
      <c r="AH50" s="48"/>
      <c r="AI50" s="48"/>
      <c r="AJ50" s="48"/>
      <c r="AK50" s="48"/>
      <c r="AL50" s="48"/>
      <c r="AM50" s="48"/>
      <c r="AN50" s="48"/>
      <c r="AO50" s="48"/>
      <c r="AP50" s="48"/>
      <c r="AQ50" s="48"/>
      <c r="AR50" s="48"/>
      <c r="AS50" s="48"/>
      <c r="AT50" s="48"/>
      <c r="AU50" s="48"/>
      <c r="AV50" s="48"/>
      <c r="AW50" s="48"/>
      <c r="AX50" s="48"/>
      <c r="AY50" s="48"/>
      <c r="AZ50" s="48"/>
      <c r="BA50" s="48"/>
      <c r="BB50" s="48"/>
      <c r="BC50" s="48"/>
      <c r="BD50" s="48"/>
      <c r="BE50" s="48"/>
      <c r="BF50" s="48"/>
      <c r="BG50" s="48"/>
      <c r="BH50" s="48"/>
      <c r="BI50" s="48"/>
      <c r="BJ50" s="48"/>
      <c r="BK50" s="48"/>
      <c r="BL50" s="48"/>
      <c r="BM50" s="48"/>
      <c r="BN50" s="48"/>
      <c r="BO50" s="48"/>
      <c r="BP50" s="48"/>
      <c r="BQ50" s="48"/>
      <c r="BR50" s="48"/>
      <c r="BS50" s="48"/>
      <c r="BT50" s="48"/>
      <c r="BU50" s="48"/>
      <c r="BV50" s="48"/>
    </row>
    <row r="51" customFormat="false" ht="15" hidden="true" customHeight="true" outlineLevel="1" collapsed="false">
      <c r="A51" s="49" t="s">
        <v>252</v>
      </c>
      <c r="B51" s="50" t="s">
        <v>253</v>
      </c>
      <c r="C51" s="50" t="s">
        <v>254</v>
      </c>
      <c r="D51" s="52" t="s">
        <v>112</v>
      </c>
      <c r="E51" s="51" t="n">
        <v>0.4</v>
      </c>
      <c r="F51" s="52"/>
      <c r="G51" s="52"/>
      <c r="H51" s="52"/>
      <c r="I51" s="53" t="n">
        <v>46391</v>
      </c>
      <c r="J51" s="53" t="n">
        <v>46391</v>
      </c>
      <c r="K51" s="52"/>
      <c r="L51" s="52"/>
      <c r="M51" s="54" t="s">
        <v>255</v>
      </c>
      <c r="N51" s="55" t="n">
        <v>46356</v>
      </c>
      <c r="O51" s="55" t="n">
        <v>46356</v>
      </c>
      <c r="P51" s="50" t="s">
        <v>105</v>
      </c>
      <c r="Q51" s="52" t="n">
        <v>-35</v>
      </c>
      <c r="R51" s="52"/>
      <c r="S51" s="52" t="n">
        <v>2</v>
      </c>
      <c r="T51" s="52" t="s">
        <v>106</v>
      </c>
      <c r="U51" s="52"/>
      <c r="V51" s="56" t="n">
        <v>0</v>
      </c>
      <c r="W51" s="52" t="s">
        <v>80</v>
      </c>
      <c r="X51" s="52"/>
      <c r="Y51" s="52" t="s">
        <v>240</v>
      </c>
      <c r="AA51" s="48"/>
      <c r="AB51" s="48"/>
      <c r="AC51" s="48"/>
      <c r="AD51" s="48"/>
      <c r="AE51" s="48"/>
      <c r="AF51" s="48"/>
      <c r="AG51" s="48"/>
      <c r="AH51" s="48"/>
      <c r="AI51" s="48"/>
      <c r="AJ51" s="48"/>
      <c r="AK51" s="48"/>
      <c r="AL51" s="48"/>
      <c r="AM51" s="48"/>
      <c r="AN51" s="48"/>
      <c r="AO51" s="48"/>
      <c r="AP51" s="48"/>
      <c r="AQ51" s="48"/>
      <c r="AR51" s="48"/>
      <c r="AS51" s="48"/>
      <c r="AT51" s="48"/>
      <c r="AU51" s="48"/>
      <c r="AV51" s="48"/>
      <c r="AW51" s="48"/>
      <c r="AX51" s="48"/>
      <c r="AY51" s="48"/>
      <c r="AZ51" s="48"/>
      <c r="BA51" s="48"/>
      <c r="BB51" s="48"/>
      <c r="BC51" s="48"/>
      <c r="BD51" s="48"/>
      <c r="BE51" s="48"/>
      <c r="BF51" s="48"/>
      <c r="BG51" s="48"/>
      <c r="BH51" s="48"/>
      <c r="BI51" s="48"/>
      <c r="BJ51" s="48"/>
      <c r="BK51" s="48"/>
      <c r="BL51" s="48"/>
      <c r="BM51" s="48"/>
      <c r="BN51" s="48"/>
      <c r="BO51" s="48"/>
      <c r="BP51" s="48"/>
      <c r="BQ51" s="48"/>
      <c r="BR51" s="48"/>
      <c r="BS51" s="48"/>
      <c r="BT51" s="48"/>
      <c r="BU51" s="48"/>
      <c r="BV51" s="48"/>
    </row>
    <row r="52" customFormat="false" ht="15" hidden="false" customHeight="true" outlineLevel="0" collapsed="false">
      <c r="A52" s="37" t="s">
        <v>256</v>
      </c>
      <c r="B52" s="38" t="s">
        <v>257</v>
      </c>
      <c r="C52" s="39"/>
      <c r="D52" s="38" t="s">
        <v>112</v>
      </c>
      <c r="E52" s="40" t="n">
        <v>0</v>
      </c>
      <c r="F52" s="39"/>
      <c r="G52" s="37"/>
      <c r="H52" s="37" t="n">
        <v>1</v>
      </c>
      <c r="I52" s="41"/>
      <c r="J52" s="41"/>
      <c r="K52" s="42"/>
      <c r="L52" s="42"/>
      <c r="M52" s="43"/>
      <c r="N52" s="44"/>
      <c r="O52" s="45"/>
      <c r="P52" s="38" t="s">
        <v>258</v>
      </c>
      <c r="Q52" s="37"/>
      <c r="R52" s="39"/>
      <c r="S52" s="39" t="n">
        <v>1</v>
      </c>
      <c r="T52" s="39" t="s">
        <v>259</v>
      </c>
      <c r="U52" s="39"/>
      <c r="V52" s="47" t="n">
        <v>0</v>
      </c>
      <c r="W52" s="38" t="s">
        <v>80</v>
      </c>
      <c r="X52" s="39" t="s">
        <v>260</v>
      </c>
      <c r="Y52" s="39"/>
      <c r="AA52" s="48"/>
      <c r="AB52" s="48"/>
      <c r="AC52" s="48"/>
      <c r="AD52" s="48"/>
      <c r="AE52" s="48"/>
      <c r="AF52" s="48"/>
      <c r="AG52" s="48"/>
      <c r="AH52" s="48"/>
      <c r="AI52" s="48"/>
      <c r="AJ52" s="48"/>
      <c r="AK52" s="48"/>
      <c r="AL52" s="48"/>
      <c r="AM52" s="48"/>
      <c r="AN52" s="48"/>
      <c r="AO52" s="48"/>
      <c r="AP52" s="48"/>
      <c r="AQ52" s="48"/>
      <c r="AR52" s="48"/>
      <c r="AS52" s="48"/>
      <c r="AT52" s="48"/>
      <c r="AU52" s="48"/>
      <c r="AV52" s="48"/>
      <c r="AW52" s="48"/>
      <c r="AX52" s="48"/>
      <c r="AY52" s="48"/>
      <c r="AZ52" s="48"/>
      <c r="BA52" s="48"/>
      <c r="BB52" s="48"/>
      <c r="BC52" s="48"/>
      <c r="BD52" s="48"/>
      <c r="BE52" s="48"/>
      <c r="BF52" s="48"/>
      <c r="BG52" s="48"/>
      <c r="BH52" s="48"/>
      <c r="BI52" s="48"/>
      <c r="BJ52" s="48"/>
      <c r="BK52" s="48"/>
      <c r="BL52" s="48"/>
      <c r="BM52" s="48"/>
      <c r="BN52" s="48"/>
      <c r="BO52" s="48"/>
      <c r="BP52" s="48"/>
      <c r="BQ52" s="48"/>
      <c r="BR52" s="48"/>
      <c r="BS52" s="48"/>
      <c r="BT52" s="48"/>
      <c r="BU52" s="48"/>
      <c r="BV52" s="48"/>
    </row>
    <row r="53" customFormat="false" ht="15" hidden="true" customHeight="true" outlineLevel="1" collapsed="false">
      <c r="A53" s="49" t="s">
        <v>261</v>
      </c>
      <c r="B53" s="50" t="s">
        <v>262</v>
      </c>
      <c r="C53" s="50" t="s">
        <v>263</v>
      </c>
      <c r="D53" s="52" t="s">
        <v>112</v>
      </c>
      <c r="E53" s="51" t="n">
        <v>0</v>
      </c>
      <c r="F53" s="52"/>
      <c r="G53" s="52"/>
      <c r="H53" s="52"/>
      <c r="I53" s="53"/>
      <c r="J53" s="53"/>
      <c r="K53" s="52"/>
      <c r="L53" s="52"/>
      <c r="M53" s="54" t="s">
        <v>264</v>
      </c>
      <c r="N53" s="55"/>
      <c r="O53" s="55"/>
      <c r="P53" s="50" t="s">
        <v>258</v>
      </c>
      <c r="Q53" s="52"/>
      <c r="R53" s="52"/>
      <c r="S53" s="52" t="n">
        <v>2</v>
      </c>
      <c r="T53" s="52" t="s">
        <v>259</v>
      </c>
      <c r="U53" s="52"/>
      <c r="V53" s="56" t="n">
        <v>0</v>
      </c>
      <c r="W53" s="50" t="s">
        <v>86</v>
      </c>
      <c r="X53" s="52"/>
      <c r="Y53" s="52"/>
      <c r="AA53" s="48"/>
      <c r="AB53" s="48"/>
      <c r="AC53" s="48"/>
      <c r="AD53" s="48"/>
      <c r="AE53" s="48"/>
      <c r="AF53" s="48"/>
      <c r="AG53" s="48"/>
      <c r="AH53" s="48"/>
      <c r="AI53" s="48"/>
      <c r="AJ53" s="48"/>
      <c r="AK53" s="48"/>
      <c r="AL53" s="48"/>
      <c r="AM53" s="48"/>
      <c r="AN53" s="48"/>
      <c r="AO53" s="48"/>
      <c r="AP53" s="48"/>
      <c r="AQ53" s="48"/>
      <c r="AR53" s="48"/>
      <c r="AS53" s="48"/>
      <c r="AT53" s="48"/>
      <c r="AU53" s="48"/>
      <c r="AV53" s="48"/>
      <c r="AW53" s="48"/>
      <c r="AX53" s="48"/>
      <c r="AY53" s="48"/>
      <c r="AZ53" s="48"/>
      <c r="BA53" s="48"/>
      <c r="BB53" s="48"/>
      <c r="BC53" s="48"/>
      <c r="BD53" s="48"/>
      <c r="BE53" s="48"/>
      <c r="BF53" s="48"/>
      <c r="BG53" s="48"/>
      <c r="BH53" s="48"/>
      <c r="BI53" s="48"/>
      <c r="BJ53" s="48"/>
      <c r="BK53" s="48"/>
      <c r="BL53" s="48"/>
      <c r="BM53" s="48"/>
      <c r="BN53" s="48"/>
      <c r="BO53" s="48"/>
      <c r="BP53" s="48"/>
      <c r="BQ53" s="48"/>
      <c r="BR53" s="48"/>
      <c r="BS53" s="48"/>
      <c r="BT53" s="48"/>
      <c r="BU53" s="48"/>
      <c r="BV53" s="48"/>
    </row>
    <row r="54" customFormat="false" ht="15" hidden="true" customHeight="true" outlineLevel="1" collapsed="false">
      <c r="A54" s="49" t="s">
        <v>265</v>
      </c>
      <c r="B54" s="50" t="s">
        <v>266</v>
      </c>
      <c r="C54" s="50" t="s">
        <v>267</v>
      </c>
      <c r="D54" s="52" t="s">
        <v>112</v>
      </c>
      <c r="E54" s="51" t="n">
        <v>0</v>
      </c>
      <c r="F54" s="52"/>
      <c r="G54" s="52"/>
      <c r="H54" s="52"/>
      <c r="I54" s="53"/>
      <c r="J54" s="53"/>
      <c r="K54" s="52"/>
      <c r="L54" s="52"/>
      <c r="M54" s="54" t="s">
        <v>268</v>
      </c>
      <c r="N54" s="55"/>
      <c r="O54" s="55"/>
      <c r="P54" s="50" t="s">
        <v>258</v>
      </c>
      <c r="Q54" s="52"/>
      <c r="R54" s="52"/>
      <c r="S54" s="52" t="n">
        <v>2</v>
      </c>
      <c r="T54" s="52" t="s">
        <v>259</v>
      </c>
      <c r="U54" s="52"/>
      <c r="V54" s="56" t="n">
        <v>0</v>
      </c>
      <c r="W54" s="52" t="s">
        <v>80</v>
      </c>
      <c r="X54" s="52"/>
      <c r="Y54" s="52"/>
      <c r="AA54" s="48"/>
      <c r="AB54" s="48"/>
      <c r="AC54" s="48"/>
      <c r="AD54" s="48"/>
      <c r="AE54" s="48"/>
      <c r="AF54" s="48"/>
      <c r="AG54" s="48"/>
      <c r="AH54" s="48"/>
      <c r="AI54" s="48"/>
      <c r="AJ54" s="48"/>
      <c r="AK54" s="48"/>
      <c r="AL54" s="48"/>
      <c r="AM54" s="48"/>
      <c r="AN54" s="48"/>
      <c r="AO54" s="48"/>
      <c r="AP54" s="48"/>
      <c r="AQ54" s="48"/>
      <c r="AR54" s="48"/>
      <c r="AS54" s="48"/>
      <c r="AT54" s="48"/>
      <c r="AU54" s="48"/>
      <c r="AV54" s="48"/>
      <c r="AW54" s="48"/>
      <c r="AX54" s="48"/>
      <c r="AY54" s="48"/>
      <c r="AZ54" s="48"/>
      <c r="BA54" s="48"/>
      <c r="BB54" s="48"/>
      <c r="BC54" s="48"/>
      <c r="BD54" s="48"/>
      <c r="BE54" s="48"/>
      <c r="BF54" s="48"/>
      <c r="BG54" s="48"/>
      <c r="BH54" s="48"/>
      <c r="BI54" s="48"/>
      <c r="BJ54" s="48"/>
      <c r="BK54" s="48"/>
      <c r="BL54" s="48"/>
      <c r="BM54" s="48"/>
      <c r="BN54" s="48"/>
      <c r="BO54" s="48"/>
      <c r="BP54" s="48"/>
      <c r="BQ54" s="48"/>
      <c r="BR54" s="48"/>
      <c r="BS54" s="48"/>
      <c r="BT54" s="48"/>
      <c r="BU54" s="48"/>
      <c r="BV54" s="48"/>
    </row>
    <row r="55" customFormat="false" ht="15" hidden="false" customHeight="true" outlineLevel="0" collapsed="false">
      <c r="A55" s="37" t="s">
        <v>269</v>
      </c>
      <c r="B55" s="39" t="s">
        <v>270</v>
      </c>
      <c r="C55" s="39"/>
      <c r="D55" s="38" t="s">
        <v>112</v>
      </c>
      <c r="E55" s="40" t="n">
        <v>1</v>
      </c>
      <c r="F55" s="38" t="s">
        <v>238</v>
      </c>
      <c r="G55" s="37"/>
      <c r="H55" s="37" t="n">
        <v>1</v>
      </c>
      <c r="I55" s="41" t="n">
        <v>46391</v>
      </c>
      <c r="J55" s="41" t="n">
        <v>46391</v>
      </c>
      <c r="K55" s="42"/>
      <c r="L55" s="42"/>
      <c r="M55" s="43"/>
      <c r="N55" s="44" t="n">
        <v>46356</v>
      </c>
      <c r="O55" s="45" t="n">
        <v>46356</v>
      </c>
      <c r="P55" s="46" t="s">
        <v>105</v>
      </c>
      <c r="Q55" s="37" t="n">
        <v>-35</v>
      </c>
      <c r="R55" s="39"/>
      <c r="S55" s="39" t="n">
        <v>1</v>
      </c>
      <c r="T55" s="39" t="s">
        <v>106</v>
      </c>
      <c r="U55" s="57" t="n">
        <v>46356.0055</v>
      </c>
      <c r="V55" s="47" t="n">
        <v>0</v>
      </c>
      <c r="W55" s="38" t="s">
        <v>80</v>
      </c>
      <c r="X55" s="39"/>
      <c r="Y55" s="38" t="s">
        <v>271</v>
      </c>
      <c r="AA55" s="48"/>
      <c r="AB55" s="48"/>
      <c r="AC55" s="48"/>
      <c r="AD55" s="48"/>
      <c r="AE55" s="48"/>
      <c r="AF55" s="48"/>
      <c r="AG55" s="48"/>
      <c r="AH55" s="48"/>
      <c r="AI55" s="48"/>
      <c r="AJ55" s="48"/>
      <c r="AK55" s="48"/>
      <c r="AL55" s="48"/>
      <c r="AM55" s="48"/>
      <c r="AN55" s="48"/>
      <c r="AO55" s="48"/>
      <c r="AP55" s="48"/>
      <c r="AQ55" s="48"/>
      <c r="AR55" s="48"/>
      <c r="AS55" s="48"/>
      <c r="AT55" s="48"/>
      <c r="AU55" s="48"/>
      <c r="AV55" s="48"/>
      <c r="AW55" s="48"/>
      <c r="AX55" s="48"/>
      <c r="AY55" s="48"/>
      <c r="AZ55" s="48"/>
      <c r="BA55" s="48"/>
      <c r="BB55" s="48"/>
      <c r="BC55" s="48"/>
      <c r="BD55" s="48"/>
      <c r="BE55" s="48"/>
      <c r="BF55" s="48"/>
      <c r="BG55" s="48"/>
      <c r="BH55" s="48"/>
      <c r="BI55" s="48"/>
      <c r="BJ55" s="48"/>
      <c r="BK55" s="48"/>
      <c r="BL55" s="48"/>
      <c r="BM55" s="48"/>
      <c r="BN55" s="48"/>
      <c r="BO55" s="48"/>
      <c r="BP55" s="48"/>
      <c r="BQ55" s="48"/>
      <c r="BR55" s="48"/>
      <c r="BS55" s="48"/>
      <c r="BT55" s="48"/>
      <c r="BU55" s="48"/>
      <c r="BV55" s="48"/>
    </row>
    <row r="56" customFormat="false" ht="15" hidden="false" customHeight="true" outlineLevel="0" collapsed="false">
      <c r="A56" s="37" t="s">
        <v>272</v>
      </c>
      <c r="B56" s="39" t="s">
        <v>273</v>
      </c>
      <c r="C56" s="39"/>
      <c r="D56" s="38" t="s">
        <v>112</v>
      </c>
      <c r="E56" s="40" t="n">
        <v>0</v>
      </c>
      <c r="F56" s="39"/>
      <c r="G56" s="37"/>
      <c r="H56" s="37" t="n">
        <v>1</v>
      </c>
      <c r="I56" s="41"/>
      <c r="J56" s="41"/>
      <c r="K56" s="42"/>
      <c r="L56" s="42"/>
      <c r="M56" s="43"/>
      <c r="N56" s="44"/>
      <c r="O56" s="45"/>
      <c r="P56" s="38" t="s">
        <v>258</v>
      </c>
      <c r="Q56" s="37"/>
      <c r="R56" s="39"/>
      <c r="S56" s="39" t="n">
        <v>1</v>
      </c>
      <c r="T56" s="39" t="s">
        <v>259</v>
      </c>
      <c r="U56" s="39"/>
      <c r="V56" s="47" t="n">
        <v>0</v>
      </c>
      <c r="W56" s="38" t="s">
        <v>80</v>
      </c>
      <c r="X56" s="39"/>
      <c r="Y56" s="38" t="s">
        <v>271</v>
      </c>
      <c r="AA56" s="48"/>
      <c r="AB56" s="48"/>
      <c r="AC56" s="48"/>
      <c r="AD56" s="48"/>
      <c r="AE56" s="48"/>
      <c r="AF56" s="48"/>
      <c r="AG56" s="48"/>
      <c r="AH56" s="48"/>
      <c r="AI56" s="48"/>
      <c r="AJ56" s="48"/>
      <c r="AK56" s="48"/>
      <c r="AL56" s="48"/>
      <c r="AM56" s="48"/>
      <c r="AN56" s="48"/>
      <c r="AO56" s="48"/>
      <c r="AP56" s="48"/>
      <c r="AQ56" s="48"/>
      <c r="AR56" s="48"/>
      <c r="AS56" s="48"/>
      <c r="AT56" s="48"/>
      <c r="AU56" s="48"/>
      <c r="AV56" s="48"/>
      <c r="AW56" s="48"/>
      <c r="AX56" s="48"/>
      <c r="AY56" s="48"/>
      <c r="AZ56" s="48"/>
      <c r="BA56" s="48"/>
      <c r="BB56" s="48"/>
      <c r="BC56" s="48"/>
      <c r="BD56" s="48"/>
      <c r="BE56" s="48"/>
      <c r="BF56" s="48"/>
      <c r="BG56" s="48"/>
      <c r="BH56" s="48"/>
      <c r="BI56" s="48"/>
      <c r="BJ56" s="48"/>
      <c r="BK56" s="48"/>
      <c r="BL56" s="48"/>
      <c r="BM56" s="48"/>
      <c r="BN56" s="48"/>
      <c r="BO56" s="48"/>
      <c r="BP56" s="48"/>
      <c r="BQ56" s="48"/>
      <c r="BR56" s="48"/>
      <c r="BS56" s="48"/>
      <c r="BT56" s="48"/>
      <c r="BU56" s="48"/>
      <c r="BV56" s="48"/>
    </row>
    <row r="57" customFormat="false" ht="15" hidden="false" customHeight="true" outlineLevel="0" collapsed="false">
      <c r="A57" s="37" t="s">
        <v>274</v>
      </c>
      <c r="B57" s="39" t="s">
        <v>275</v>
      </c>
      <c r="C57" s="39"/>
      <c r="D57" s="39" t="s">
        <v>276</v>
      </c>
      <c r="E57" s="40" t="n">
        <v>0</v>
      </c>
      <c r="F57" s="38" t="s">
        <v>238</v>
      </c>
      <c r="G57" s="37"/>
      <c r="H57" s="37" t="n">
        <v>21</v>
      </c>
      <c r="I57" s="41" t="n">
        <v>46392</v>
      </c>
      <c r="J57" s="41" t="n">
        <v>46412</v>
      </c>
      <c r="K57" s="42"/>
      <c r="L57" s="42"/>
      <c r="M57" s="43"/>
      <c r="N57" s="44" t="n">
        <v>46359</v>
      </c>
      <c r="O57" s="45" t="n">
        <v>46379</v>
      </c>
      <c r="P57" s="46" t="s">
        <v>105</v>
      </c>
      <c r="Q57" s="37" t="n">
        <v>-33</v>
      </c>
      <c r="R57" s="39"/>
      <c r="S57" s="39" t="n">
        <v>1</v>
      </c>
      <c r="T57" s="39" t="s">
        <v>106</v>
      </c>
      <c r="U57" s="57" t="n">
        <v>46359.0057</v>
      </c>
      <c r="V57" s="47" t="n">
        <v>0</v>
      </c>
      <c r="W57" s="38" t="s">
        <v>80</v>
      </c>
      <c r="X57" s="39"/>
      <c r="Y57" s="38" t="s">
        <v>271</v>
      </c>
      <c r="AA57" s="48"/>
      <c r="AB57" s="48"/>
      <c r="AC57" s="48"/>
      <c r="AD57" s="48"/>
      <c r="AE57" s="48"/>
      <c r="AF57" s="48"/>
      <c r="AG57" s="48"/>
      <c r="AH57" s="48"/>
      <c r="AI57" s="48"/>
      <c r="AJ57" s="48"/>
      <c r="AK57" s="48"/>
      <c r="AL57" s="48"/>
      <c r="AM57" s="48"/>
      <c r="AN57" s="48"/>
      <c r="AO57" s="48"/>
      <c r="AP57" s="48"/>
      <c r="AQ57" s="48"/>
      <c r="AR57" s="48"/>
      <c r="AS57" s="48"/>
      <c r="AT57" s="48"/>
      <c r="AU57" s="48"/>
      <c r="AV57" s="48"/>
      <c r="AW57" s="48"/>
      <c r="AX57" s="48"/>
      <c r="AY57" s="48"/>
      <c r="AZ57" s="48"/>
      <c r="BA57" s="48"/>
      <c r="BB57" s="48"/>
      <c r="BC57" s="48"/>
      <c r="BD57" s="48"/>
      <c r="BE57" s="48"/>
      <c r="BF57" s="48"/>
      <c r="BG57" s="48"/>
      <c r="BH57" s="48"/>
      <c r="BI57" s="48"/>
      <c r="BJ57" s="48"/>
      <c r="BK57" s="48"/>
      <c r="BL57" s="48"/>
      <c r="BM57" s="48"/>
      <c r="BN57" s="48"/>
      <c r="BO57" s="48"/>
      <c r="BP57" s="48"/>
      <c r="BQ57" s="48"/>
      <c r="BR57" s="48"/>
      <c r="BS57" s="48"/>
      <c r="BT57" s="48"/>
      <c r="BU57" s="48"/>
      <c r="BV57" s="48"/>
    </row>
    <row r="58" customFormat="false" ht="15" hidden="false" customHeight="true" outlineLevel="0" collapsed="false">
      <c r="A58" s="37" t="s">
        <v>277</v>
      </c>
      <c r="B58" s="39" t="s">
        <v>278</v>
      </c>
      <c r="C58" s="39"/>
      <c r="D58" s="38" t="s">
        <v>112</v>
      </c>
      <c r="E58" s="40" t="n">
        <v>0</v>
      </c>
      <c r="F58" s="38" t="s">
        <v>238</v>
      </c>
      <c r="G58" s="37"/>
      <c r="H58" s="58" t="n">
        <v>7</v>
      </c>
      <c r="I58" s="41" t="n">
        <v>46413</v>
      </c>
      <c r="J58" s="41" t="n">
        <v>46419</v>
      </c>
      <c r="K58" s="42"/>
      <c r="L58" s="42"/>
      <c r="M58" s="43"/>
      <c r="N58" s="44" t="n">
        <v>46380</v>
      </c>
      <c r="O58" s="45" t="n">
        <v>46386</v>
      </c>
      <c r="P58" s="46" t="s">
        <v>105</v>
      </c>
      <c r="Q58" s="37" t="n">
        <v>-33</v>
      </c>
      <c r="R58" s="39"/>
      <c r="S58" s="39" t="n">
        <v>1</v>
      </c>
      <c r="T58" s="39" t="s">
        <v>106</v>
      </c>
      <c r="U58" s="57" t="n">
        <v>46380.0058</v>
      </c>
      <c r="V58" s="47" t="n">
        <v>0</v>
      </c>
      <c r="W58" s="38" t="s">
        <v>80</v>
      </c>
      <c r="X58" s="39"/>
      <c r="Y58" s="38" t="s">
        <v>279</v>
      </c>
      <c r="AA58" s="48"/>
      <c r="AB58" s="48"/>
      <c r="AC58" s="48"/>
      <c r="AD58" s="48"/>
      <c r="AE58" s="48"/>
      <c r="AF58" s="48"/>
      <c r="AG58" s="48"/>
      <c r="AH58" s="48"/>
      <c r="AI58" s="48"/>
      <c r="AJ58" s="48"/>
      <c r="AK58" s="48"/>
      <c r="AL58" s="48"/>
      <c r="AM58" s="48"/>
      <c r="AN58" s="48"/>
      <c r="AO58" s="48"/>
      <c r="AP58" s="48"/>
      <c r="AQ58" s="48"/>
      <c r="AR58" s="48"/>
      <c r="AS58" s="48"/>
      <c r="AT58" s="48"/>
      <c r="AU58" s="48"/>
      <c r="AV58" s="48"/>
      <c r="AW58" s="48"/>
      <c r="AX58" s="48"/>
      <c r="AY58" s="48"/>
      <c r="AZ58" s="48"/>
      <c r="BA58" s="48"/>
      <c r="BB58" s="48"/>
      <c r="BC58" s="48"/>
      <c r="BD58" s="48"/>
      <c r="BE58" s="48"/>
      <c r="BF58" s="48"/>
      <c r="BG58" s="48"/>
      <c r="BH58" s="48"/>
      <c r="BI58" s="48"/>
      <c r="BJ58" s="48"/>
      <c r="BK58" s="48"/>
      <c r="BL58" s="48"/>
      <c r="BM58" s="48"/>
      <c r="BN58" s="48"/>
      <c r="BO58" s="48"/>
      <c r="BP58" s="48"/>
      <c r="BQ58" s="48"/>
      <c r="BR58" s="48"/>
      <c r="BS58" s="48"/>
      <c r="BT58" s="48"/>
      <c r="BU58" s="48"/>
      <c r="BV58" s="48"/>
    </row>
    <row r="59" customFormat="false" ht="15" hidden="false" customHeight="true" outlineLevel="0" collapsed="false">
      <c r="A59" s="37" t="s">
        <v>280</v>
      </c>
      <c r="B59" s="39" t="s">
        <v>281</v>
      </c>
      <c r="C59" s="39"/>
      <c r="D59" s="38" t="s">
        <v>112</v>
      </c>
      <c r="E59" s="40" t="n">
        <v>0</v>
      </c>
      <c r="F59" s="38" t="s">
        <v>238</v>
      </c>
      <c r="G59" s="37"/>
      <c r="H59" s="37" t="n">
        <v>1</v>
      </c>
      <c r="I59" s="41" t="n">
        <v>46420</v>
      </c>
      <c r="J59" s="41" t="n">
        <v>46420</v>
      </c>
      <c r="K59" s="42"/>
      <c r="L59" s="42"/>
      <c r="M59" s="43"/>
      <c r="N59" s="44" t="n">
        <v>46391</v>
      </c>
      <c r="O59" s="45" t="n">
        <v>46391</v>
      </c>
      <c r="P59" s="46" t="s">
        <v>105</v>
      </c>
      <c r="Q59" s="37" t="n">
        <v>-29</v>
      </c>
      <c r="R59" s="39"/>
      <c r="S59" s="39" t="n">
        <v>1</v>
      </c>
      <c r="T59" s="39" t="s">
        <v>106</v>
      </c>
      <c r="U59" s="57" t="n">
        <v>46391.0059</v>
      </c>
      <c r="V59" s="47" t="n">
        <v>0</v>
      </c>
      <c r="W59" s="39" t="s">
        <v>86</v>
      </c>
      <c r="X59" s="39"/>
      <c r="Y59" s="38" t="s">
        <v>282</v>
      </c>
      <c r="AA59" s="48"/>
      <c r="AB59" s="48"/>
      <c r="AC59" s="48"/>
      <c r="AD59" s="48"/>
      <c r="AE59" s="48"/>
      <c r="AF59" s="48"/>
      <c r="AG59" s="48"/>
      <c r="AH59" s="48"/>
      <c r="AI59" s="48"/>
      <c r="AJ59" s="48"/>
      <c r="AK59" s="48"/>
      <c r="AL59" s="48"/>
      <c r="AM59" s="48"/>
      <c r="AN59" s="48"/>
      <c r="AO59" s="48"/>
      <c r="AP59" s="48"/>
      <c r="AQ59" s="48"/>
      <c r="AR59" s="48"/>
      <c r="AS59" s="48"/>
      <c r="AT59" s="48"/>
      <c r="AU59" s="48"/>
      <c r="AV59" s="48"/>
      <c r="AW59" s="48"/>
      <c r="AX59" s="48"/>
      <c r="AY59" s="48"/>
      <c r="AZ59" s="48"/>
      <c r="BA59" s="48"/>
      <c r="BB59" s="48"/>
      <c r="BC59" s="48"/>
      <c r="BD59" s="48"/>
      <c r="BE59" s="48"/>
      <c r="BF59" s="48"/>
      <c r="BG59" s="48"/>
      <c r="BH59" s="48"/>
      <c r="BI59" s="48"/>
      <c r="BJ59" s="48"/>
      <c r="BK59" s="48"/>
      <c r="BL59" s="48"/>
      <c r="BM59" s="48"/>
      <c r="BN59" s="48"/>
      <c r="BO59" s="48"/>
      <c r="BP59" s="48"/>
      <c r="BQ59" s="48"/>
      <c r="BR59" s="48"/>
      <c r="BS59" s="48"/>
      <c r="BT59" s="48"/>
      <c r="BU59" s="48"/>
      <c r="BV59" s="48"/>
    </row>
    <row r="60" customFormat="false" ht="15" hidden="false" customHeight="true" outlineLevel="0" collapsed="false">
      <c r="A60" s="37" t="s">
        <v>283</v>
      </c>
      <c r="B60" s="59" t="s">
        <v>284</v>
      </c>
      <c r="C60" s="39"/>
      <c r="D60" s="39" t="s">
        <v>79</v>
      </c>
      <c r="E60" s="40" t="n">
        <v>0</v>
      </c>
      <c r="F60" s="38" t="s">
        <v>238</v>
      </c>
      <c r="G60" s="37"/>
      <c r="H60" s="37" t="n">
        <v>42</v>
      </c>
      <c r="I60" s="41" t="n">
        <v>46421</v>
      </c>
      <c r="J60" s="41" t="n">
        <v>46436</v>
      </c>
      <c r="K60" s="42"/>
      <c r="L60" s="42"/>
      <c r="M60" s="43"/>
      <c r="N60" s="44" t="n">
        <v>46392</v>
      </c>
      <c r="O60" s="60" t="n">
        <v>46433</v>
      </c>
      <c r="P60" s="46" t="s">
        <v>105</v>
      </c>
      <c r="Q60" s="37" t="n">
        <v>-3</v>
      </c>
      <c r="R60" s="39"/>
      <c r="S60" s="39" t="n">
        <v>1</v>
      </c>
      <c r="T60" s="39" t="s">
        <v>106</v>
      </c>
      <c r="U60" s="57" t="n">
        <v>46392.006</v>
      </c>
      <c r="V60" s="47" t="n">
        <v>0</v>
      </c>
      <c r="W60" s="38" t="s">
        <v>80</v>
      </c>
      <c r="X60" s="39"/>
      <c r="Y60" s="38" t="s">
        <v>282</v>
      </c>
      <c r="AA60" s="48"/>
      <c r="AB60" s="48"/>
      <c r="AC60" s="48"/>
      <c r="AD60" s="48"/>
      <c r="AE60" s="48"/>
      <c r="AF60" s="48"/>
      <c r="AG60" s="48"/>
      <c r="AH60" s="48"/>
      <c r="AI60" s="48"/>
      <c r="AJ60" s="48"/>
      <c r="AK60" s="48"/>
      <c r="AL60" s="48"/>
      <c r="AM60" s="48"/>
      <c r="AN60" s="48"/>
      <c r="AO60" s="48"/>
      <c r="AP60" s="48"/>
      <c r="AQ60" s="48"/>
      <c r="AR60" s="48"/>
      <c r="AS60" s="48"/>
      <c r="AT60" s="48"/>
      <c r="AU60" s="48"/>
      <c r="AV60" s="48"/>
      <c r="AW60" s="48"/>
      <c r="AX60" s="48"/>
      <c r="AY60" s="48"/>
      <c r="AZ60" s="48"/>
      <c r="BA60" s="48"/>
      <c r="BB60" s="48"/>
      <c r="BC60" s="48"/>
      <c r="BD60" s="48"/>
      <c r="BE60" s="48"/>
      <c r="BF60" s="48"/>
      <c r="BG60" s="48"/>
      <c r="BH60" s="48"/>
      <c r="BI60" s="48"/>
      <c r="BJ60" s="48"/>
      <c r="BK60" s="48"/>
      <c r="BL60" s="48"/>
      <c r="BM60" s="48"/>
      <c r="BN60" s="48"/>
      <c r="BO60" s="48"/>
      <c r="BP60" s="48"/>
      <c r="BQ60" s="48"/>
      <c r="BR60" s="48"/>
      <c r="BS60" s="48"/>
      <c r="BT60" s="48"/>
      <c r="BU60" s="48"/>
      <c r="BV60" s="48"/>
    </row>
    <row r="61" customFormat="false" ht="15" hidden="false" customHeight="true" outlineLevel="0" collapsed="false">
      <c r="A61" s="31" t="s">
        <v>285</v>
      </c>
      <c r="B61" s="31" t="s">
        <v>286</v>
      </c>
      <c r="C61" s="31"/>
      <c r="D61" s="31"/>
      <c r="E61" s="32" t="n">
        <v>90</v>
      </c>
      <c r="F61" s="31"/>
      <c r="G61" s="31"/>
      <c r="H61" s="31"/>
      <c r="I61" s="33" t="n">
        <v>46361</v>
      </c>
      <c r="J61" s="33" t="n">
        <v>46390</v>
      </c>
      <c r="K61" s="31"/>
      <c r="L61" s="31"/>
      <c r="M61" s="31"/>
      <c r="N61" s="33" t="n">
        <v>46328</v>
      </c>
      <c r="O61" s="33" t="n">
        <v>46349</v>
      </c>
      <c r="P61" s="34" t="s">
        <v>75</v>
      </c>
      <c r="Q61" s="31" t="n">
        <v>-41</v>
      </c>
      <c r="R61" s="31"/>
      <c r="S61" s="31" t="n">
        <v>0</v>
      </c>
      <c r="T61" s="31" t="s">
        <v>76</v>
      </c>
      <c r="U61" s="31"/>
      <c r="V61" s="35" t="n">
        <v>0</v>
      </c>
      <c r="W61" s="31"/>
      <c r="X61" s="31"/>
      <c r="Y61" s="31"/>
      <c r="AA61" s="36"/>
      <c r="AB61" s="36"/>
      <c r="AC61" s="36"/>
      <c r="AD61" s="36"/>
      <c r="AE61" s="36"/>
      <c r="AF61" s="36"/>
      <c r="AG61" s="36"/>
      <c r="AH61" s="36"/>
      <c r="AI61" s="36"/>
      <c r="AJ61" s="36"/>
      <c r="AK61" s="36"/>
      <c r="AL61" s="36"/>
      <c r="AM61" s="36"/>
      <c r="AN61" s="36"/>
      <c r="AO61" s="36"/>
      <c r="AP61" s="36"/>
      <c r="AQ61" s="36"/>
      <c r="AR61" s="36"/>
      <c r="AS61" s="36"/>
      <c r="AT61" s="36"/>
      <c r="AU61" s="36"/>
      <c r="AV61" s="36"/>
      <c r="AW61" s="36"/>
      <c r="AX61" s="36"/>
      <c r="AY61" s="36"/>
      <c r="AZ61" s="36"/>
      <c r="BA61" s="36"/>
      <c r="BB61" s="36"/>
      <c r="BC61" s="36"/>
      <c r="BD61" s="36"/>
      <c r="BE61" s="36"/>
      <c r="BF61" s="36"/>
      <c r="BG61" s="36"/>
      <c r="BH61" s="36"/>
      <c r="BI61" s="36"/>
      <c r="BJ61" s="36"/>
      <c r="BK61" s="36"/>
      <c r="BL61" s="36"/>
      <c r="BM61" s="36"/>
      <c r="BN61" s="36"/>
      <c r="BO61" s="36"/>
      <c r="BP61" s="36"/>
      <c r="BQ61" s="36"/>
      <c r="BR61" s="36"/>
      <c r="BS61" s="36"/>
      <c r="BT61" s="36"/>
      <c r="BU61" s="36"/>
      <c r="BV61" s="36"/>
    </row>
    <row r="62" customFormat="false" ht="15" hidden="false" customHeight="true" outlineLevel="0" collapsed="false">
      <c r="A62" s="37" t="s">
        <v>287</v>
      </c>
      <c r="B62" s="39" t="s">
        <v>288</v>
      </c>
      <c r="C62" s="39" t="s">
        <v>289</v>
      </c>
      <c r="D62" s="39" t="s">
        <v>290</v>
      </c>
      <c r="E62" s="40" t="n">
        <v>20</v>
      </c>
      <c r="F62" s="39" t="s">
        <v>291</v>
      </c>
      <c r="G62" s="37"/>
      <c r="H62" s="37" t="n">
        <v>28</v>
      </c>
      <c r="I62" s="41" t="n">
        <v>46361</v>
      </c>
      <c r="J62" s="41" t="n">
        <v>46378</v>
      </c>
      <c r="K62" s="42"/>
      <c r="L62" s="42"/>
      <c r="M62" s="43"/>
      <c r="N62" s="44" t="n">
        <v>46328</v>
      </c>
      <c r="O62" s="45" t="n">
        <v>46336</v>
      </c>
      <c r="P62" s="46" t="s">
        <v>75</v>
      </c>
      <c r="Q62" s="37" t="n">
        <v>-42</v>
      </c>
      <c r="R62" s="39"/>
      <c r="S62" s="39" t="n">
        <v>1</v>
      </c>
      <c r="T62" s="39" t="s">
        <v>76</v>
      </c>
      <c r="U62" s="57" t="n">
        <v>46328.0062</v>
      </c>
      <c r="V62" s="47" t="n">
        <v>0</v>
      </c>
      <c r="W62" s="39" t="s">
        <v>86</v>
      </c>
      <c r="X62" s="39" t="s">
        <v>292</v>
      </c>
      <c r="Y62" s="38" t="s">
        <v>293</v>
      </c>
      <c r="AA62" s="48"/>
      <c r="AB62" s="48"/>
      <c r="AC62" s="48"/>
      <c r="AD62" s="48"/>
      <c r="AE62" s="48"/>
      <c r="AF62" s="48"/>
      <c r="AG62" s="48"/>
      <c r="AH62" s="48"/>
      <c r="AI62" s="48"/>
      <c r="AJ62" s="48"/>
      <c r="AK62" s="48"/>
      <c r="AL62" s="48"/>
      <c r="AM62" s="48"/>
      <c r="AN62" s="48"/>
      <c r="AO62" s="48"/>
      <c r="AP62" s="48"/>
      <c r="AQ62" s="48"/>
      <c r="AR62" s="48"/>
      <c r="AS62" s="48"/>
      <c r="AT62" s="48"/>
      <c r="AU62" s="48"/>
      <c r="AV62" s="48"/>
      <c r="AW62" s="48"/>
      <c r="AX62" s="48"/>
      <c r="AY62" s="48"/>
      <c r="AZ62" s="48"/>
      <c r="BA62" s="48"/>
      <c r="BB62" s="48"/>
      <c r="BC62" s="48"/>
      <c r="BD62" s="48"/>
      <c r="BE62" s="48"/>
      <c r="BF62" s="48"/>
      <c r="BG62" s="48"/>
      <c r="BH62" s="48"/>
      <c r="BI62" s="48"/>
      <c r="BJ62" s="48"/>
      <c r="BK62" s="48"/>
      <c r="BL62" s="48"/>
      <c r="BM62" s="48"/>
      <c r="BN62" s="48"/>
      <c r="BO62" s="48"/>
      <c r="BP62" s="48"/>
      <c r="BQ62" s="48"/>
      <c r="BR62" s="48"/>
      <c r="BS62" s="48"/>
      <c r="BT62" s="48"/>
      <c r="BU62" s="48"/>
      <c r="BV62" s="48"/>
    </row>
    <row r="63" customFormat="false" ht="15" hidden="true" customHeight="true" outlineLevel="1" collapsed="false">
      <c r="A63" s="49" t="s">
        <v>294</v>
      </c>
      <c r="B63" s="50" t="s">
        <v>295</v>
      </c>
      <c r="C63" s="50" t="s">
        <v>296</v>
      </c>
      <c r="D63" s="50" t="s">
        <v>91</v>
      </c>
      <c r="E63" s="51" t="n">
        <v>1</v>
      </c>
      <c r="F63" s="52"/>
      <c r="G63" s="52"/>
      <c r="H63" s="52"/>
      <c r="I63" s="53" t="n">
        <v>46361</v>
      </c>
      <c r="J63" s="53" t="n">
        <v>46363</v>
      </c>
      <c r="K63" s="52"/>
      <c r="L63" s="52"/>
      <c r="M63" s="54" t="s">
        <v>297</v>
      </c>
      <c r="N63" s="55" t="n">
        <v>46328</v>
      </c>
      <c r="O63" s="55" t="n">
        <v>46329</v>
      </c>
      <c r="P63" s="50" t="s">
        <v>75</v>
      </c>
      <c r="Q63" s="52" t="n">
        <v>-34</v>
      </c>
      <c r="R63" s="52"/>
      <c r="S63" s="52" t="n">
        <v>2</v>
      </c>
      <c r="T63" s="52" t="s">
        <v>76</v>
      </c>
      <c r="U63" s="52"/>
      <c r="V63" s="56" t="n">
        <v>0</v>
      </c>
      <c r="W63" s="50" t="s">
        <v>86</v>
      </c>
      <c r="X63" s="52"/>
      <c r="Y63" s="52" t="s">
        <v>293</v>
      </c>
      <c r="AA63" s="48"/>
      <c r="AB63" s="48"/>
      <c r="AC63" s="48"/>
      <c r="AD63" s="48"/>
      <c r="AE63" s="48"/>
      <c r="AF63" s="48"/>
      <c r="AG63" s="48"/>
      <c r="AH63" s="48"/>
      <c r="AI63" s="48"/>
      <c r="AJ63" s="48"/>
      <c r="AK63" s="48"/>
      <c r="AL63" s="48"/>
      <c r="AM63" s="48"/>
      <c r="AN63" s="48"/>
      <c r="AO63" s="48"/>
      <c r="AP63" s="48"/>
      <c r="AQ63" s="48"/>
      <c r="AR63" s="48"/>
      <c r="AS63" s="48"/>
      <c r="AT63" s="48"/>
      <c r="AU63" s="48"/>
      <c r="AV63" s="48"/>
      <c r="AW63" s="48"/>
      <c r="AX63" s="48"/>
      <c r="AY63" s="48"/>
      <c r="AZ63" s="48"/>
      <c r="BA63" s="48"/>
      <c r="BB63" s="48"/>
      <c r="BC63" s="48"/>
      <c r="BD63" s="48"/>
      <c r="BE63" s="48"/>
      <c r="BF63" s="48"/>
      <c r="BG63" s="48"/>
      <c r="BH63" s="48"/>
      <c r="BI63" s="48"/>
      <c r="BJ63" s="48"/>
      <c r="BK63" s="48"/>
      <c r="BL63" s="48"/>
      <c r="BM63" s="48"/>
      <c r="BN63" s="48"/>
      <c r="BO63" s="48"/>
      <c r="BP63" s="48"/>
      <c r="BQ63" s="48"/>
      <c r="BR63" s="48"/>
      <c r="BS63" s="48"/>
      <c r="BT63" s="48"/>
      <c r="BU63" s="48"/>
      <c r="BV63" s="48"/>
    </row>
    <row r="64" customFormat="false" ht="15" hidden="true" customHeight="true" outlineLevel="1" collapsed="false">
      <c r="A64" s="49" t="s">
        <v>298</v>
      </c>
      <c r="B64" s="50" t="s">
        <v>299</v>
      </c>
      <c r="C64" s="50" t="s">
        <v>300</v>
      </c>
      <c r="D64" s="50" t="s">
        <v>91</v>
      </c>
      <c r="E64" s="51" t="n">
        <v>2.5</v>
      </c>
      <c r="F64" s="52"/>
      <c r="G64" s="52"/>
      <c r="H64" s="52"/>
      <c r="I64" s="53" t="n">
        <v>46361</v>
      </c>
      <c r="J64" s="53" t="n">
        <v>46364</v>
      </c>
      <c r="K64" s="52"/>
      <c r="L64" s="52"/>
      <c r="M64" s="54" t="s">
        <v>301</v>
      </c>
      <c r="N64" s="55" t="n">
        <v>46328</v>
      </c>
      <c r="O64" s="55" t="n">
        <v>46330</v>
      </c>
      <c r="P64" s="50" t="s">
        <v>75</v>
      </c>
      <c r="Q64" s="52" t="n">
        <v>-34</v>
      </c>
      <c r="R64" s="52"/>
      <c r="S64" s="52" t="n">
        <v>2</v>
      </c>
      <c r="T64" s="52" t="s">
        <v>76</v>
      </c>
      <c r="U64" s="52"/>
      <c r="V64" s="56" t="n">
        <v>0</v>
      </c>
      <c r="W64" s="50" t="s">
        <v>86</v>
      </c>
      <c r="X64" s="52"/>
      <c r="Y64" s="52" t="s">
        <v>293</v>
      </c>
      <c r="AA64" s="48"/>
      <c r="AB64" s="48"/>
      <c r="AC64" s="48"/>
      <c r="AD64" s="48"/>
      <c r="AE64" s="48"/>
      <c r="AF64" s="48"/>
      <c r="AG64" s="48"/>
      <c r="AH64" s="48"/>
      <c r="AI64" s="48"/>
      <c r="AJ64" s="48"/>
      <c r="AK64" s="48"/>
      <c r="AL64" s="48"/>
      <c r="AM64" s="48"/>
      <c r="AN64" s="48"/>
      <c r="AO64" s="48"/>
      <c r="AP64" s="48"/>
      <c r="AQ64" s="48"/>
      <c r="AR64" s="48"/>
      <c r="AS64" s="48"/>
      <c r="AT64" s="48"/>
      <c r="AU64" s="48"/>
      <c r="AV64" s="48"/>
      <c r="AW64" s="48"/>
      <c r="AX64" s="48"/>
      <c r="AY64" s="48"/>
      <c r="AZ64" s="48"/>
      <c r="BA64" s="48"/>
      <c r="BB64" s="48"/>
      <c r="BC64" s="48"/>
      <c r="BD64" s="48"/>
      <c r="BE64" s="48"/>
      <c r="BF64" s="48"/>
      <c r="BG64" s="48"/>
      <c r="BH64" s="48"/>
      <c r="BI64" s="48"/>
      <c r="BJ64" s="48"/>
      <c r="BK64" s="48"/>
      <c r="BL64" s="48"/>
      <c r="BM64" s="48"/>
      <c r="BN64" s="48"/>
      <c r="BO64" s="48"/>
      <c r="BP64" s="48"/>
      <c r="BQ64" s="48"/>
      <c r="BR64" s="48"/>
      <c r="BS64" s="48"/>
      <c r="BT64" s="48"/>
      <c r="BU64" s="48"/>
      <c r="BV64" s="48"/>
    </row>
    <row r="65" customFormat="false" ht="15" hidden="true" customHeight="true" outlineLevel="1" collapsed="false">
      <c r="A65" s="49" t="s">
        <v>302</v>
      </c>
      <c r="B65" s="50" t="s">
        <v>303</v>
      </c>
      <c r="C65" s="50" t="s">
        <v>304</v>
      </c>
      <c r="D65" s="50" t="s">
        <v>91</v>
      </c>
      <c r="E65" s="51" t="n">
        <v>5</v>
      </c>
      <c r="F65" s="52"/>
      <c r="G65" s="52"/>
      <c r="H65" s="52"/>
      <c r="I65" s="53" t="n">
        <v>46363</v>
      </c>
      <c r="J65" s="53" t="n">
        <v>46369</v>
      </c>
      <c r="K65" s="52"/>
      <c r="L65" s="52"/>
      <c r="M65" s="54" t="s">
        <v>305</v>
      </c>
      <c r="N65" s="55" t="n">
        <v>46329</v>
      </c>
      <c r="O65" s="55" t="n">
        <v>46332</v>
      </c>
      <c r="P65" s="50" t="s">
        <v>105</v>
      </c>
      <c r="Q65" s="52" t="n">
        <v>-37</v>
      </c>
      <c r="R65" s="52"/>
      <c r="S65" s="52" t="n">
        <v>2</v>
      </c>
      <c r="T65" s="52" t="s">
        <v>106</v>
      </c>
      <c r="U65" s="52"/>
      <c r="V65" s="56" t="n">
        <v>0</v>
      </c>
      <c r="W65" s="50" t="s">
        <v>86</v>
      </c>
      <c r="X65" s="52"/>
      <c r="Y65" s="52" t="s">
        <v>293</v>
      </c>
      <c r="AA65" s="48"/>
      <c r="AB65" s="48"/>
      <c r="AC65" s="48"/>
      <c r="AD65" s="48"/>
      <c r="AE65" s="48"/>
      <c r="AF65" s="48"/>
      <c r="AG65" s="48"/>
      <c r="AH65" s="48"/>
      <c r="AI65" s="48"/>
      <c r="AJ65" s="48"/>
      <c r="AK65" s="48"/>
      <c r="AL65" s="48"/>
      <c r="AM65" s="48"/>
      <c r="AN65" s="48"/>
      <c r="AO65" s="48"/>
      <c r="AP65" s="48"/>
      <c r="AQ65" s="48"/>
      <c r="AR65" s="48"/>
      <c r="AS65" s="48"/>
      <c r="AT65" s="48"/>
      <c r="AU65" s="48"/>
      <c r="AV65" s="48"/>
      <c r="AW65" s="48"/>
      <c r="AX65" s="48"/>
      <c r="AY65" s="48"/>
      <c r="AZ65" s="48"/>
      <c r="BA65" s="48"/>
      <c r="BB65" s="48"/>
      <c r="BC65" s="48"/>
      <c r="BD65" s="48"/>
      <c r="BE65" s="48"/>
      <c r="BF65" s="48"/>
      <c r="BG65" s="48"/>
      <c r="BH65" s="48"/>
      <c r="BI65" s="48"/>
      <c r="BJ65" s="48"/>
      <c r="BK65" s="48"/>
      <c r="BL65" s="48"/>
      <c r="BM65" s="48"/>
      <c r="BN65" s="48"/>
      <c r="BO65" s="48"/>
      <c r="BP65" s="48"/>
      <c r="BQ65" s="48"/>
      <c r="BR65" s="48"/>
      <c r="BS65" s="48"/>
      <c r="BT65" s="48"/>
      <c r="BU65" s="48"/>
      <c r="BV65" s="48"/>
    </row>
    <row r="66" customFormat="false" ht="15" hidden="true" customHeight="true" outlineLevel="1" collapsed="false">
      <c r="A66" s="49" t="s">
        <v>306</v>
      </c>
      <c r="B66" s="50" t="s">
        <v>307</v>
      </c>
      <c r="C66" s="52" t="s">
        <v>308</v>
      </c>
      <c r="D66" s="50" t="s">
        <v>91</v>
      </c>
      <c r="E66" s="51" t="n">
        <v>7</v>
      </c>
      <c r="F66" s="52"/>
      <c r="G66" s="52"/>
      <c r="H66" s="52"/>
      <c r="I66" s="53" t="n">
        <v>46368</v>
      </c>
      <c r="J66" s="53" t="n">
        <v>46375</v>
      </c>
      <c r="K66" s="52"/>
      <c r="L66" s="52"/>
      <c r="M66" s="54" t="s">
        <v>309</v>
      </c>
      <c r="N66" s="55" t="n">
        <v>46331</v>
      </c>
      <c r="O66" s="55" t="n">
        <v>46335</v>
      </c>
      <c r="P66" s="50" t="s">
        <v>105</v>
      </c>
      <c r="Q66" s="52" t="n">
        <v>-40</v>
      </c>
      <c r="R66" s="52"/>
      <c r="S66" s="52" t="n">
        <v>2</v>
      </c>
      <c r="T66" s="52" t="s">
        <v>106</v>
      </c>
      <c r="U66" s="52"/>
      <c r="V66" s="56" t="n">
        <v>0</v>
      </c>
      <c r="W66" s="50" t="s">
        <v>86</v>
      </c>
      <c r="X66" s="52"/>
      <c r="Y66" s="52" t="s">
        <v>293</v>
      </c>
      <c r="AA66" s="48"/>
      <c r="AB66" s="48"/>
      <c r="AC66" s="48"/>
      <c r="AD66" s="48"/>
      <c r="AE66" s="48"/>
      <c r="AF66" s="48"/>
      <c r="AG66" s="48"/>
      <c r="AH66" s="48"/>
      <c r="AI66" s="48"/>
      <c r="AJ66" s="48"/>
      <c r="AK66" s="48"/>
      <c r="AL66" s="48"/>
      <c r="AM66" s="48"/>
      <c r="AN66" s="48"/>
      <c r="AO66" s="48"/>
      <c r="AP66" s="48"/>
      <c r="AQ66" s="48"/>
      <c r="AR66" s="48"/>
      <c r="AS66" s="48"/>
      <c r="AT66" s="48"/>
      <c r="AU66" s="48"/>
      <c r="AV66" s="48"/>
      <c r="AW66" s="48"/>
      <c r="AX66" s="48"/>
      <c r="AY66" s="48"/>
      <c r="AZ66" s="48"/>
      <c r="BA66" s="48"/>
      <c r="BB66" s="48"/>
      <c r="BC66" s="48"/>
      <c r="BD66" s="48"/>
      <c r="BE66" s="48"/>
      <c r="BF66" s="48"/>
      <c r="BG66" s="48"/>
      <c r="BH66" s="48"/>
      <c r="BI66" s="48"/>
      <c r="BJ66" s="48"/>
      <c r="BK66" s="48"/>
      <c r="BL66" s="48"/>
      <c r="BM66" s="48"/>
      <c r="BN66" s="48"/>
      <c r="BO66" s="48"/>
      <c r="BP66" s="48"/>
      <c r="BQ66" s="48"/>
      <c r="BR66" s="48"/>
      <c r="BS66" s="48"/>
      <c r="BT66" s="48"/>
      <c r="BU66" s="48"/>
      <c r="BV66" s="48"/>
    </row>
    <row r="67" customFormat="false" ht="15" hidden="true" customHeight="true" outlineLevel="1" collapsed="false">
      <c r="A67" s="49" t="s">
        <v>310</v>
      </c>
      <c r="B67" s="52" t="s">
        <v>311</v>
      </c>
      <c r="C67" s="52" t="s">
        <v>312</v>
      </c>
      <c r="D67" s="50" t="s">
        <v>91</v>
      </c>
      <c r="E67" s="51" t="n">
        <v>3</v>
      </c>
      <c r="F67" s="52"/>
      <c r="G67" s="52"/>
      <c r="H67" s="52"/>
      <c r="I67" s="53" t="n">
        <v>46371</v>
      </c>
      <c r="J67" s="53" t="n">
        <v>46377</v>
      </c>
      <c r="K67" s="52"/>
      <c r="L67" s="52"/>
      <c r="M67" s="54" t="s">
        <v>313</v>
      </c>
      <c r="N67" s="55" t="n">
        <v>46333</v>
      </c>
      <c r="O67" s="55" t="n">
        <v>46336</v>
      </c>
      <c r="P67" s="50" t="s">
        <v>105</v>
      </c>
      <c r="Q67" s="52" t="n">
        <v>-41</v>
      </c>
      <c r="R67" s="52"/>
      <c r="S67" s="52" t="n">
        <v>2</v>
      </c>
      <c r="T67" s="52" t="s">
        <v>106</v>
      </c>
      <c r="U67" s="52"/>
      <c r="V67" s="56" t="n">
        <v>0</v>
      </c>
      <c r="W67" s="50" t="s">
        <v>86</v>
      </c>
      <c r="X67" s="52"/>
      <c r="Y67" s="52" t="s">
        <v>293</v>
      </c>
      <c r="AA67" s="48"/>
      <c r="AB67" s="48"/>
      <c r="AC67" s="48"/>
      <c r="AD67" s="48"/>
      <c r="AE67" s="48"/>
      <c r="AF67" s="48"/>
      <c r="AG67" s="48"/>
      <c r="AH67" s="48"/>
      <c r="AI67" s="48"/>
      <c r="AJ67" s="48"/>
      <c r="AK67" s="48"/>
      <c r="AL67" s="48"/>
      <c r="AM67" s="48"/>
      <c r="AN67" s="48"/>
      <c r="AO67" s="48"/>
      <c r="AP67" s="48"/>
      <c r="AQ67" s="48"/>
      <c r="AR67" s="48"/>
      <c r="AS67" s="48"/>
      <c r="AT67" s="48"/>
      <c r="AU67" s="48"/>
      <c r="AV67" s="48"/>
      <c r="AW67" s="48"/>
      <c r="AX67" s="48"/>
      <c r="AY67" s="48"/>
      <c r="AZ67" s="48"/>
      <c r="BA67" s="48"/>
      <c r="BB67" s="48"/>
      <c r="BC67" s="48"/>
      <c r="BD67" s="48"/>
      <c r="BE67" s="48"/>
      <c r="BF67" s="48"/>
      <c r="BG67" s="48"/>
      <c r="BH67" s="48"/>
      <c r="BI67" s="48"/>
      <c r="BJ67" s="48"/>
      <c r="BK67" s="48"/>
      <c r="BL67" s="48"/>
      <c r="BM67" s="48"/>
      <c r="BN67" s="48"/>
      <c r="BO67" s="48"/>
      <c r="BP67" s="48"/>
      <c r="BQ67" s="48"/>
      <c r="BR67" s="48"/>
      <c r="BS67" s="48"/>
      <c r="BT67" s="48"/>
      <c r="BU67" s="48"/>
      <c r="BV67" s="48"/>
    </row>
    <row r="68" customFormat="false" ht="15" hidden="true" customHeight="true" outlineLevel="1" collapsed="false">
      <c r="A68" s="49" t="s">
        <v>314</v>
      </c>
      <c r="B68" s="50" t="s">
        <v>315</v>
      </c>
      <c r="C68" s="50" t="s">
        <v>316</v>
      </c>
      <c r="D68" s="50" t="s">
        <v>91</v>
      </c>
      <c r="E68" s="51" t="n">
        <v>0.5</v>
      </c>
      <c r="F68" s="52"/>
      <c r="G68" s="52"/>
      <c r="H68" s="52"/>
      <c r="I68" s="53" t="n">
        <v>46375</v>
      </c>
      <c r="J68" s="53" t="n">
        <v>46378</v>
      </c>
      <c r="K68" s="52"/>
      <c r="L68" s="52"/>
      <c r="M68" s="54" t="s">
        <v>317</v>
      </c>
      <c r="N68" s="55" t="n">
        <v>46334</v>
      </c>
      <c r="O68" s="55" t="n">
        <v>46336</v>
      </c>
      <c r="P68" s="50" t="s">
        <v>105</v>
      </c>
      <c r="Q68" s="52" t="n">
        <v>-42</v>
      </c>
      <c r="R68" s="52"/>
      <c r="S68" s="52" t="n">
        <v>2</v>
      </c>
      <c r="T68" s="52" t="s">
        <v>106</v>
      </c>
      <c r="U68" s="52"/>
      <c r="V68" s="56" t="n">
        <v>0</v>
      </c>
      <c r="W68" s="50" t="s">
        <v>86</v>
      </c>
      <c r="X68" s="52"/>
      <c r="Y68" s="52" t="s">
        <v>293</v>
      </c>
      <c r="AA68" s="48"/>
      <c r="AB68" s="48"/>
      <c r="AC68" s="48"/>
      <c r="AD68" s="48"/>
      <c r="AE68" s="48"/>
      <c r="AF68" s="48"/>
      <c r="AG68" s="48"/>
      <c r="AH68" s="48"/>
      <c r="AI68" s="48"/>
      <c r="AJ68" s="48"/>
      <c r="AK68" s="48"/>
      <c r="AL68" s="48"/>
      <c r="AM68" s="48"/>
      <c r="AN68" s="48"/>
      <c r="AO68" s="48"/>
      <c r="AP68" s="48"/>
      <c r="AQ68" s="48"/>
      <c r="AR68" s="48"/>
      <c r="AS68" s="48"/>
      <c r="AT68" s="48"/>
      <c r="AU68" s="48"/>
      <c r="AV68" s="48"/>
      <c r="AW68" s="48"/>
      <c r="AX68" s="48"/>
      <c r="AY68" s="48"/>
      <c r="AZ68" s="48"/>
      <c r="BA68" s="48"/>
      <c r="BB68" s="48"/>
      <c r="BC68" s="48"/>
      <c r="BD68" s="48"/>
      <c r="BE68" s="48"/>
      <c r="BF68" s="48"/>
      <c r="BG68" s="48"/>
      <c r="BH68" s="48"/>
      <c r="BI68" s="48"/>
      <c r="BJ68" s="48"/>
      <c r="BK68" s="48"/>
      <c r="BL68" s="48"/>
      <c r="BM68" s="48"/>
      <c r="BN68" s="48"/>
      <c r="BO68" s="48"/>
      <c r="BP68" s="48"/>
      <c r="BQ68" s="48"/>
      <c r="BR68" s="48"/>
      <c r="BS68" s="48"/>
      <c r="BT68" s="48"/>
      <c r="BU68" s="48"/>
      <c r="BV68" s="48"/>
    </row>
    <row r="69" customFormat="false" ht="15" hidden="true" customHeight="true" outlineLevel="1" collapsed="false">
      <c r="A69" s="49" t="s">
        <v>318</v>
      </c>
      <c r="B69" s="52" t="s">
        <v>319</v>
      </c>
      <c r="C69" s="50" t="s">
        <v>320</v>
      </c>
      <c r="D69" s="50" t="s">
        <v>91</v>
      </c>
      <c r="E69" s="51" t="n">
        <v>1</v>
      </c>
      <c r="F69" s="52"/>
      <c r="G69" s="52"/>
      <c r="H69" s="52"/>
      <c r="I69" s="53" t="n">
        <v>46377</v>
      </c>
      <c r="J69" s="53" t="n">
        <v>46378</v>
      </c>
      <c r="K69" s="52"/>
      <c r="L69" s="52"/>
      <c r="M69" s="54" t="s">
        <v>321</v>
      </c>
      <c r="N69" s="55" t="n">
        <v>46336</v>
      </c>
      <c r="O69" s="55" t="n">
        <v>46336</v>
      </c>
      <c r="P69" s="50" t="s">
        <v>105</v>
      </c>
      <c r="Q69" s="52" t="n">
        <v>-42</v>
      </c>
      <c r="R69" s="52"/>
      <c r="S69" s="52" t="n">
        <v>2</v>
      </c>
      <c r="T69" s="52" t="s">
        <v>106</v>
      </c>
      <c r="U69" s="52"/>
      <c r="V69" s="56" t="n">
        <v>0</v>
      </c>
      <c r="W69" s="50" t="s">
        <v>86</v>
      </c>
      <c r="X69" s="52"/>
      <c r="Y69" s="52" t="s">
        <v>293</v>
      </c>
      <c r="AA69" s="48"/>
      <c r="AB69" s="48"/>
      <c r="AC69" s="48"/>
      <c r="AD69" s="48"/>
      <c r="AE69" s="48"/>
      <c r="AF69" s="48"/>
      <c r="AG69" s="48"/>
      <c r="AH69" s="48"/>
      <c r="AI69" s="48"/>
      <c r="AJ69" s="48"/>
      <c r="AK69" s="48"/>
      <c r="AL69" s="48"/>
      <c r="AM69" s="48"/>
      <c r="AN69" s="48"/>
      <c r="AO69" s="48"/>
      <c r="AP69" s="48"/>
      <c r="AQ69" s="48"/>
      <c r="AR69" s="48"/>
      <c r="AS69" s="48"/>
      <c r="AT69" s="48"/>
      <c r="AU69" s="48"/>
      <c r="AV69" s="48"/>
      <c r="AW69" s="48"/>
      <c r="AX69" s="48"/>
      <c r="AY69" s="48"/>
      <c r="AZ69" s="48"/>
      <c r="BA69" s="48"/>
      <c r="BB69" s="48"/>
      <c r="BC69" s="48"/>
      <c r="BD69" s="48"/>
      <c r="BE69" s="48"/>
      <c r="BF69" s="48"/>
      <c r="BG69" s="48"/>
      <c r="BH69" s="48"/>
      <c r="BI69" s="48"/>
      <c r="BJ69" s="48"/>
      <c r="BK69" s="48"/>
      <c r="BL69" s="48"/>
      <c r="BM69" s="48"/>
      <c r="BN69" s="48"/>
      <c r="BO69" s="48"/>
      <c r="BP69" s="48"/>
      <c r="BQ69" s="48"/>
      <c r="BR69" s="48"/>
      <c r="BS69" s="48"/>
      <c r="BT69" s="48"/>
      <c r="BU69" s="48"/>
      <c r="BV69" s="48"/>
    </row>
    <row r="70" customFormat="false" ht="15" hidden="false" customHeight="true" outlineLevel="0" collapsed="false">
      <c r="A70" s="37" t="s">
        <v>322</v>
      </c>
      <c r="B70" s="39" t="s">
        <v>323</v>
      </c>
      <c r="C70" s="39" t="s">
        <v>289</v>
      </c>
      <c r="D70" s="39" t="s">
        <v>290</v>
      </c>
      <c r="E70" s="40" t="n">
        <v>10</v>
      </c>
      <c r="F70" s="39" t="s">
        <v>324</v>
      </c>
      <c r="G70" s="37"/>
      <c r="H70" s="37" t="n">
        <v>4</v>
      </c>
      <c r="I70" s="41" t="n">
        <v>46379</v>
      </c>
      <c r="J70" s="41" t="n">
        <v>46388</v>
      </c>
      <c r="K70" s="42"/>
      <c r="L70" s="42"/>
      <c r="M70" s="43"/>
      <c r="N70" s="44" t="n">
        <v>46343</v>
      </c>
      <c r="O70" s="45" t="n">
        <v>46346</v>
      </c>
      <c r="P70" s="46" t="s">
        <v>105</v>
      </c>
      <c r="Q70" s="37" t="n">
        <v>-42</v>
      </c>
      <c r="R70" s="39"/>
      <c r="S70" s="39" t="n">
        <v>1</v>
      </c>
      <c r="T70" s="39" t="s">
        <v>106</v>
      </c>
      <c r="U70" s="57" t="n">
        <v>46343.007</v>
      </c>
      <c r="V70" s="47" t="n">
        <v>0</v>
      </c>
      <c r="W70" s="39" t="s">
        <v>86</v>
      </c>
      <c r="X70" s="39" t="s">
        <v>325</v>
      </c>
      <c r="Y70" s="38" t="s">
        <v>293</v>
      </c>
      <c r="AA70" s="48"/>
      <c r="AB70" s="48"/>
      <c r="AC70" s="48"/>
      <c r="AD70" s="48"/>
      <c r="AE70" s="48"/>
      <c r="AF70" s="48"/>
      <c r="AG70" s="48"/>
      <c r="AH70" s="48"/>
      <c r="AI70" s="48"/>
      <c r="AJ70" s="48"/>
      <c r="AK70" s="48"/>
      <c r="AL70" s="48"/>
      <c r="AM70" s="48"/>
      <c r="AN70" s="48"/>
      <c r="AO70" s="48"/>
      <c r="AP70" s="48"/>
      <c r="AQ70" s="48"/>
      <c r="AR70" s="48"/>
      <c r="AS70" s="48"/>
      <c r="AT70" s="48"/>
      <c r="AU70" s="48"/>
      <c r="AV70" s="48"/>
      <c r="AW70" s="48"/>
      <c r="AX70" s="48"/>
      <c r="AY70" s="48"/>
      <c r="AZ70" s="48"/>
      <c r="BA70" s="48"/>
      <c r="BB70" s="48"/>
      <c r="BC70" s="48"/>
      <c r="BD70" s="48"/>
      <c r="BE70" s="48"/>
      <c r="BF70" s="48"/>
      <c r="BG70" s="48"/>
      <c r="BH70" s="48"/>
      <c r="BI70" s="48"/>
      <c r="BJ70" s="48"/>
      <c r="BK70" s="48"/>
      <c r="BL70" s="48"/>
      <c r="BM70" s="48"/>
      <c r="BN70" s="48"/>
      <c r="BO70" s="48"/>
      <c r="BP70" s="48"/>
      <c r="BQ70" s="48"/>
      <c r="BR70" s="48"/>
      <c r="BS70" s="48"/>
      <c r="BT70" s="48"/>
      <c r="BU70" s="48"/>
      <c r="BV70" s="48"/>
    </row>
    <row r="71" customFormat="false" ht="15" hidden="true" customHeight="true" outlineLevel="1" collapsed="false">
      <c r="A71" s="49" t="s">
        <v>326</v>
      </c>
      <c r="B71" s="50" t="s">
        <v>327</v>
      </c>
      <c r="C71" s="52" t="s">
        <v>328</v>
      </c>
      <c r="D71" s="50" t="s">
        <v>91</v>
      </c>
      <c r="E71" s="51" t="n">
        <v>3</v>
      </c>
      <c r="F71" s="52"/>
      <c r="G71" s="52"/>
      <c r="H71" s="52"/>
      <c r="I71" s="53" t="n">
        <v>46379</v>
      </c>
      <c r="J71" s="53" t="n">
        <v>46383</v>
      </c>
      <c r="K71" s="52"/>
      <c r="L71" s="52"/>
      <c r="M71" s="54" t="s">
        <v>329</v>
      </c>
      <c r="N71" s="55" t="n">
        <v>46343</v>
      </c>
      <c r="O71" s="55" t="n">
        <v>46344</v>
      </c>
      <c r="P71" s="50" t="s">
        <v>105</v>
      </c>
      <c r="Q71" s="52" t="n">
        <v>-39</v>
      </c>
      <c r="R71" s="52"/>
      <c r="S71" s="52" t="n">
        <v>2</v>
      </c>
      <c r="T71" s="52" t="s">
        <v>106</v>
      </c>
      <c r="U71" s="52"/>
      <c r="V71" s="56" t="n">
        <v>0</v>
      </c>
      <c r="W71" s="50" t="s">
        <v>86</v>
      </c>
      <c r="X71" s="52"/>
      <c r="Y71" s="52" t="s">
        <v>293</v>
      </c>
      <c r="AA71" s="48"/>
      <c r="AB71" s="48"/>
      <c r="AC71" s="48"/>
      <c r="AD71" s="48"/>
      <c r="AE71" s="48"/>
      <c r="AF71" s="48"/>
      <c r="AG71" s="48"/>
      <c r="AH71" s="48"/>
      <c r="AI71" s="48"/>
      <c r="AJ71" s="48"/>
      <c r="AK71" s="48"/>
      <c r="AL71" s="48"/>
      <c r="AM71" s="48"/>
      <c r="AN71" s="48"/>
      <c r="AO71" s="48"/>
      <c r="AP71" s="48"/>
      <c r="AQ71" s="48"/>
      <c r="AR71" s="48"/>
      <c r="AS71" s="48"/>
      <c r="AT71" s="48"/>
      <c r="AU71" s="48"/>
      <c r="AV71" s="48"/>
      <c r="AW71" s="48"/>
      <c r="AX71" s="48"/>
      <c r="AY71" s="48"/>
      <c r="AZ71" s="48"/>
      <c r="BA71" s="48"/>
      <c r="BB71" s="48"/>
      <c r="BC71" s="48"/>
      <c r="BD71" s="48"/>
      <c r="BE71" s="48"/>
      <c r="BF71" s="48"/>
      <c r="BG71" s="48"/>
      <c r="BH71" s="48"/>
      <c r="BI71" s="48"/>
      <c r="BJ71" s="48"/>
      <c r="BK71" s="48"/>
      <c r="BL71" s="48"/>
      <c r="BM71" s="48"/>
      <c r="BN71" s="48"/>
      <c r="BO71" s="48"/>
      <c r="BP71" s="48"/>
      <c r="BQ71" s="48"/>
      <c r="BR71" s="48"/>
      <c r="BS71" s="48"/>
      <c r="BT71" s="48"/>
      <c r="BU71" s="48"/>
      <c r="BV71" s="48"/>
    </row>
    <row r="72" customFormat="false" ht="15" hidden="true" customHeight="true" outlineLevel="1" collapsed="false">
      <c r="A72" s="49" t="s">
        <v>330</v>
      </c>
      <c r="B72" s="50" t="s">
        <v>331</v>
      </c>
      <c r="C72" s="50" t="s">
        <v>332</v>
      </c>
      <c r="D72" s="50" t="s">
        <v>91</v>
      </c>
      <c r="E72" s="51" t="n">
        <v>3</v>
      </c>
      <c r="F72" s="52"/>
      <c r="G72" s="52"/>
      <c r="H72" s="52"/>
      <c r="I72" s="53" t="n">
        <v>46381</v>
      </c>
      <c r="J72" s="53" t="n">
        <v>46386</v>
      </c>
      <c r="K72" s="52"/>
      <c r="L72" s="52"/>
      <c r="M72" s="54" t="s">
        <v>333</v>
      </c>
      <c r="N72" s="55" t="n">
        <v>46344</v>
      </c>
      <c r="O72" s="55" t="n">
        <v>46345</v>
      </c>
      <c r="P72" s="50" t="s">
        <v>105</v>
      </c>
      <c r="Q72" s="52" t="n">
        <v>-41</v>
      </c>
      <c r="R72" s="52"/>
      <c r="S72" s="52" t="n">
        <v>2</v>
      </c>
      <c r="T72" s="52" t="s">
        <v>106</v>
      </c>
      <c r="U72" s="52"/>
      <c r="V72" s="56" t="n">
        <v>0</v>
      </c>
      <c r="W72" s="50" t="s">
        <v>86</v>
      </c>
      <c r="X72" s="52"/>
      <c r="Y72" s="52" t="s">
        <v>293</v>
      </c>
      <c r="AA72" s="48"/>
      <c r="AB72" s="48"/>
      <c r="AC72" s="48"/>
      <c r="AD72" s="48"/>
      <c r="AE72" s="48"/>
      <c r="AF72" s="48"/>
      <c r="AG72" s="48"/>
      <c r="AH72" s="48"/>
      <c r="AI72" s="48"/>
      <c r="AJ72" s="48"/>
      <c r="AK72" s="48"/>
      <c r="AL72" s="48"/>
      <c r="AM72" s="48"/>
      <c r="AN72" s="48"/>
      <c r="AO72" s="48"/>
      <c r="AP72" s="48"/>
      <c r="AQ72" s="48"/>
      <c r="AR72" s="48"/>
      <c r="AS72" s="48"/>
      <c r="AT72" s="48"/>
      <c r="AU72" s="48"/>
      <c r="AV72" s="48"/>
      <c r="AW72" s="48"/>
      <c r="AX72" s="48"/>
      <c r="AY72" s="48"/>
      <c r="AZ72" s="48"/>
      <c r="BA72" s="48"/>
      <c r="BB72" s="48"/>
      <c r="BC72" s="48"/>
      <c r="BD72" s="48"/>
      <c r="BE72" s="48"/>
      <c r="BF72" s="48"/>
      <c r="BG72" s="48"/>
      <c r="BH72" s="48"/>
      <c r="BI72" s="48"/>
      <c r="BJ72" s="48"/>
      <c r="BK72" s="48"/>
      <c r="BL72" s="48"/>
      <c r="BM72" s="48"/>
      <c r="BN72" s="48"/>
      <c r="BO72" s="48"/>
      <c r="BP72" s="48"/>
      <c r="BQ72" s="48"/>
      <c r="BR72" s="48"/>
      <c r="BS72" s="48"/>
      <c r="BT72" s="48"/>
      <c r="BU72" s="48"/>
      <c r="BV72" s="48"/>
    </row>
    <row r="73" customFormat="false" ht="15" hidden="true" customHeight="true" outlineLevel="1" collapsed="false">
      <c r="A73" s="49" t="s">
        <v>334</v>
      </c>
      <c r="B73" s="50" t="s">
        <v>335</v>
      </c>
      <c r="C73" s="50" t="s">
        <v>336</v>
      </c>
      <c r="D73" s="50" t="s">
        <v>91</v>
      </c>
      <c r="E73" s="51" t="n">
        <v>2</v>
      </c>
      <c r="F73" s="52"/>
      <c r="G73" s="52"/>
      <c r="H73" s="52"/>
      <c r="I73" s="53" t="n">
        <v>46382</v>
      </c>
      <c r="J73" s="53" t="n">
        <v>46386</v>
      </c>
      <c r="K73" s="52"/>
      <c r="L73" s="52"/>
      <c r="M73" s="54" t="s">
        <v>337</v>
      </c>
      <c r="N73" s="55" t="n">
        <v>46344</v>
      </c>
      <c r="O73" s="55" t="n">
        <v>46345</v>
      </c>
      <c r="P73" s="50" t="s">
        <v>105</v>
      </c>
      <c r="Q73" s="52" t="n">
        <v>-41</v>
      </c>
      <c r="R73" s="52"/>
      <c r="S73" s="52" t="n">
        <v>2</v>
      </c>
      <c r="T73" s="52" t="s">
        <v>106</v>
      </c>
      <c r="U73" s="52"/>
      <c r="V73" s="56" t="n">
        <v>0</v>
      </c>
      <c r="W73" s="50" t="s">
        <v>86</v>
      </c>
      <c r="X73" s="52"/>
      <c r="Y73" s="52" t="s">
        <v>293</v>
      </c>
      <c r="AA73" s="48"/>
      <c r="AB73" s="48"/>
      <c r="AC73" s="48"/>
      <c r="AD73" s="48"/>
      <c r="AE73" s="48"/>
      <c r="AF73" s="48"/>
      <c r="AG73" s="48"/>
      <c r="AH73" s="48"/>
      <c r="AI73" s="48"/>
      <c r="AJ73" s="48"/>
      <c r="AK73" s="48"/>
      <c r="AL73" s="48"/>
      <c r="AM73" s="48"/>
      <c r="AN73" s="48"/>
      <c r="AO73" s="48"/>
      <c r="AP73" s="48"/>
      <c r="AQ73" s="48"/>
      <c r="AR73" s="48"/>
      <c r="AS73" s="48"/>
      <c r="AT73" s="48"/>
      <c r="AU73" s="48"/>
      <c r="AV73" s="48"/>
      <c r="AW73" s="48"/>
      <c r="AX73" s="48"/>
      <c r="AY73" s="48"/>
      <c r="AZ73" s="48"/>
      <c r="BA73" s="48"/>
      <c r="BB73" s="48"/>
      <c r="BC73" s="48"/>
      <c r="BD73" s="48"/>
      <c r="BE73" s="48"/>
      <c r="BF73" s="48"/>
      <c r="BG73" s="48"/>
      <c r="BH73" s="48"/>
      <c r="BI73" s="48"/>
      <c r="BJ73" s="48"/>
      <c r="BK73" s="48"/>
      <c r="BL73" s="48"/>
      <c r="BM73" s="48"/>
      <c r="BN73" s="48"/>
      <c r="BO73" s="48"/>
      <c r="BP73" s="48"/>
      <c r="BQ73" s="48"/>
      <c r="BR73" s="48"/>
      <c r="BS73" s="48"/>
      <c r="BT73" s="48"/>
      <c r="BU73" s="48"/>
      <c r="BV73" s="48"/>
    </row>
    <row r="74" customFormat="false" ht="15" hidden="true" customHeight="true" outlineLevel="1" collapsed="false">
      <c r="A74" s="49" t="s">
        <v>338</v>
      </c>
      <c r="B74" s="50" t="s">
        <v>339</v>
      </c>
      <c r="C74" s="52" t="s">
        <v>340</v>
      </c>
      <c r="D74" s="50" t="s">
        <v>91</v>
      </c>
      <c r="E74" s="51" t="n">
        <v>1</v>
      </c>
      <c r="F74" s="52"/>
      <c r="G74" s="52"/>
      <c r="H74" s="52"/>
      <c r="I74" s="53" t="n">
        <v>46383</v>
      </c>
      <c r="J74" s="53" t="n">
        <v>46388</v>
      </c>
      <c r="K74" s="52"/>
      <c r="L74" s="52"/>
      <c r="M74" s="54" t="s">
        <v>341</v>
      </c>
      <c r="N74" s="55" t="n">
        <v>46345</v>
      </c>
      <c r="O74" s="55" t="n">
        <v>46346</v>
      </c>
      <c r="P74" s="50" t="s">
        <v>105</v>
      </c>
      <c r="Q74" s="52" t="n">
        <v>-42</v>
      </c>
      <c r="R74" s="52"/>
      <c r="S74" s="52" t="n">
        <v>2</v>
      </c>
      <c r="T74" s="52" t="s">
        <v>106</v>
      </c>
      <c r="U74" s="52"/>
      <c r="V74" s="56" t="n">
        <v>0</v>
      </c>
      <c r="W74" s="50" t="s">
        <v>86</v>
      </c>
      <c r="X74" s="52"/>
      <c r="Y74" s="52" t="s">
        <v>293</v>
      </c>
      <c r="AA74" s="48"/>
      <c r="AB74" s="48"/>
      <c r="AC74" s="48"/>
      <c r="AD74" s="48"/>
      <c r="AE74" s="48"/>
      <c r="AF74" s="48"/>
      <c r="AG74" s="48"/>
      <c r="AH74" s="48"/>
      <c r="AI74" s="48"/>
      <c r="AJ74" s="48"/>
      <c r="AK74" s="48"/>
      <c r="AL74" s="48"/>
      <c r="AM74" s="48"/>
      <c r="AN74" s="48"/>
      <c r="AO74" s="48"/>
      <c r="AP74" s="48"/>
      <c r="AQ74" s="48"/>
      <c r="AR74" s="48"/>
      <c r="AS74" s="48"/>
      <c r="AT74" s="48"/>
      <c r="AU74" s="48"/>
      <c r="AV74" s="48"/>
      <c r="AW74" s="48"/>
      <c r="AX74" s="48"/>
      <c r="AY74" s="48"/>
      <c r="AZ74" s="48"/>
      <c r="BA74" s="48"/>
      <c r="BB74" s="48"/>
      <c r="BC74" s="48"/>
      <c r="BD74" s="48"/>
      <c r="BE74" s="48"/>
      <c r="BF74" s="48"/>
      <c r="BG74" s="48"/>
      <c r="BH74" s="48"/>
      <c r="BI74" s="48"/>
      <c r="BJ74" s="48"/>
      <c r="BK74" s="48"/>
      <c r="BL74" s="48"/>
      <c r="BM74" s="48"/>
      <c r="BN74" s="48"/>
      <c r="BO74" s="48"/>
      <c r="BP74" s="48"/>
      <c r="BQ74" s="48"/>
      <c r="BR74" s="48"/>
      <c r="BS74" s="48"/>
      <c r="BT74" s="48"/>
      <c r="BU74" s="48"/>
      <c r="BV74" s="48"/>
    </row>
    <row r="75" customFormat="false" ht="15" hidden="true" customHeight="true" outlineLevel="1" collapsed="false">
      <c r="A75" s="49" t="s">
        <v>342</v>
      </c>
      <c r="B75" s="52" t="s">
        <v>343</v>
      </c>
      <c r="C75" s="50" t="s">
        <v>344</v>
      </c>
      <c r="D75" s="50" t="s">
        <v>91</v>
      </c>
      <c r="E75" s="51" t="n">
        <v>1</v>
      </c>
      <c r="F75" s="52"/>
      <c r="G75" s="52"/>
      <c r="H75" s="52"/>
      <c r="I75" s="53" t="n">
        <v>46386</v>
      </c>
      <c r="J75" s="53" t="n">
        <v>46388</v>
      </c>
      <c r="K75" s="52"/>
      <c r="L75" s="52"/>
      <c r="M75" s="54" t="s">
        <v>345</v>
      </c>
      <c r="N75" s="55" t="n">
        <v>46345</v>
      </c>
      <c r="O75" s="55" t="n">
        <v>46346</v>
      </c>
      <c r="P75" s="50" t="s">
        <v>105</v>
      </c>
      <c r="Q75" s="52" t="n">
        <v>-42</v>
      </c>
      <c r="R75" s="52"/>
      <c r="S75" s="52" t="n">
        <v>2</v>
      </c>
      <c r="T75" s="52" t="s">
        <v>106</v>
      </c>
      <c r="U75" s="52"/>
      <c r="V75" s="56" t="n">
        <v>0</v>
      </c>
      <c r="W75" s="50" t="s">
        <v>86</v>
      </c>
      <c r="X75" s="52"/>
      <c r="Y75" s="52" t="s">
        <v>293</v>
      </c>
      <c r="AA75" s="48"/>
      <c r="AB75" s="48"/>
      <c r="AC75" s="48"/>
      <c r="AD75" s="48"/>
      <c r="AE75" s="48"/>
      <c r="AF75" s="48"/>
      <c r="AG75" s="48"/>
      <c r="AH75" s="48"/>
      <c r="AI75" s="48"/>
      <c r="AJ75" s="48"/>
      <c r="AK75" s="48"/>
      <c r="AL75" s="48"/>
      <c r="AM75" s="48"/>
      <c r="AN75" s="48"/>
      <c r="AO75" s="48"/>
      <c r="AP75" s="48"/>
      <c r="AQ75" s="48"/>
      <c r="AR75" s="48"/>
      <c r="AS75" s="48"/>
      <c r="AT75" s="48"/>
      <c r="AU75" s="48"/>
      <c r="AV75" s="48"/>
      <c r="AW75" s="48"/>
      <c r="AX75" s="48"/>
      <c r="AY75" s="48"/>
      <c r="AZ75" s="48"/>
      <c r="BA75" s="48"/>
      <c r="BB75" s="48"/>
      <c r="BC75" s="48"/>
      <c r="BD75" s="48"/>
      <c r="BE75" s="48"/>
      <c r="BF75" s="48"/>
      <c r="BG75" s="48"/>
      <c r="BH75" s="48"/>
      <c r="BI75" s="48"/>
      <c r="BJ75" s="48"/>
      <c r="BK75" s="48"/>
      <c r="BL75" s="48"/>
      <c r="BM75" s="48"/>
      <c r="BN75" s="48"/>
      <c r="BO75" s="48"/>
      <c r="BP75" s="48"/>
      <c r="BQ75" s="48"/>
      <c r="BR75" s="48"/>
      <c r="BS75" s="48"/>
      <c r="BT75" s="48"/>
      <c r="BU75" s="48"/>
      <c r="BV75" s="48"/>
    </row>
    <row r="76" customFormat="false" ht="15" hidden="false" customHeight="true" outlineLevel="0" collapsed="false">
      <c r="A76" s="37" t="s">
        <v>346</v>
      </c>
      <c r="B76" s="39" t="s">
        <v>347</v>
      </c>
      <c r="C76" s="39" t="s">
        <v>289</v>
      </c>
      <c r="D76" s="39" t="s">
        <v>290</v>
      </c>
      <c r="E76" s="40" t="n">
        <v>20</v>
      </c>
      <c r="F76" s="39" t="s">
        <v>348</v>
      </c>
      <c r="G76" s="37"/>
      <c r="H76" s="37" t="n">
        <v>11</v>
      </c>
      <c r="I76" s="41" t="n">
        <v>46379</v>
      </c>
      <c r="J76" s="41" t="n">
        <v>46388</v>
      </c>
      <c r="K76" s="42"/>
      <c r="L76" s="42"/>
      <c r="M76" s="43"/>
      <c r="N76" s="44" t="n">
        <v>46337</v>
      </c>
      <c r="O76" s="45" t="n">
        <v>46347</v>
      </c>
      <c r="P76" s="46" t="s">
        <v>105</v>
      </c>
      <c r="Q76" s="37" t="n">
        <v>-41</v>
      </c>
      <c r="R76" s="39"/>
      <c r="S76" s="39" t="n">
        <v>1</v>
      </c>
      <c r="T76" s="39" t="s">
        <v>106</v>
      </c>
      <c r="U76" s="57" t="n">
        <v>46337.0076</v>
      </c>
      <c r="V76" s="47" t="n">
        <v>0</v>
      </c>
      <c r="W76" s="39" t="s">
        <v>86</v>
      </c>
      <c r="X76" s="39" t="s">
        <v>349</v>
      </c>
      <c r="Y76" s="38" t="s">
        <v>293</v>
      </c>
      <c r="AA76" s="48"/>
      <c r="AB76" s="48"/>
      <c r="AC76" s="48"/>
      <c r="AD76" s="48"/>
      <c r="AE76" s="48"/>
      <c r="AF76" s="48"/>
      <c r="AG76" s="48"/>
      <c r="AH76" s="48"/>
      <c r="AI76" s="48"/>
      <c r="AJ76" s="48"/>
      <c r="AK76" s="48"/>
      <c r="AL76" s="48"/>
      <c r="AM76" s="48"/>
      <c r="AN76" s="48"/>
      <c r="AO76" s="48"/>
      <c r="AP76" s="48"/>
      <c r="AQ76" s="48"/>
      <c r="AR76" s="48"/>
      <c r="AS76" s="48"/>
      <c r="AT76" s="48"/>
      <c r="AU76" s="48"/>
      <c r="AV76" s="48"/>
      <c r="AW76" s="48"/>
      <c r="AX76" s="48"/>
      <c r="AY76" s="48"/>
      <c r="AZ76" s="48"/>
      <c r="BA76" s="48"/>
      <c r="BB76" s="48"/>
      <c r="BC76" s="48"/>
      <c r="BD76" s="48"/>
      <c r="BE76" s="48"/>
      <c r="BF76" s="48"/>
      <c r="BG76" s="48"/>
      <c r="BH76" s="48"/>
      <c r="BI76" s="48"/>
      <c r="BJ76" s="48"/>
      <c r="BK76" s="48"/>
      <c r="BL76" s="48"/>
      <c r="BM76" s="48"/>
      <c r="BN76" s="48"/>
      <c r="BO76" s="48"/>
      <c r="BP76" s="48"/>
      <c r="BQ76" s="48"/>
      <c r="BR76" s="48"/>
      <c r="BS76" s="48"/>
      <c r="BT76" s="48"/>
      <c r="BU76" s="48"/>
      <c r="BV76" s="48"/>
    </row>
    <row r="77" customFormat="false" ht="15" hidden="true" customHeight="true" outlineLevel="1" collapsed="false">
      <c r="A77" s="49" t="s">
        <v>350</v>
      </c>
      <c r="B77" s="50" t="s">
        <v>351</v>
      </c>
      <c r="C77" s="50" t="s">
        <v>352</v>
      </c>
      <c r="D77" s="50" t="s">
        <v>91</v>
      </c>
      <c r="E77" s="51" t="n">
        <v>2</v>
      </c>
      <c r="F77" s="52"/>
      <c r="G77" s="52"/>
      <c r="H77" s="52"/>
      <c r="I77" s="53" t="n">
        <v>46379</v>
      </c>
      <c r="J77" s="53" t="n">
        <v>46382</v>
      </c>
      <c r="K77" s="52"/>
      <c r="L77" s="52"/>
      <c r="M77" s="54" t="s">
        <v>353</v>
      </c>
      <c r="N77" s="55" t="n">
        <v>46337</v>
      </c>
      <c r="O77" s="55" t="n">
        <v>46340</v>
      </c>
      <c r="P77" s="50" t="s">
        <v>105</v>
      </c>
      <c r="Q77" s="52" t="n">
        <v>-42</v>
      </c>
      <c r="R77" s="52"/>
      <c r="S77" s="52" t="n">
        <v>2</v>
      </c>
      <c r="T77" s="52" t="s">
        <v>106</v>
      </c>
      <c r="U77" s="52"/>
      <c r="V77" s="56" t="n">
        <v>0</v>
      </c>
      <c r="W77" s="50" t="s">
        <v>86</v>
      </c>
      <c r="X77" s="52"/>
      <c r="Y77" s="52" t="s">
        <v>293</v>
      </c>
      <c r="AA77" s="48"/>
      <c r="AB77" s="48"/>
      <c r="AC77" s="48"/>
      <c r="AD77" s="48"/>
      <c r="AE77" s="48"/>
      <c r="AF77" s="48"/>
      <c r="AG77" s="48"/>
      <c r="AH77" s="48"/>
      <c r="AI77" s="48"/>
      <c r="AJ77" s="48"/>
      <c r="AK77" s="48"/>
      <c r="AL77" s="48"/>
      <c r="AM77" s="48"/>
      <c r="AN77" s="48"/>
      <c r="AO77" s="48"/>
      <c r="AP77" s="48"/>
      <c r="AQ77" s="48"/>
      <c r="AR77" s="48"/>
      <c r="AS77" s="48"/>
      <c r="AT77" s="48"/>
      <c r="AU77" s="48"/>
      <c r="AV77" s="48"/>
      <c r="AW77" s="48"/>
      <c r="AX77" s="48"/>
      <c r="AY77" s="48"/>
      <c r="AZ77" s="48"/>
      <c r="BA77" s="48"/>
      <c r="BB77" s="48"/>
      <c r="BC77" s="48"/>
      <c r="BD77" s="48"/>
      <c r="BE77" s="48"/>
      <c r="BF77" s="48"/>
      <c r="BG77" s="48"/>
      <c r="BH77" s="48"/>
      <c r="BI77" s="48"/>
      <c r="BJ77" s="48"/>
      <c r="BK77" s="48"/>
      <c r="BL77" s="48"/>
      <c r="BM77" s="48"/>
      <c r="BN77" s="48"/>
      <c r="BO77" s="48"/>
      <c r="BP77" s="48"/>
      <c r="BQ77" s="48"/>
      <c r="BR77" s="48"/>
      <c r="BS77" s="48"/>
      <c r="BT77" s="48"/>
      <c r="BU77" s="48"/>
      <c r="BV77" s="48"/>
    </row>
    <row r="78" customFormat="false" ht="15" hidden="true" customHeight="true" outlineLevel="1" collapsed="false">
      <c r="A78" s="49" t="s">
        <v>354</v>
      </c>
      <c r="B78" s="50" t="s">
        <v>355</v>
      </c>
      <c r="C78" s="50" t="s">
        <v>356</v>
      </c>
      <c r="D78" s="50" t="s">
        <v>91</v>
      </c>
      <c r="E78" s="51" t="n">
        <v>12</v>
      </c>
      <c r="F78" s="52"/>
      <c r="G78" s="52"/>
      <c r="H78" s="52"/>
      <c r="I78" s="53" t="n">
        <v>46380</v>
      </c>
      <c r="J78" s="53" t="n">
        <v>46387</v>
      </c>
      <c r="K78" s="52"/>
      <c r="L78" s="52"/>
      <c r="M78" s="54" t="s">
        <v>357</v>
      </c>
      <c r="N78" s="55" t="n">
        <v>46338</v>
      </c>
      <c r="O78" s="55" t="n">
        <v>46346</v>
      </c>
      <c r="P78" s="50" t="s">
        <v>105</v>
      </c>
      <c r="Q78" s="52" t="n">
        <v>-41</v>
      </c>
      <c r="R78" s="52"/>
      <c r="S78" s="52" t="n">
        <v>2</v>
      </c>
      <c r="T78" s="52" t="s">
        <v>106</v>
      </c>
      <c r="U78" s="52"/>
      <c r="V78" s="56" t="n">
        <v>0</v>
      </c>
      <c r="W78" s="50" t="s">
        <v>86</v>
      </c>
      <c r="X78" s="52"/>
      <c r="Y78" s="52" t="s">
        <v>293</v>
      </c>
      <c r="AA78" s="48"/>
      <c r="AB78" s="48"/>
      <c r="AC78" s="48"/>
      <c r="AD78" s="48"/>
      <c r="AE78" s="48"/>
      <c r="AF78" s="48"/>
      <c r="AG78" s="48"/>
      <c r="AH78" s="48"/>
      <c r="AI78" s="48"/>
      <c r="AJ78" s="48"/>
      <c r="AK78" s="48"/>
      <c r="AL78" s="48"/>
      <c r="AM78" s="48"/>
      <c r="AN78" s="48"/>
      <c r="AO78" s="48"/>
      <c r="AP78" s="48"/>
      <c r="AQ78" s="48"/>
      <c r="AR78" s="48"/>
      <c r="AS78" s="48"/>
      <c r="AT78" s="48"/>
      <c r="AU78" s="48"/>
      <c r="AV78" s="48"/>
      <c r="AW78" s="48"/>
      <c r="AX78" s="48"/>
      <c r="AY78" s="48"/>
      <c r="AZ78" s="48"/>
      <c r="BA78" s="48"/>
      <c r="BB78" s="48"/>
      <c r="BC78" s="48"/>
      <c r="BD78" s="48"/>
      <c r="BE78" s="48"/>
      <c r="BF78" s="48"/>
      <c r="BG78" s="48"/>
      <c r="BH78" s="48"/>
      <c r="BI78" s="48"/>
      <c r="BJ78" s="48"/>
      <c r="BK78" s="48"/>
      <c r="BL78" s="48"/>
      <c r="BM78" s="48"/>
      <c r="BN78" s="48"/>
      <c r="BO78" s="48"/>
      <c r="BP78" s="48"/>
      <c r="BQ78" s="48"/>
      <c r="BR78" s="48"/>
      <c r="BS78" s="48"/>
      <c r="BT78" s="48"/>
      <c r="BU78" s="48"/>
      <c r="BV78" s="48"/>
    </row>
    <row r="79" customFormat="false" ht="15" hidden="true" customHeight="true" outlineLevel="1" collapsed="false">
      <c r="A79" s="49" t="s">
        <v>358</v>
      </c>
      <c r="B79" s="52" t="s">
        <v>359</v>
      </c>
      <c r="C79" s="50" t="s">
        <v>360</v>
      </c>
      <c r="D79" s="50" t="s">
        <v>91</v>
      </c>
      <c r="E79" s="51" t="n">
        <v>4</v>
      </c>
      <c r="F79" s="52"/>
      <c r="G79" s="52"/>
      <c r="H79" s="52"/>
      <c r="I79" s="53" t="n">
        <v>46383</v>
      </c>
      <c r="J79" s="53" t="n">
        <v>46388</v>
      </c>
      <c r="K79" s="52"/>
      <c r="L79" s="52"/>
      <c r="M79" s="54" t="s">
        <v>361</v>
      </c>
      <c r="N79" s="55" t="n">
        <v>46341</v>
      </c>
      <c r="O79" s="55" t="n">
        <v>46347</v>
      </c>
      <c r="P79" s="50" t="s">
        <v>105</v>
      </c>
      <c r="Q79" s="52" t="n">
        <v>-41</v>
      </c>
      <c r="R79" s="52"/>
      <c r="S79" s="52" t="n">
        <v>2</v>
      </c>
      <c r="T79" s="52" t="s">
        <v>106</v>
      </c>
      <c r="U79" s="52"/>
      <c r="V79" s="56" t="n">
        <v>0</v>
      </c>
      <c r="W79" s="50" t="s">
        <v>86</v>
      </c>
      <c r="X79" s="52"/>
      <c r="Y79" s="52" t="s">
        <v>293</v>
      </c>
      <c r="AA79" s="48"/>
      <c r="AB79" s="48"/>
      <c r="AC79" s="48"/>
      <c r="AD79" s="48"/>
      <c r="AE79" s="48"/>
      <c r="AF79" s="48"/>
      <c r="AG79" s="48"/>
      <c r="AH79" s="48"/>
      <c r="AI79" s="48"/>
      <c r="AJ79" s="48"/>
      <c r="AK79" s="48"/>
      <c r="AL79" s="48"/>
      <c r="AM79" s="48"/>
      <c r="AN79" s="48"/>
      <c r="AO79" s="48"/>
      <c r="AP79" s="48"/>
      <c r="AQ79" s="48"/>
      <c r="AR79" s="48"/>
      <c r="AS79" s="48"/>
      <c r="AT79" s="48"/>
      <c r="AU79" s="48"/>
      <c r="AV79" s="48"/>
      <c r="AW79" s="48"/>
      <c r="AX79" s="48"/>
      <c r="AY79" s="48"/>
      <c r="AZ79" s="48"/>
      <c r="BA79" s="48"/>
      <c r="BB79" s="48"/>
      <c r="BC79" s="48"/>
      <c r="BD79" s="48"/>
      <c r="BE79" s="48"/>
      <c r="BF79" s="48"/>
      <c r="BG79" s="48"/>
      <c r="BH79" s="48"/>
      <c r="BI79" s="48"/>
      <c r="BJ79" s="48"/>
      <c r="BK79" s="48"/>
      <c r="BL79" s="48"/>
      <c r="BM79" s="48"/>
      <c r="BN79" s="48"/>
      <c r="BO79" s="48"/>
      <c r="BP79" s="48"/>
      <c r="BQ79" s="48"/>
      <c r="BR79" s="48"/>
      <c r="BS79" s="48"/>
      <c r="BT79" s="48"/>
      <c r="BU79" s="48"/>
      <c r="BV79" s="48"/>
    </row>
    <row r="80" customFormat="false" ht="15" hidden="true" customHeight="true" outlineLevel="1" collapsed="false">
      <c r="A80" s="49" t="s">
        <v>362</v>
      </c>
      <c r="B80" s="52" t="s">
        <v>363</v>
      </c>
      <c r="C80" s="50" t="s">
        <v>364</v>
      </c>
      <c r="D80" s="50" t="s">
        <v>91</v>
      </c>
      <c r="E80" s="51" t="n">
        <v>1</v>
      </c>
      <c r="F80" s="52"/>
      <c r="G80" s="52"/>
      <c r="H80" s="52"/>
      <c r="I80" s="53" t="n">
        <v>46386</v>
      </c>
      <c r="J80" s="53" t="n">
        <v>46388</v>
      </c>
      <c r="K80" s="52"/>
      <c r="L80" s="52"/>
      <c r="M80" s="54" t="s">
        <v>365</v>
      </c>
      <c r="N80" s="55" t="n">
        <v>46345</v>
      </c>
      <c r="O80" s="55" t="n">
        <v>46347</v>
      </c>
      <c r="P80" s="50" t="s">
        <v>105</v>
      </c>
      <c r="Q80" s="52" t="n">
        <v>-41</v>
      </c>
      <c r="R80" s="52"/>
      <c r="S80" s="52" t="n">
        <v>2</v>
      </c>
      <c r="T80" s="52" t="s">
        <v>106</v>
      </c>
      <c r="U80" s="52"/>
      <c r="V80" s="56" t="n">
        <v>0</v>
      </c>
      <c r="W80" s="50" t="s">
        <v>86</v>
      </c>
      <c r="X80" s="52"/>
      <c r="Y80" s="52" t="s">
        <v>293</v>
      </c>
      <c r="AA80" s="48"/>
      <c r="AB80" s="48"/>
      <c r="AC80" s="48"/>
      <c r="AD80" s="48"/>
      <c r="AE80" s="48"/>
      <c r="AF80" s="48"/>
      <c r="AG80" s="48"/>
      <c r="AH80" s="48"/>
      <c r="AI80" s="48"/>
      <c r="AJ80" s="48"/>
      <c r="AK80" s="48"/>
      <c r="AL80" s="48"/>
      <c r="AM80" s="48"/>
      <c r="AN80" s="48"/>
      <c r="AO80" s="48"/>
      <c r="AP80" s="48"/>
      <c r="AQ80" s="48"/>
      <c r="AR80" s="48"/>
      <c r="AS80" s="48"/>
      <c r="AT80" s="48"/>
      <c r="AU80" s="48"/>
      <c r="AV80" s="48"/>
      <c r="AW80" s="48"/>
      <c r="AX80" s="48"/>
      <c r="AY80" s="48"/>
      <c r="AZ80" s="48"/>
      <c r="BA80" s="48"/>
      <c r="BB80" s="48"/>
      <c r="BC80" s="48"/>
      <c r="BD80" s="48"/>
      <c r="BE80" s="48"/>
      <c r="BF80" s="48"/>
      <c r="BG80" s="48"/>
      <c r="BH80" s="48"/>
      <c r="BI80" s="48"/>
      <c r="BJ80" s="48"/>
      <c r="BK80" s="48"/>
      <c r="BL80" s="48"/>
      <c r="BM80" s="48"/>
      <c r="BN80" s="48"/>
      <c r="BO80" s="48"/>
      <c r="BP80" s="48"/>
      <c r="BQ80" s="48"/>
      <c r="BR80" s="48"/>
      <c r="BS80" s="48"/>
      <c r="BT80" s="48"/>
      <c r="BU80" s="48"/>
      <c r="BV80" s="48"/>
    </row>
    <row r="81" customFormat="false" ht="15" hidden="true" customHeight="true" outlineLevel="1" collapsed="false">
      <c r="A81" s="49" t="s">
        <v>366</v>
      </c>
      <c r="B81" s="52" t="s">
        <v>367</v>
      </c>
      <c r="C81" s="50" t="s">
        <v>368</v>
      </c>
      <c r="D81" s="50" t="s">
        <v>91</v>
      </c>
      <c r="E81" s="51" t="n">
        <v>1</v>
      </c>
      <c r="F81" s="52"/>
      <c r="G81" s="52"/>
      <c r="H81" s="52"/>
      <c r="I81" s="53" t="n">
        <v>46388</v>
      </c>
      <c r="J81" s="53" t="n">
        <v>46388</v>
      </c>
      <c r="K81" s="52"/>
      <c r="L81" s="52"/>
      <c r="M81" s="54" t="s">
        <v>369</v>
      </c>
      <c r="N81" s="55" t="n">
        <v>46347</v>
      </c>
      <c r="O81" s="55" t="n">
        <v>46347</v>
      </c>
      <c r="P81" s="50" t="s">
        <v>105</v>
      </c>
      <c r="Q81" s="52" t="n">
        <v>-41</v>
      </c>
      <c r="R81" s="52"/>
      <c r="S81" s="52" t="n">
        <v>2</v>
      </c>
      <c r="T81" s="52" t="s">
        <v>106</v>
      </c>
      <c r="U81" s="52"/>
      <c r="V81" s="56" t="n">
        <v>0</v>
      </c>
      <c r="W81" s="50" t="s">
        <v>86</v>
      </c>
      <c r="X81" s="52"/>
      <c r="Y81" s="52" t="s">
        <v>293</v>
      </c>
      <c r="AA81" s="48"/>
      <c r="AB81" s="48"/>
      <c r="AC81" s="48"/>
      <c r="AD81" s="48"/>
      <c r="AE81" s="48"/>
      <c r="AF81" s="48"/>
      <c r="AG81" s="48"/>
      <c r="AH81" s="48"/>
      <c r="AI81" s="48"/>
      <c r="AJ81" s="48"/>
      <c r="AK81" s="48"/>
      <c r="AL81" s="48"/>
      <c r="AM81" s="48"/>
      <c r="AN81" s="48"/>
      <c r="AO81" s="48"/>
      <c r="AP81" s="48"/>
      <c r="AQ81" s="48"/>
      <c r="AR81" s="48"/>
      <c r="AS81" s="48"/>
      <c r="AT81" s="48"/>
      <c r="AU81" s="48"/>
      <c r="AV81" s="48"/>
      <c r="AW81" s="48"/>
      <c r="AX81" s="48"/>
      <c r="AY81" s="48"/>
      <c r="AZ81" s="48"/>
      <c r="BA81" s="48"/>
      <c r="BB81" s="48"/>
      <c r="BC81" s="48"/>
      <c r="BD81" s="48"/>
      <c r="BE81" s="48"/>
      <c r="BF81" s="48"/>
      <c r="BG81" s="48"/>
      <c r="BH81" s="48"/>
      <c r="BI81" s="48"/>
      <c r="BJ81" s="48"/>
      <c r="BK81" s="48"/>
      <c r="BL81" s="48"/>
      <c r="BM81" s="48"/>
      <c r="BN81" s="48"/>
      <c r="BO81" s="48"/>
      <c r="BP81" s="48"/>
      <c r="BQ81" s="48"/>
      <c r="BR81" s="48"/>
      <c r="BS81" s="48"/>
      <c r="BT81" s="48"/>
      <c r="BU81" s="48"/>
      <c r="BV81" s="48"/>
    </row>
    <row r="82" customFormat="false" ht="15" hidden="false" customHeight="true" outlineLevel="0" collapsed="false">
      <c r="A82" s="37" t="s">
        <v>370</v>
      </c>
      <c r="B82" s="39" t="s">
        <v>371</v>
      </c>
      <c r="C82" s="39" t="s">
        <v>372</v>
      </c>
      <c r="D82" s="39" t="s">
        <v>290</v>
      </c>
      <c r="E82" s="40" t="n">
        <v>2.5</v>
      </c>
      <c r="F82" s="39" t="s">
        <v>348</v>
      </c>
      <c r="G82" s="37"/>
      <c r="H82" s="37" t="n">
        <v>3</v>
      </c>
      <c r="I82" s="41" t="n">
        <v>46382</v>
      </c>
      <c r="J82" s="41" t="n">
        <v>46385</v>
      </c>
      <c r="K82" s="42"/>
      <c r="L82" s="42"/>
      <c r="M82" s="43"/>
      <c r="N82" s="44" t="n">
        <v>46345</v>
      </c>
      <c r="O82" s="45" t="n">
        <v>46347</v>
      </c>
      <c r="P82" s="46" t="s">
        <v>105</v>
      </c>
      <c r="Q82" s="37" t="n">
        <v>-38</v>
      </c>
      <c r="R82" s="39"/>
      <c r="S82" s="39" t="n">
        <v>1</v>
      </c>
      <c r="T82" s="39" t="s">
        <v>106</v>
      </c>
      <c r="U82" s="57" t="n">
        <v>46345.0082</v>
      </c>
      <c r="V82" s="47" t="n">
        <v>0</v>
      </c>
      <c r="W82" s="39" t="s">
        <v>86</v>
      </c>
      <c r="X82" s="39" t="s">
        <v>373</v>
      </c>
      <c r="Y82" s="38" t="s">
        <v>293</v>
      </c>
      <c r="AA82" s="48"/>
      <c r="AB82" s="48"/>
      <c r="AC82" s="48"/>
      <c r="AD82" s="48"/>
      <c r="AE82" s="48"/>
      <c r="AF82" s="48"/>
      <c r="AG82" s="48"/>
      <c r="AH82" s="48"/>
      <c r="AI82" s="48"/>
      <c r="AJ82" s="48"/>
      <c r="AK82" s="48"/>
      <c r="AL82" s="48"/>
      <c r="AM82" s="48"/>
      <c r="AN82" s="48"/>
      <c r="AO82" s="48"/>
      <c r="AP82" s="48"/>
      <c r="AQ82" s="48"/>
      <c r="AR82" s="48"/>
      <c r="AS82" s="48"/>
      <c r="AT82" s="48"/>
      <c r="AU82" s="48"/>
      <c r="AV82" s="48"/>
      <c r="AW82" s="48"/>
      <c r="AX82" s="48"/>
      <c r="AY82" s="48"/>
      <c r="AZ82" s="48"/>
      <c r="BA82" s="48"/>
      <c r="BB82" s="48"/>
      <c r="BC82" s="48"/>
      <c r="BD82" s="48"/>
      <c r="BE82" s="48"/>
      <c r="BF82" s="48"/>
      <c r="BG82" s="48"/>
      <c r="BH82" s="48"/>
      <c r="BI82" s="48"/>
      <c r="BJ82" s="48"/>
      <c r="BK82" s="48"/>
      <c r="BL82" s="48"/>
      <c r="BM82" s="48"/>
      <c r="BN82" s="48"/>
      <c r="BO82" s="48"/>
      <c r="BP82" s="48"/>
      <c r="BQ82" s="48"/>
      <c r="BR82" s="48"/>
      <c r="BS82" s="48"/>
      <c r="BT82" s="48"/>
      <c r="BU82" s="48"/>
      <c r="BV82" s="48"/>
    </row>
    <row r="83" customFormat="false" ht="15" hidden="true" customHeight="true" outlineLevel="1" collapsed="false">
      <c r="A83" s="49" t="s">
        <v>374</v>
      </c>
      <c r="B83" s="50" t="s">
        <v>375</v>
      </c>
      <c r="C83" s="50" t="s">
        <v>376</v>
      </c>
      <c r="D83" s="50" t="s">
        <v>91</v>
      </c>
      <c r="E83" s="51" t="n">
        <v>1.5</v>
      </c>
      <c r="F83" s="52"/>
      <c r="G83" s="52"/>
      <c r="H83" s="52"/>
      <c r="I83" s="53" t="n">
        <v>46382</v>
      </c>
      <c r="J83" s="53" t="n">
        <v>46384</v>
      </c>
      <c r="K83" s="52"/>
      <c r="L83" s="52"/>
      <c r="M83" s="54" t="s">
        <v>377</v>
      </c>
      <c r="N83" s="55" t="n">
        <v>46345</v>
      </c>
      <c r="O83" s="55" t="n">
        <v>46346</v>
      </c>
      <c r="P83" s="50" t="s">
        <v>105</v>
      </c>
      <c r="Q83" s="52" t="n">
        <v>-38</v>
      </c>
      <c r="R83" s="52"/>
      <c r="S83" s="52" t="n">
        <v>2</v>
      </c>
      <c r="T83" s="52" t="s">
        <v>106</v>
      </c>
      <c r="U83" s="52"/>
      <c r="V83" s="56" t="n">
        <v>0</v>
      </c>
      <c r="W83" s="50" t="s">
        <v>86</v>
      </c>
      <c r="X83" s="52"/>
      <c r="Y83" s="52" t="s">
        <v>293</v>
      </c>
      <c r="AA83" s="48"/>
      <c r="AB83" s="48"/>
      <c r="AC83" s="48"/>
      <c r="AD83" s="48"/>
      <c r="AE83" s="48"/>
      <c r="AF83" s="48"/>
      <c r="AG83" s="48"/>
      <c r="AH83" s="48"/>
      <c r="AI83" s="48"/>
      <c r="AJ83" s="48"/>
      <c r="AK83" s="48"/>
      <c r="AL83" s="48"/>
      <c r="AM83" s="48"/>
      <c r="AN83" s="48"/>
      <c r="AO83" s="48"/>
      <c r="AP83" s="48"/>
      <c r="AQ83" s="48"/>
      <c r="AR83" s="48"/>
      <c r="AS83" s="48"/>
      <c r="AT83" s="48"/>
      <c r="AU83" s="48"/>
      <c r="AV83" s="48"/>
      <c r="AW83" s="48"/>
      <c r="AX83" s="48"/>
      <c r="AY83" s="48"/>
      <c r="AZ83" s="48"/>
      <c r="BA83" s="48"/>
      <c r="BB83" s="48"/>
      <c r="BC83" s="48"/>
      <c r="BD83" s="48"/>
      <c r="BE83" s="48"/>
      <c r="BF83" s="48"/>
      <c r="BG83" s="48"/>
      <c r="BH83" s="48"/>
      <c r="BI83" s="48"/>
      <c r="BJ83" s="48"/>
      <c r="BK83" s="48"/>
      <c r="BL83" s="48"/>
      <c r="BM83" s="48"/>
      <c r="BN83" s="48"/>
      <c r="BO83" s="48"/>
      <c r="BP83" s="48"/>
      <c r="BQ83" s="48"/>
      <c r="BR83" s="48"/>
      <c r="BS83" s="48"/>
      <c r="BT83" s="48"/>
      <c r="BU83" s="48"/>
      <c r="BV83" s="48"/>
    </row>
    <row r="84" customFormat="false" ht="15" hidden="true" customHeight="true" outlineLevel="1" collapsed="false">
      <c r="A84" s="49" t="s">
        <v>378</v>
      </c>
      <c r="B84" s="50" t="s">
        <v>379</v>
      </c>
      <c r="C84" s="50" t="s">
        <v>380</v>
      </c>
      <c r="D84" s="50" t="s">
        <v>91</v>
      </c>
      <c r="E84" s="51" t="n">
        <v>1</v>
      </c>
      <c r="F84" s="52"/>
      <c r="G84" s="52"/>
      <c r="H84" s="52"/>
      <c r="I84" s="53" t="n">
        <v>46383</v>
      </c>
      <c r="J84" s="53" t="n">
        <v>46385</v>
      </c>
      <c r="K84" s="52"/>
      <c r="L84" s="52"/>
      <c r="M84" s="54" t="s">
        <v>381</v>
      </c>
      <c r="N84" s="55" t="n">
        <v>46346</v>
      </c>
      <c r="O84" s="55" t="n">
        <v>46347</v>
      </c>
      <c r="P84" s="50" t="s">
        <v>105</v>
      </c>
      <c r="Q84" s="52" t="n">
        <v>-38</v>
      </c>
      <c r="R84" s="52"/>
      <c r="S84" s="52" t="n">
        <v>2</v>
      </c>
      <c r="T84" s="52" t="s">
        <v>106</v>
      </c>
      <c r="U84" s="52"/>
      <c r="V84" s="56" t="n">
        <v>0</v>
      </c>
      <c r="W84" s="50" t="s">
        <v>86</v>
      </c>
      <c r="X84" s="52"/>
      <c r="Y84" s="52" t="s">
        <v>293</v>
      </c>
      <c r="AA84" s="48"/>
      <c r="AB84" s="48"/>
      <c r="AC84" s="48"/>
      <c r="AD84" s="48"/>
      <c r="AE84" s="48"/>
      <c r="AF84" s="48"/>
      <c r="AG84" s="48"/>
      <c r="AH84" s="48"/>
      <c r="AI84" s="48"/>
      <c r="AJ84" s="48"/>
      <c r="AK84" s="48"/>
      <c r="AL84" s="48"/>
      <c r="AM84" s="48"/>
      <c r="AN84" s="48"/>
      <c r="AO84" s="48"/>
      <c r="AP84" s="48"/>
      <c r="AQ84" s="48"/>
      <c r="AR84" s="48"/>
      <c r="AS84" s="48"/>
      <c r="AT84" s="48"/>
      <c r="AU84" s="48"/>
      <c r="AV84" s="48"/>
      <c r="AW84" s="48"/>
      <c r="AX84" s="48"/>
      <c r="AY84" s="48"/>
      <c r="AZ84" s="48"/>
      <c r="BA84" s="48"/>
      <c r="BB84" s="48"/>
      <c r="BC84" s="48"/>
      <c r="BD84" s="48"/>
      <c r="BE84" s="48"/>
      <c r="BF84" s="48"/>
      <c r="BG84" s="48"/>
      <c r="BH84" s="48"/>
      <c r="BI84" s="48"/>
      <c r="BJ84" s="48"/>
      <c r="BK84" s="48"/>
      <c r="BL84" s="48"/>
      <c r="BM84" s="48"/>
      <c r="BN84" s="48"/>
      <c r="BO84" s="48"/>
      <c r="BP84" s="48"/>
      <c r="BQ84" s="48"/>
      <c r="BR84" s="48"/>
      <c r="BS84" s="48"/>
      <c r="BT84" s="48"/>
      <c r="BU84" s="48"/>
      <c r="BV84" s="48"/>
    </row>
    <row r="85" customFormat="false" ht="15" hidden="false" customHeight="true" outlineLevel="0" collapsed="false">
      <c r="A85" s="37" t="s">
        <v>382</v>
      </c>
      <c r="B85" s="39" t="s">
        <v>383</v>
      </c>
      <c r="C85" s="38" t="s">
        <v>384</v>
      </c>
      <c r="D85" s="39" t="s">
        <v>290</v>
      </c>
      <c r="E85" s="40" t="n">
        <v>15</v>
      </c>
      <c r="F85" s="39" t="s">
        <v>324</v>
      </c>
      <c r="G85" s="37"/>
      <c r="H85" s="37" t="n">
        <v>4</v>
      </c>
      <c r="I85" s="41" t="n">
        <v>46378</v>
      </c>
      <c r="J85" s="41" t="n">
        <v>46386</v>
      </c>
      <c r="K85" s="42"/>
      <c r="L85" s="42"/>
      <c r="M85" s="43"/>
      <c r="N85" s="44" t="n">
        <v>46343</v>
      </c>
      <c r="O85" s="45" t="n">
        <v>46346</v>
      </c>
      <c r="P85" s="46" t="s">
        <v>105</v>
      </c>
      <c r="Q85" s="37" t="n">
        <v>-40</v>
      </c>
      <c r="R85" s="39"/>
      <c r="S85" s="39" t="n">
        <v>1</v>
      </c>
      <c r="T85" s="39" t="s">
        <v>106</v>
      </c>
      <c r="U85" s="57" t="n">
        <v>46343.0085</v>
      </c>
      <c r="V85" s="47" t="n">
        <v>0</v>
      </c>
      <c r="W85" s="39" t="s">
        <v>86</v>
      </c>
      <c r="X85" s="39" t="s">
        <v>385</v>
      </c>
      <c r="Y85" s="38" t="s">
        <v>293</v>
      </c>
      <c r="AA85" s="48"/>
      <c r="AB85" s="48"/>
      <c r="AC85" s="48"/>
      <c r="AD85" s="48"/>
      <c r="AE85" s="48"/>
      <c r="AF85" s="48"/>
      <c r="AG85" s="48"/>
      <c r="AH85" s="48"/>
      <c r="AI85" s="48"/>
      <c r="AJ85" s="48"/>
      <c r="AK85" s="48"/>
      <c r="AL85" s="48"/>
      <c r="AM85" s="48"/>
      <c r="AN85" s="48"/>
      <c r="AO85" s="48"/>
      <c r="AP85" s="48"/>
      <c r="AQ85" s="48"/>
      <c r="AR85" s="48"/>
      <c r="AS85" s="48"/>
      <c r="AT85" s="48"/>
      <c r="AU85" s="48"/>
      <c r="AV85" s="48"/>
      <c r="AW85" s="48"/>
      <c r="AX85" s="48"/>
      <c r="AY85" s="48"/>
      <c r="AZ85" s="48"/>
      <c r="BA85" s="48"/>
      <c r="BB85" s="48"/>
      <c r="BC85" s="48"/>
      <c r="BD85" s="48"/>
      <c r="BE85" s="48"/>
      <c r="BF85" s="48"/>
      <c r="BG85" s="48"/>
      <c r="BH85" s="48"/>
      <c r="BI85" s="48"/>
      <c r="BJ85" s="48"/>
      <c r="BK85" s="48"/>
      <c r="BL85" s="48"/>
      <c r="BM85" s="48"/>
      <c r="BN85" s="48"/>
      <c r="BO85" s="48"/>
      <c r="BP85" s="48"/>
      <c r="BQ85" s="48"/>
      <c r="BR85" s="48"/>
      <c r="BS85" s="48"/>
      <c r="BT85" s="48"/>
      <c r="BU85" s="48"/>
      <c r="BV85" s="48"/>
    </row>
    <row r="86" customFormat="false" ht="15" hidden="true" customHeight="true" outlineLevel="1" collapsed="false">
      <c r="A86" s="49" t="s">
        <v>386</v>
      </c>
      <c r="B86" s="52" t="s">
        <v>387</v>
      </c>
      <c r="C86" s="52" t="s">
        <v>388</v>
      </c>
      <c r="D86" s="50" t="s">
        <v>91</v>
      </c>
      <c r="E86" s="51" t="n">
        <v>5</v>
      </c>
      <c r="F86" s="52"/>
      <c r="G86" s="52"/>
      <c r="H86" s="52"/>
      <c r="I86" s="53" t="n">
        <v>46378</v>
      </c>
      <c r="J86" s="53" t="n">
        <v>46382</v>
      </c>
      <c r="K86" s="52"/>
      <c r="L86" s="52"/>
      <c r="M86" s="54" t="s">
        <v>389</v>
      </c>
      <c r="N86" s="55" t="n">
        <v>46343</v>
      </c>
      <c r="O86" s="55" t="n">
        <v>46345</v>
      </c>
      <c r="P86" s="50" t="s">
        <v>105</v>
      </c>
      <c r="Q86" s="52" t="n">
        <v>-37</v>
      </c>
      <c r="R86" s="52"/>
      <c r="S86" s="52" t="n">
        <v>2</v>
      </c>
      <c r="T86" s="52" t="s">
        <v>106</v>
      </c>
      <c r="U86" s="52"/>
      <c r="V86" s="56" t="n">
        <v>0</v>
      </c>
      <c r="W86" s="50" t="s">
        <v>86</v>
      </c>
      <c r="X86" s="52"/>
      <c r="Y86" s="52" t="s">
        <v>293</v>
      </c>
      <c r="AA86" s="48"/>
      <c r="AB86" s="48"/>
      <c r="AC86" s="48"/>
      <c r="AD86" s="48"/>
      <c r="AE86" s="48"/>
      <c r="AF86" s="48"/>
      <c r="AG86" s="48"/>
      <c r="AH86" s="48"/>
      <c r="AI86" s="48"/>
      <c r="AJ86" s="48"/>
      <c r="AK86" s="48"/>
      <c r="AL86" s="48"/>
      <c r="AM86" s="48"/>
      <c r="AN86" s="48"/>
      <c r="AO86" s="48"/>
      <c r="AP86" s="48"/>
      <c r="AQ86" s="48"/>
      <c r="AR86" s="48"/>
      <c r="AS86" s="48"/>
      <c r="AT86" s="48"/>
      <c r="AU86" s="48"/>
      <c r="AV86" s="48"/>
      <c r="AW86" s="48"/>
      <c r="AX86" s="48"/>
      <c r="AY86" s="48"/>
      <c r="AZ86" s="48"/>
      <c r="BA86" s="48"/>
      <c r="BB86" s="48"/>
      <c r="BC86" s="48"/>
      <c r="BD86" s="48"/>
      <c r="BE86" s="48"/>
      <c r="BF86" s="48"/>
      <c r="BG86" s="48"/>
      <c r="BH86" s="48"/>
      <c r="BI86" s="48"/>
      <c r="BJ86" s="48"/>
      <c r="BK86" s="48"/>
      <c r="BL86" s="48"/>
      <c r="BM86" s="48"/>
      <c r="BN86" s="48"/>
      <c r="BO86" s="48"/>
      <c r="BP86" s="48"/>
      <c r="BQ86" s="48"/>
      <c r="BR86" s="48"/>
      <c r="BS86" s="48"/>
      <c r="BT86" s="48"/>
      <c r="BU86" s="48"/>
      <c r="BV86" s="48"/>
    </row>
    <row r="87" customFormat="false" ht="15" hidden="true" customHeight="true" outlineLevel="1" collapsed="false">
      <c r="A87" s="49" t="s">
        <v>390</v>
      </c>
      <c r="B87" s="52" t="s">
        <v>391</v>
      </c>
      <c r="C87" s="52" t="s">
        <v>392</v>
      </c>
      <c r="D87" s="50" t="s">
        <v>91</v>
      </c>
      <c r="E87" s="51" t="n">
        <v>6.5</v>
      </c>
      <c r="F87" s="52"/>
      <c r="G87" s="52"/>
      <c r="H87" s="52"/>
      <c r="I87" s="53" t="n">
        <v>46381</v>
      </c>
      <c r="J87" s="53" t="n">
        <v>46385</v>
      </c>
      <c r="K87" s="52"/>
      <c r="L87" s="52"/>
      <c r="M87" s="54" t="s">
        <v>393</v>
      </c>
      <c r="N87" s="55" t="n">
        <v>46344</v>
      </c>
      <c r="O87" s="55" t="n">
        <v>46346</v>
      </c>
      <c r="P87" s="50" t="s">
        <v>105</v>
      </c>
      <c r="Q87" s="52" t="n">
        <v>-39</v>
      </c>
      <c r="R87" s="52"/>
      <c r="S87" s="52" t="n">
        <v>2</v>
      </c>
      <c r="T87" s="52" t="s">
        <v>106</v>
      </c>
      <c r="U87" s="52"/>
      <c r="V87" s="56" t="n">
        <v>0</v>
      </c>
      <c r="W87" s="50" t="s">
        <v>86</v>
      </c>
      <c r="X87" s="52"/>
      <c r="Y87" s="52" t="s">
        <v>293</v>
      </c>
      <c r="AA87" s="48"/>
      <c r="AB87" s="48"/>
      <c r="AC87" s="48"/>
      <c r="AD87" s="48"/>
      <c r="AE87" s="48"/>
      <c r="AF87" s="48"/>
      <c r="AG87" s="48"/>
      <c r="AH87" s="48"/>
      <c r="AI87" s="48"/>
      <c r="AJ87" s="48"/>
      <c r="AK87" s="48"/>
      <c r="AL87" s="48"/>
      <c r="AM87" s="48"/>
      <c r="AN87" s="48"/>
      <c r="AO87" s="48"/>
      <c r="AP87" s="48"/>
      <c r="AQ87" s="48"/>
      <c r="AR87" s="48"/>
      <c r="AS87" s="48"/>
      <c r="AT87" s="48"/>
      <c r="AU87" s="48"/>
      <c r="AV87" s="48"/>
      <c r="AW87" s="48"/>
      <c r="AX87" s="48"/>
      <c r="AY87" s="48"/>
      <c r="AZ87" s="48"/>
      <c r="BA87" s="48"/>
      <c r="BB87" s="48"/>
      <c r="BC87" s="48"/>
      <c r="BD87" s="48"/>
      <c r="BE87" s="48"/>
      <c r="BF87" s="48"/>
      <c r="BG87" s="48"/>
      <c r="BH87" s="48"/>
      <c r="BI87" s="48"/>
      <c r="BJ87" s="48"/>
      <c r="BK87" s="48"/>
      <c r="BL87" s="48"/>
      <c r="BM87" s="48"/>
      <c r="BN87" s="48"/>
      <c r="BO87" s="48"/>
      <c r="BP87" s="48"/>
      <c r="BQ87" s="48"/>
      <c r="BR87" s="48"/>
      <c r="BS87" s="48"/>
      <c r="BT87" s="48"/>
      <c r="BU87" s="48"/>
      <c r="BV87" s="48"/>
    </row>
    <row r="88" customFormat="false" ht="15" hidden="true" customHeight="true" outlineLevel="1" collapsed="false">
      <c r="A88" s="49" t="s">
        <v>394</v>
      </c>
      <c r="B88" s="50" t="s">
        <v>395</v>
      </c>
      <c r="C88" s="50" t="s">
        <v>396</v>
      </c>
      <c r="D88" s="50" t="s">
        <v>91</v>
      </c>
      <c r="E88" s="51" t="n">
        <v>2.5</v>
      </c>
      <c r="F88" s="52"/>
      <c r="G88" s="52"/>
      <c r="H88" s="52"/>
      <c r="I88" s="53" t="n">
        <v>46383</v>
      </c>
      <c r="J88" s="53" t="n">
        <v>46386</v>
      </c>
      <c r="K88" s="52"/>
      <c r="L88" s="52"/>
      <c r="M88" s="54" t="s">
        <v>397</v>
      </c>
      <c r="N88" s="55" t="n">
        <v>46345</v>
      </c>
      <c r="O88" s="55" t="n">
        <v>46346</v>
      </c>
      <c r="P88" s="50" t="s">
        <v>105</v>
      </c>
      <c r="Q88" s="52" t="n">
        <v>-40</v>
      </c>
      <c r="R88" s="52"/>
      <c r="S88" s="52" t="n">
        <v>2</v>
      </c>
      <c r="T88" s="52" t="s">
        <v>106</v>
      </c>
      <c r="U88" s="52"/>
      <c r="V88" s="56" t="n">
        <v>0</v>
      </c>
      <c r="W88" s="50" t="s">
        <v>86</v>
      </c>
      <c r="X88" s="52"/>
      <c r="Y88" s="52" t="s">
        <v>293</v>
      </c>
      <c r="AA88" s="48"/>
      <c r="AB88" s="48"/>
      <c r="AC88" s="48"/>
      <c r="AD88" s="48"/>
      <c r="AE88" s="48"/>
      <c r="AF88" s="48"/>
      <c r="AG88" s="48"/>
      <c r="AH88" s="48"/>
      <c r="AI88" s="48"/>
      <c r="AJ88" s="48"/>
      <c r="AK88" s="48"/>
      <c r="AL88" s="48"/>
      <c r="AM88" s="48"/>
      <c r="AN88" s="48"/>
      <c r="AO88" s="48"/>
      <c r="AP88" s="48"/>
      <c r="AQ88" s="48"/>
      <c r="AR88" s="48"/>
      <c r="AS88" s="48"/>
      <c r="AT88" s="48"/>
      <c r="AU88" s="48"/>
      <c r="AV88" s="48"/>
      <c r="AW88" s="48"/>
      <c r="AX88" s="48"/>
      <c r="AY88" s="48"/>
      <c r="AZ88" s="48"/>
      <c r="BA88" s="48"/>
      <c r="BB88" s="48"/>
      <c r="BC88" s="48"/>
      <c r="BD88" s="48"/>
      <c r="BE88" s="48"/>
      <c r="BF88" s="48"/>
      <c r="BG88" s="48"/>
      <c r="BH88" s="48"/>
      <c r="BI88" s="48"/>
      <c r="BJ88" s="48"/>
      <c r="BK88" s="48"/>
      <c r="BL88" s="48"/>
      <c r="BM88" s="48"/>
      <c r="BN88" s="48"/>
      <c r="BO88" s="48"/>
      <c r="BP88" s="48"/>
      <c r="BQ88" s="48"/>
      <c r="BR88" s="48"/>
      <c r="BS88" s="48"/>
      <c r="BT88" s="48"/>
      <c r="BU88" s="48"/>
      <c r="BV88" s="48"/>
    </row>
    <row r="89" customFormat="false" ht="15" hidden="true" customHeight="true" outlineLevel="1" collapsed="false">
      <c r="A89" s="49" t="s">
        <v>398</v>
      </c>
      <c r="B89" s="52" t="s">
        <v>399</v>
      </c>
      <c r="C89" s="50" t="s">
        <v>400</v>
      </c>
      <c r="D89" s="50" t="s">
        <v>91</v>
      </c>
      <c r="E89" s="51" t="n">
        <v>1</v>
      </c>
      <c r="F89" s="52"/>
      <c r="G89" s="52"/>
      <c r="H89" s="52"/>
      <c r="I89" s="53" t="n">
        <v>46385</v>
      </c>
      <c r="J89" s="53" t="n">
        <v>46386</v>
      </c>
      <c r="K89" s="52"/>
      <c r="L89" s="52"/>
      <c r="M89" s="54" t="s">
        <v>401</v>
      </c>
      <c r="N89" s="55" t="n">
        <v>46346</v>
      </c>
      <c r="O89" s="55" t="n">
        <v>46346</v>
      </c>
      <c r="P89" s="50" t="s">
        <v>105</v>
      </c>
      <c r="Q89" s="52" t="n">
        <v>-40</v>
      </c>
      <c r="R89" s="52"/>
      <c r="S89" s="52" t="n">
        <v>2</v>
      </c>
      <c r="T89" s="52" t="s">
        <v>106</v>
      </c>
      <c r="U89" s="52"/>
      <c r="V89" s="56" t="n">
        <v>0</v>
      </c>
      <c r="W89" s="50" t="s">
        <v>86</v>
      </c>
      <c r="X89" s="52"/>
      <c r="Y89" s="52" t="s">
        <v>293</v>
      </c>
      <c r="AA89" s="48"/>
      <c r="AB89" s="48"/>
      <c r="AC89" s="48"/>
      <c r="AD89" s="48"/>
      <c r="AE89" s="48"/>
      <c r="AF89" s="48"/>
      <c r="AG89" s="48"/>
      <c r="AH89" s="48"/>
      <c r="AI89" s="48"/>
      <c r="AJ89" s="48"/>
      <c r="AK89" s="48"/>
      <c r="AL89" s="48"/>
      <c r="AM89" s="48"/>
      <c r="AN89" s="48"/>
      <c r="AO89" s="48"/>
      <c r="AP89" s="48"/>
      <c r="AQ89" s="48"/>
      <c r="AR89" s="48"/>
      <c r="AS89" s="48"/>
      <c r="AT89" s="48"/>
      <c r="AU89" s="48"/>
      <c r="AV89" s="48"/>
      <c r="AW89" s="48"/>
      <c r="AX89" s="48"/>
      <c r="AY89" s="48"/>
      <c r="AZ89" s="48"/>
      <c r="BA89" s="48"/>
      <c r="BB89" s="48"/>
      <c r="BC89" s="48"/>
      <c r="BD89" s="48"/>
      <c r="BE89" s="48"/>
      <c r="BF89" s="48"/>
      <c r="BG89" s="48"/>
      <c r="BH89" s="48"/>
      <c r="BI89" s="48"/>
      <c r="BJ89" s="48"/>
      <c r="BK89" s="48"/>
      <c r="BL89" s="48"/>
      <c r="BM89" s="48"/>
      <c r="BN89" s="48"/>
      <c r="BO89" s="48"/>
      <c r="BP89" s="48"/>
      <c r="BQ89" s="48"/>
      <c r="BR89" s="48"/>
      <c r="BS89" s="48"/>
      <c r="BT89" s="48"/>
      <c r="BU89" s="48"/>
      <c r="BV89" s="48"/>
    </row>
    <row r="90" customFormat="false" ht="15" hidden="false" customHeight="true" outlineLevel="0" collapsed="false">
      <c r="A90" s="37" t="s">
        <v>402</v>
      </c>
      <c r="B90" s="39" t="s">
        <v>403</v>
      </c>
      <c r="C90" s="39" t="s">
        <v>404</v>
      </c>
      <c r="D90" s="39" t="s">
        <v>290</v>
      </c>
      <c r="E90" s="40" t="n">
        <v>10</v>
      </c>
      <c r="F90" s="39" t="s">
        <v>348</v>
      </c>
      <c r="G90" s="37"/>
      <c r="H90" s="37" t="n">
        <v>4</v>
      </c>
      <c r="I90" s="41" t="n">
        <v>46378</v>
      </c>
      <c r="J90" s="41" t="n">
        <v>46387</v>
      </c>
      <c r="K90" s="42"/>
      <c r="L90" s="42"/>
      <c r="M90" s="43"/>
      <c r="N90" s="44" t="n">
        <v>46344</v>
      </c>
      <c r="O90" s="45" t="n">
        <v>46347</v>
      </c>
      <c r="P90" s="46" t="s">
        <v>105</v>
      </c>
      <c r="Q90" s="37" t="n">
        <v>-40</v>
      </c>
      <c r="R90" s="39"/>
      <c r="S90" s="39" t="n">
        <v>1</v>
      </c>
      <c r="T90" s="39" t="s">
        <v>106</v>
      </c>
      <c r="U90" s="57" t="n">
        <v>46344.009</v>
      </c>
      <c r="V90" s="47" t="n">
        <v>0</v>
      </c>
      <c r="W90" s="39" t="s">
        <v>86</v>
      </c>
      <c r="X90" s="39" t="s">
        <v>405</v>
      </c>
      <c r="Y90" s="39"/>
      <c r="AA90" s="48"/>
      <c r="AB90" s="48"/>
      <c r="AC90" s="48"/>
      <c r="AD90" s="48"/>
      <c r="AE90" s="48"/>
      <c r="AF90" s="48"/>
      <c r="AG90" s="48"/>
      <c r="AH90" s="48"/>
      <c r="AI90" s="48"/>
      <c r="AJ90" s="48"/>
      <c r="AK90" s="48"/>
      <c r="AL90" s="48"/>
      <c r="AM90" s="48"/>
      <c r="AN90" s="48"/>
      <c r="AO90" s="48"/>
      <c r="AP90" s="48"/>
      <c r="AQ90" s="48"/>
      <c r="AR90" s="48"/>
      <c r="AS90" s="48"/>
      <c r="AT90" s="48"/>
      <c r="AU90" s="48"/>
      <c r="AV90" s="48"/>
      <c r="AW90" s="48"/>
      <c r="AX90" s="48"/>
      <c r="AY90" s="48"/>
      <c r="AZ90" s="48"/>
      <c r="BA90" s="48"/>
      <c r="BB90" s="48"/>
      <c r="BC90" s="48"/>
      <c r="BD90" s="48"/>
      <c r="BE90" s="48"/>
      <c r="BF90" s="48"/>
      <c r="BG90" s="48"/>
      <c r="BH90" s="48"/>
      <c r="BI90" s="48"/>
      <c r="BJ90" s="48"/>
      <c r="BK90" s="48"/>
      <c r="BL90" s="48"/>
      <c r="BM90" s="48"/>
      <c r="BN90" s="48"/>
      <c r="BO90" s="48"/>
      <c r="BP90" s="48"/>
      <c r="BQ90" s="48"/>
      <c r="BR90" s="48"/>
      <c r="BS90" s="48"/>
      <c r="BT90" s="48"/>
      <c r="BU90" s="48"/>
      <c r="BV90" s="48"/>
    </row>
    <row r="91" customFormat="false" ht="15" hidden="true" customHeight="true" outlineLevel="1" collapsed="false">
      <c r="A91" s="49" t="s">
        <v>406</v>
      </c>
      <c r="B91" s="50" t="s">
        <v>407</v>
      </c>
      <c r="C91" s="50" t="s">
        <v>408</v>
      </c>
      <c r="D91" s="50" t="s">
        <v>91</v>
      </c>
      <c r="E91" s="51" t="n">
        <v>4</v>
      </c>
      <c r="F91" s="52"/>
      <c r="G91" s="52"/>
      <c r="H91" s="52"/>
      <c r="I91" s="53" t="n">
        <v>46378</v>
      </c>
      <c r="J91" s="53" t="n">
        <v>46383</v>
      </c>
      <c r="K91" s="52"/>
      <c r="L91" s="52"/>
      <c r="M91" s="54" t="s">
        <v>409</v>
      </c>
      <c r="N91" s="55" t="n">
        <v>46344</v>
      </c>
      <c r="O91" s="55" t="n">
        <v>46346</v>
      </c>
      <c r="P91" s="50" t="s">
        <v>105</v>
      </c>
      <c r="Q91" s="52" t="n">
        <v>-37</v>
      </c>
      <c r="R91" s="52"/>
      <c r="S91" s="52" t="n">
        <v>2</v>
      </c>
      <c r="T91" s="52" t="s">
        <v>106</v>
      </c>
      <c r="U91" s="52"/>
      <c r="V91" s="56" t="n">
        <v>0</v>
      </c>
      <c r="W91" s="50" t="s">
        <v>86</v>
      </c>
      <c r="X91" s="52"/>
      <c r="Y91" s="52"/>
      <c r="AA91" s="48"/>
      <c r="AB91" s="48"/>
      <c r="AC91" s="48"/>
      <c r="AD91" s="48"/>
      <c r="AE91" s="48"/>
      <c r="AF91" s="48"/>
      <c r="AG91" s="48"/>
      <c r="AH91" s="48"/>
      <c r="AI91" s="48"/>
      <c r="AJ91" s="48"/>
      <c r="AK91" s="48"/>
      <c r="AL91" s="48"/>
      <c r="AM91" s="48"/>
      <c r="AN91" s="48"/>
      <c r="AO91" s="48"/>
      <c r="AP91" s="48"/>
      <c r="AQ91" s="48"/>
      <c r="AR91" s="48"/>
      <c r="AS91" s="48"/>
      <c r="AT91" s="48"/>
      <c r="AU91" s="48"/>
      <c r="AV91" s="48"/>
      <c r="AW91" s="48"/>
      <c r="AX91" s="48"/>
      <c r="AY91" s="48"/>
      <c r="AZ91" s="48"/>
      <c r="BA91" s="48"/>
      <c r="BB91" s="48"/>
      <c r="BC91" s="48"/>
      <c r="BD91" s="48"/>
      <c r="BE91" s="48"/>
      <c r="BF91" s="48"/>
      <c r="BG91" s="48"/>
      <c r="BH91" s="48"/>
      <c r="BI91" s="48"/>
      <c r="BJ91" s="48"/>
      <c r="BK91" s="48"/>
      <c r="BL91" s="48"/>
      <c r="BM91" s="48"/>
      <c r="BN91" s="48"/>
      <c r="BO91" s="48"/>
      <c r="BP91" s="48"/>
      <c r="BQ91" s="48"/>
      <c r="BR91" s="48"/>
      <c r="BS91" s="48"/>
      <c r="BT91" s="48"/>
      <c r="BU91" s="48"/>
      <c r="BV91" s="48"/>
    </row>
    <row r="92" customFormat="false" ht="15" hidden="true" customHeight="true" outlineLevel="1" collapsed="false">
      <c r="A92" s="49" t="s">
        <v>410</v>
      </c>
      <c r="B92" s="52" t="s">
        <v>411</v>
      </c>
      <c r="C92" s="52" t="s">
        <v>412</v>
      </c>
      <c r="D92" s="50" t="s">
        <v>91</v>
      </c>
      <c r="E92" s="51" t="n">
        <v>1.5</v>
      </c>
      <c r="F92" s="52"/>
      <c r="G92" s="52"/>
      <c r="H92" s="52"/>
      <c r="I92" s="53" t="n">
        <v>46383</v>
      </c>
      <c r="J92" s="53" t="n">
        <v>46387</v>
      </c>
      <c r="K92" s="52"/>
      <c r="L92" s="52"/>
      <c r="M92" s="54" t="s">
        <v>413</v>
      </c>
      <c r="N92" s="55" t="n">
        <v>46346</v>
      </c>
      <c r="O92" s="55" t="n">
        <v>46347</v>
      </c>
      <c r="P92" s="50" t="s">
        <v>105</v>
      </c>
      <c r="Q92" s="52" t="n">
        <v>-40</v>
      </c>
      <c r="R92" s="52"/>
      <c r="S92" s="52" t="n">
        <v>2</v>
      </c>
      <c r="T92" s="52" t="s">
        <v>106</v>
      </c>
      <c r="U92" s="52"/>
      <c r="V92" s="56" t="n">
        <v>0</v>
      </c>
      <c r="W92" s="50" t="s">
        <v>86</v>
      </c>
      <c r="X92" s="52"/>
      <c r="Y92" s="52"/>
      <c r="AA92" s="48"/>
      <c r="AB92" s="48"/>
      <c r="AC92" s="48"/>
      <c r="AD92" s="48"/>
      <c r="AE92" s="48"/>
      <c r="AF92" s="48"/>
      <c r="AG92" s="48"/>
      <c r="AH92" s="48"/>
      <c r="AI92" s="48"/>
      <c r="AJ92" s="48"/>
      <c r="AK92" s="48"/>
      <c r="AL92" s="48"/>
      <c r="AM92" s="48"/>
      <c r="AN92" s="48"/>
      <c r="AO92" s="48"/>
      <c r="AP92" s="48"/>
      <c r="AQ92" s="48"/>
      <c r="AR92" s="48"/>
      <c r="AS92" s="48"/>
      <c r="AT92" s="48"/>
      <c r="AU92" s="48"/>
      <c r="AV92" s="48"/>
      <c r="AW92" s="48"/>
      <c r="AX92" s="48"/>
      <c r="AY92" s="48"/>
      <c r="AZ92" s="48"/>
      <c r="BA92" s="48"/>
      <c r="BB92" s="48"/>
      <c r="BC92" s="48"/>
      <c r="BD92" s="48"/>
      <c r="BE92" s="48"/>
      <c r="BF92" s="48"/>
      <c r="BG92" s="48"/>
      <c r="BH92" s="48"/>
      <c r="BI92" s="48"/>
      <c r="BJ92" s="48"/>
      <c r="BK92" s="48"/>
      <c r="BL92" s="48"/>
      <c r="BM92" s="48"/>
      <c r="BN92" s="48"/>
      <c r="BO92" s="48"/>
      <c r="BP92" s="48"/>
      <c r="BQ92" s="48"/>
      <c r="BR92" s="48"/>
      <c r="BS92" s="48"/>
      <c r="BT92" s="48"/>
      <c r="BU92" s="48"/>
      <c r="BV92" s="48"/>
    </row>
    <row r="93" customFormat="false" ht="15" hidden="true" customHeight="true" outlineLevel="1" collapsed="false">
      <c r="A93" s="49" t="s">
        <v>414</v>
      </c>
      <c r="B93" s="50" t="s">
        <v>415</v>
      </c>
      <c r="C93" s="50" t="s">
        <v>416</v>
      </c>
      <c r="D93" s="50" t="s">
        <v>91</v>
      </c>
      <c r="E93" s="51" t="n">
        <v>3</v>
      </c>
      <c r="F93" s="52"/>
      <c r="G93" s="52"/>
      <c r="H93" s="52"/>
      <c r="I93" s="53" t="n">
        <v>46378</v>
      </c>
      <c r="J93" s="53" t="n">
        <v>46382</v>
      </c>
      <c r="K93" s="52"/>
      <c r="L93" s="52"/>
      <c r="M93" s="54" t="s">
        <v>417</v>
      </c>
      <c r="N93" s="55" t="n">
        <v>46344</v>
      </c>
      <c r="O93" s="55" t="n">
        <v>46346</v>
      </c>
      <c r="P93" s="50" t="s">
        <v>105</v>
      </c>
      <c r="Q93" s="52" t="n">
        <v>-36</v>
      </c>
      <c r="R93" s="52"/>
      <c r="S93" s="52" t="n">
        <v>2</v>
      </c>
      <c r="T93" s="52" t="s">
        <v>106</v>
      </c>
      <c r="U93" s="52"/>
      <c r="V93" s="56" t="n">
        <v>0</v>
      </c>
      <c r="W93" s="50" t="s">
        <v>86</v>
      </c>
      <c r="X93" s="52"/>
      <c r="Y93" s="52"/>
      <c r="AA93" s="48"/>
      <c r="AB93" s="48"/>
      <c r="AC93" s="48"/>
      <c r="AD93" s="48"/>
      <c r="AE93" s="48"/>
      <c r="AF93" s="48"/>
      <c r="AG93" s="48"/>
      <c r="AH93" s="48"/>
      <c r="AI93" s="48"/>
      <c r="AJ93" s="48"/>
      <c r="AK93" s="48"/>
      <c r="AL93" s="48"/>
      <c r="AM93" s="48"/>
      <c r="AN93" s="48"/>
      <c r="AO93" s="48"/>
      <c r="AP93" s="48"/>
      <c r="AQ93" s="48"/>
      <c r="AR93" s="48"/>
      <c r="AS93" s="48"/>
      <c r="AT93" s="48"/>
      <c r="AU93" s="48"/>
      <c r="AV93" s="48"/>
      <c r="AW93" s="48"/>
      <c r="AX93" s="48"/>
      <c r="AY93" s="48"/>
      <c r="AZ93" s="48"/>
      <c r="BA93" s="48"/>
      <c r="BB93" s="48"/>
      <c r="BC93" s="48"/>
      <c r="BD93" s="48"/>
      <c r="BE93" s="48"/>
      <c r="BF93" s="48"/>
      <c r="BG93" s="48"/>
      <c r="BH93" s="48"/>
      <c r="BI93" s="48"/>
      <c r="BJ93" s="48"/>
      <c r="BK93" s="48"/>
      <c r="BL93" s="48"/>
      <c r="BM93" s="48"/>
      <c r="BN93" s="48"/>
      <c r="BO93" s="48"/>
      <c r="BP93" s="48"/>
      <c r="BQ93" s="48"/>
      <c r="BR93" s="48"/>
      <c r="BS93" s="48"/>
      <c r="BT93" s="48"/>
      <c r="BU93" s="48"/>
      <c r="BV93" s="48"/>
    </row>
    <row r="94" customFormat="false" ht="15" hidden="true" customHeight="true" outlineLevel="1" collapsed="false">
      <c r="A94" s="49" t="s">
        <v>418</v>
      </c>
      <c r="B94" s="50" t="s">
        <v>419</v>
      </c>
      <c r="C94" s="50" t="s">
        <v>420</v>
      </c>
      <c r="D94" s="50" t="s">
        <v>91</v>
      </c>
      <c r="E94" s="51" t="n">
        <v>1</v>
      </c>
      <c r="F94" s="52"/>
      <c r="G94" s="52"/>
      <c r="H94" s="52"/>
      <c r="I94" s="53" t="n">
        <v>46382</v>
      </c>
      <c r="J94" s="53" t="n">
        <v>46387</v>
      </c>
      <c r="K94" s="52"/>
      <c r="L94" s="52"/>
      <c r="M94" s="54" t="s">
        <v>421</v>
      </c>
      <c r="N94" s="55" t="n">
        <v>46346</v>
      </c>
      <c r="O94" s="55" t="n">
        <v>46347</v>
      </c>
      <c r="P94" s="50" t="s">
        <v>105</v>
      </c>
      <c r="Q94" s="52" t="n">
        <v>-40</v>
      </c>
      <c r="R94" s="52"/>
      <c r="S94" s="52" t="n">
        <v>2</v>
      </c>
      <c r="T94" s="52" t="s">
        <v>106</v>
      </c>
      <c r="U94" s="52"/>
      <c r="V94" s="56" t="n">
        <v>0</v>
      </c>
      <c r="W94" s="50" t="s">
        <v>86</v>
      </c>
      <c r="X94" s="52"/>
      <c r="Y94" s="52"/>
      <c r="AA94" s="48"/>
      <c r="AB94" s="48"/>
      <c r="AC94" s="48"/>
      <c r="AD94" s="48"/>
      <c r="AE94" s="48"/>
      <c r="AF94" s="48"/>
      <c r="AG94" s="48"/>
      <c r="AH94" s="48"/>
      <c r="AI94" s="48"/>
      <c r="AJ94" s="48"/>
      <c r="AK94" s="48"/>
      <c r="AL94" s="48"/>
      <c r="AM94" s="48"/>
      <c r="AN94" s="48"/>
      <c r="AO94" s="48"/>
      <c r="AP94" s="48"/>
      <c r="AQ94" s="48"/>
      <c r="AR94" s="48"/>
      <c r="AS94" s="48"/>
      <c r="AT94" s="48"/>
      <c r="AU94" s="48"/>
      <c r="AV94" s="48"/>
      <c r="AW94" s="48"/>
      <c r="AX94" s="48"/>
      <c r="AY94" s="48"/>
      <c r="AZ94" s="48"/>
      <c r="BA94" s="48"/>
      <c r="BB94" s="48"/>
      <c r="BC94" s="48"/>
      <c r="BD94" s="48"/>
      <c r="BE94" s="48"/>
      <c r="BF94" s="48"/>
      <c r="BG94" s="48"/>
      <c r="BH94" s="48"/>
      <c r="BI94" s="48"/>
      <c r="BJ94" s="48"/>
      <c r="BK94" s="48"/>
      <c r="BL94" s="48"/>
      <c r="BM94" s="48"/>
      <c r="BN94" s="48"/>
      <c r="BO94" s="48"/>
      <c r="BP94" s="48"/>
      <c r="BQ94" s="48"/>
      <c r="BR94" s="48"/>
      <c r="BS94" s="48"/>
      <c r="BT94" s="48"/>
      <c r="BU94" s="48"/>
      <c r="BV94" s="48"/>
    </row>
    <row r="95" customFormat="false" ht="15" hidden="true" customHeight="true" outlineLevel="1" collapsed="false">
      <c r="A95" s="49" t="s">
        <v>422</v>
      </c>
      <c r="B95" s="52" t="s">
        <v>423</v>
      </c>
      <c r="C95" s="50" t="s">
        <v>424</v>
      </c>
      <c r="D95" s="50" t="s">
        <v>91</v>
      </c>
      <c r="E95" s="51" t="n">
        <v>0.5</v>
      </c>
      <c r="F95" s="52"/>
      <c r="G95" s="52"/>
      <c r="H95" s="52"/>
      <c r="I95" s="53" t="n">
        <v>46386</v>
      </c>
      <c r="J95" s="53" t="n">
        <v>46387</v>
      </c>
      <c r="K95" s="52"/>
      <c r="L95" s="52"/>
      <c r="M95" s="54" t="s">
        <v>425</v>
      </c>
      <c r="N95" s="55" t="n">
        <v>46347</v>
      </c>
      <c r="O95" s="55" t="n">
        <v>46347</v>
      </c>
      <c r="P95" s="50" t="s">
        <v>105</v>
      </c>
      <c r="Q95" s="52" t="n">
        <v>-40</v>
      </c>
      <c r="R95" s="52"/>
      <c r="S95" s="52" t="n">
        <v>2</v>
      </c>
      <c r="T95" s="52" t="s">
        <v>106</v>
      </c>
      <c r="U95" s="52"/>
      <c r="V95" s="56" t="n">
        <v>0</v>
      </c>
      <c r="W95" s="50" t="s">
        <v>86</v>
      </c>
      <c r="X95" s="52"/>
      <c r="Y95" s="52"/>
      <c r="AA95" s="48"/>
      <c r="AB95" s="48"/>
      <c r="AC95" s="48"/>
      <c r="AD95" s="48"/>
      <c r="AE95" s="48"/>
      <c r="AF95" s="48"/>
      <c r="AG95" s="48"/>
      <c r="AH95" s="48"/>
      <c r="AI95" s="48"/>
      <c r="AJ95" s="48"/>
      <c r="AK95" s="48"/>
      <c r="AL95" s="48"/>
      <c r="AM95" s="48"/>
      <c r="AN95" s="48"/>
      <c r="AO95" s="48"/>
      <c r="AP95" s="48"/>
      <c r="AQ95" s="48"/>
      <c r="AR95" s="48"/>
      <c r="AS95" s="48"/>
      <c r="AT95" s="48"/>
      <c r="AU95" s="48"/>
      <c r="AV95" s="48"/>
      <c r="AW95" s="48"/>
      <c r="AX95" s="48"/>
      <c r="AY95" s="48"/>
      <c r="AZ95" s="48"/>
      <c r="BA95" s="48"/>
      <c r="BB95" s="48"/>
      <c r="BC95" s="48"/>
      <c r="BD95" s="48"/>
      <c r="BE95" s="48"/>
      <c r="BF95" s="48"/>
      <c r="BG95" s="48"/>
      <c r="BH95" s="48"/>
      <c r="BI95" s="48"/>
      <c r="BJ95" s="48"/>
      <c r="BK95" s="48"/>
      <c r="BL95" s="48"/>
      <c r="BM95" s="48"/>
      <c r="BN95" s="48"/>
      <c r="BO95" s="48"/>
      <c r="BP95" s="48"/>
      <c r="BQ95" s="48"/>
      <c r="BR95" s="48"/>
      <c r="BS95" s="48"/>
      <c r="BT95" s="48"/>
      <c r="BU95" s="48"/>
      <c r="BV95" s="48"/>
    </row>
    <row r="96" customFormat="false" ht="15" hidden="false" customHeight="true" outlineLevel="0" collapsed="false">
      <c r="A96" s="37" t="s">
        <v>426</v>
      </c>
      <c r="B96" s="39" t="s">
        <v>427</v>
      </c>
      <c r="C96" s="39"/>
      <c r="D96" s="39" t="s">
        <v>290</v>
      </c>
      <c r="E96" s="40" t="n">
        <v>5</v>
      </c>
      <c r="F96" s="39" t="s">
        <v>348</v>
      </c>
      <c r="G96" s="37"/>
      <c r="H96" s="37" t="n">
        <v>3</v>
      </c>
      <c r="I96" s="41" t="n">
        <v>46381</v>
      </c>
      <c r="J96" s="41" t="n">
        <v>46387</v>
      </c>
      <c r="K96" s="42"/>
      <c r="L96" s="42"/>
      <c r="M96" s="43"/>
      <c r="N96" s="44" t="n">
        <v>46345</v>
      </c>
      <c r="O96" s="45" t="n">
        <v>46347</v>
      </c>
      <c r="P96" s="46" t="s">
        <v>105</v>
      </c>
      <c r="Q96" s="37" t="n">
        <v>-40</v>
      </c>
      <c r="R96" s="39"/>
      <c r="S96" s="39" t="n">
        <v>1</v>
      </c>
      <c r="T96" s="39" t="s">
        <v>106</v>
      </c>
      <c r="U96" s="57" t="n">
        <v>46345.0096</v>
      </c>
      <c r="V96" s="47" t="n">
        <v>0</v>
      </c>
      <c r="W96" s="39" t="s">
        <v>86</v>
      </c>
      <c r="X96" s="38" t="s">
        <v>428</v>
      </c>
      <c r="Y96" s="39"/>
      <c r="AA96" s="48"/>
      <c r="AB96" s="48"/>
      <c r="AC96" s="48"/>
      <c r="AD96" s="48"/>
      <c r="AE96" s="48"/>
      <c r="AF96" s="48"/>
      <c r="AG96" s="48"/>
      <c r="AH96" s="48"/>
      <c r="AI96" s="48"/>
      <c r="AJ96" s="48"/>
      <c r="AK96" s="48"/>
      <c r="AL96" s="48"/>
      <c r="AM96" s="48"/>
      <c r="AN96" s="48"/>
      <c r="AO96" s="48"/>
      <c r="AP96" s="48"/>
      <c r="AQ96" s="48"/>
      <c r="AR96" s="48"/>
      <c r="AS96" s="48"/>
      <c r="AT96" s="48"/>
      <c r="AU96" s="48"/>
      <c r="AV96" s="48"/>
      <c r="AW96" s="48"/>
      <c r="AX96" s="48"/>
      <c r="AY96" s="48"/>
      <c r="AZ96" s="48"/>
      <c r="BA96" s="48"/>
      <c r="BB96" s="48"/>
      <c r="BC96" s="48"/>
      <c r="BD96" s="48"/>
      <c r="BE96" s="48"/>
      <c r="BF96" s="48"/>
      <c r="BG96" s="48"/>
      <c r="BH96" s="48"/>
      <c r="BI96" s="48"/>
      <c r="BJ96" s="48"/>
      <c r="BK96" s="48"/>
      <c r="BL96" s="48"/>
      <c r="BM96" s="48"/>
      <c r="BN96" s="48"/>
      <c r="BO96" s="48"/>
      <c r="BP96" s="48"/>
      <c r="BQ96" s="48"/>
      <c r="BR96" s="48"/>
      <c r="BS96" s="48"/>
      <c r="BT96" s="48"/>
      <c r="BU96" s="48"/>
      <c r="BV96" s="48"/>
    </row>
    <row r="97" customFormat="false" ht="15" hidden="true" customHeight="true" outlineLevel="1" collapsed="false">
      <c r="A97" s="49" t="s">
        <v>429</v>
      </c>
      <c r="B97" s="50" t="s">
        <v>430</v>
      </c>
      <c r="C97" s="50" t="s">
        <v>431</v>
      </c>
      <c r="D97" s="50" t="s">
        <v>91</v>
      </c>
      <c r="E97" s="51" t="n">
        <v>3</v>
      </c>
      <c r="F97" s="52"/>
      <c r="G97" s="52"/>
      <c r="H97" s="52"/>
      <c r="I97" s="53" t="n">
        <v>46381</v>
      </c>
      <c r="J97" s="53" t="n">
        <v>46386</v>
      </c>
      <c r="K97" s="52"/>
      <c r="L97" s="52"/>
      <c r="M97" s="54" t="s">
        <v>432</v>
      </c>
      <c r="N97" s="55" t="n">
        <v>46345</v>
      </c>
      <c r="O97" s="55" t="n">
        <v>46347</v>
      </c>
      <c r="P97" s="50" t="s">
        <v>105</v>
      </c>
      <c r="Q97" s="52" t="n">
        <v>-39</v>
      </c>
      <c r="R97" s="52"/>
      <c r="S97" s="52" t="n">
        <v>2</v>
      </c>
      <c r="T97" s="52" t="s">
        <v>106</v>
      </c>
      <c r="U97" s="52"/>
      <c r="V97" s="56" t="n">
        <v>0</v>
      </c>
      <c r="W97" s="50" t="s">
        <v>86</v>
      </c>
      <c r="X97" s="52"/>
      <c r="Y97" s="52"/>
      <c r="AA97" s="48"/>
      <c r="AB97" s="48"/>
      <c r="AC97" s="48"/>
      <c r="AD97" s="48"/>
      <c r="AE97" s="48"/>
      <c r="AF97" s="48"/>
      <c r="AG97" s="48"/>
      <c r="AH97" s="48"/>
      <c r="AI97" s="48"/>
      <c r="AJ97" s="48"/>
      <c r="AK97" s="48"/>
      <c r="AL97" s="48"/>
      <c r="AM97" s="48"/>
      <c r="AN97" s="48"/>
      <c r="AO97" s="48"/>
      <c r="AP97" s="48"/>
      <c r="AQ97" s="48"/>
      <c r="AR97" s="48"/>
      <c r="AS97" s="48"/>
      <c r="AT97" s="48"/>
      <c r="AU97" s="48"/>
      <c r="AV97" s="48"/>
      <c r="AW97" s="48"/>
      <c r="AX97" s="48"/>
      <c r="AY97" s="48"/>
      <c r="AZ97" s="48"/>
      <c r="BA97" s="48"/>
      <c r="BB97" s="48"/>
      <c r="BC97" s="48"/>
      <c r="BD97" s="48"/>
      <c r="BE97" s="48"/>
      <c r="BF97" s="48"/>
      <c r="BG97" s="48"/>
      <c r="BH97" s="48"/>
      <c r="BI97" s="48"/>
      <c r="BJ97" s="48"/>
      <c r="BK97" s="48"/>
      <c r="BL97" s="48"/>
      <c r="BM97" s="48"/>
      <c r="BN97" s="48"/>
      <c r="BO97" s="48"/>
      <c r="BP97" s="48"/>
      <c r="BQ97" s="48"/>
      <c r="BR97" s="48"/>
      <c r="BS97" s="48"/>
      <c r="BT97" s="48"/>
      <c r="BU97" s="48"/>
      <c r="BV97" s="48"/>
    </row>
    <row r="98" customFormat="false" ht="15" hidden="true" customHeight="true" outlineLevel="1" collapsed="false">
      <c r="A98" s="49" t="s">
        <v>433</v>
      </c>
      <c r="B98" s="50" t="s">
        <v>434</v>
      </c>
      <c r="C98" s="50" t="s">
        <v>435</v>
      </c>
      <c r="D98" s="50" t="s">
        <v>91</v>
      </c>
      <c r="E98" s="51" t="n">
        <v>1.5</v>
      </c>
      <c r="F98" s="52"/>
      <c r="G98" s="52"/>
      <c r="H98" s="52"/>
      <c r="I98" s="53" t="n">
        <v>46383</v>
      </c>
      <c r="J98" s="53" t="n">
        <v>46387</v>
      </c>
      <c r="K98" s="52"/>
      <c r="L98" s="52"/>
      <c r="M98" s="54" t="s">
        <v>436</v>
      </c>
      <c r="N98" s="55" t="n">
        <v>46346</v>
      </c>
      <c r="O98" s="55" t="n">
        <v>46347</v>
      </c>
      <c r="P98" s="50" t="s">
        <v>105</v>
      </c>
      <c r="Q98" s="52" t="n">
        <v>-40</v>
      </c>
      <c r="R98" s="52"/>
      <c r="S98" s="52" t="n">
        <v>2</v>
      </c>
      <c r="T98" s="52" t="s">
        <v>106</v>
      </c>
      <c r="U98" s="52"/>
      <c r="V98" s="56" t="n">
        <v>0</v>
      </c>
      <c r="W98" s="50" t="s">
        <v>86</v>
      </c>
      <c r="X98" s="52"/>
      <c r="Y98" s="52"/>
      <c r="AA98" s="48"/>
      <c r="AB98" s="48"/>
      <c r="AC98" s="48"/>
      <c r="AD98" s="48"/>
      <c r="AE98" s="48"/>
      <c r="AF98" s="48"/>
      <c r="AG98" s="48"/>
      <c r="AH98" s="48"/>
      <c r="AI98" s="48"/>
      <c r="AJ98" s="48"/>
      <c r="AK98" s="48"/>
      <c r="AL98" s="48"/>
      <c r="AM98" s="48"/>
      <c r="AN98" s="48"/>
      <c r="AO98" s="48"/>
      <c r="AP98" s="48"/>
      <c r="AQ98" s="48"/>
      <c r="AR98" s="48"/>
      <c r="AS98" s="48"/>
      <c r="AT98" s="48"/>
      <c r="AU98" s="48"/>
      <c r="AV98" s="48"/>
      <c r="AW98" s="48"/>
      <c r="AX98" s="48"/>
      <c r="AY98" s="48"/>
      <c r="AZ98" s="48"/>
      <c r="BA98" s="48"/>
      <c r="BB98" s="48"/>
      <c r="BC98" s="48"/>
      <c r="BD98" s="48"/>
      <c r="BE98" s="48"/>
      <c r="BF98" s="48"/>
      <c r="BG98" s="48"/>
      <c r="BH98" s="48"/>
      <c r="BI98" s="48"/>
      <c r="BJ98" s="48"/>
      <c r="BK98" s="48"/>
      <c r="BL98" s="48"/>
      <c r="BM98" s="48"/>
      <c r="BN98" s="48"/>
      <c r="BO98" s="48"/>
      <c r="BP98" s="48"/>
      <c r="BQ98" s="48"/>
      <c r="BR98" s="48"/>
      <c r="BS98" s="48"/>
      <c r="BT98" s="48"/>
      <c r="BU98" s="48"/>
      <c r="BV98" s="48"/>
    </row>
    <row r="99" customFormat="false" ht="15" hidden="true" customHeight="true" outlineLevel="1" collapsed="false">
      <c r="A99" s="49" t="s">
        <v>437</v>
      </c>
      <c r="B99" s="52" t="s">
        <v>438</v>
      </c>
      <c r="C99" s="50" t="s">
        <v>439</v>
      </c>
      <c r="D99" s="50" t="s">
        <v>91</v>
      </c>
      <c r="E99" s="51" t="n">
        <v>0.5</v>
      </c>
      <c r="F99" s="52"/>
      <c r="G99" s="52"/>
      <c r="H99" s="52"/>
      <c r="I99" s="53" t="n">
        <v>46386</v>
      </c>
      <c r="J99" s="53" t="n">
        <v>46387</v>
      </c>
      <c r="K99" s="52"/>
      <c r="L99" s="52"/>
      <c r="M99" s="54" t="s">
        <v>440</v>
      </c>
      <c r="N99" s="55" t="n">
        <v>46347</v>
      </c>
      <c r="O99" s="55" t="n">
        <v>46347</v>
      </c>
      <c r="P99" s="50" t="s">
        <v>105</v>
      </c>
      <c r="Q99" s="52" t="n">
        <v>-40</v>
      </c>
      <c r="R99" s="52"/>
      <c r="S99" s="52" t="n">
        <v>2</v>
      </c>
      <c r="T99" s="52" t="s">
        <v>106</v>
      </c>
      <c r="U99" s="52"/>
      <c r="V99" s="56" t="n">
        <v>0</v>
      </c>
      <c r="W99" s="50" t="s">
        <v>86</v>
      </c>
      <c r="X99" s="52"/>
      <c r="Y99" s="52"/>
      <c r="AA99" s="48"/>
      <c r="AB99" s="48"/>
      <c r="AC99" s="48"/>
      <c r="AD99" s="48"/>
      <c r="AE99" s="48"/>
      <c r="AF99" s="48"/>
      <c r="AG99" s="48"/>
      <c r="AH99" s="48"/>
      <c r="AI99" s="48"/>
      <c r="AJ99" s="48"/>
      <c r="AK99" s="48"/>
      <c r="AL99" s="48"/>
      <c r="AM99" s="48"/>
      <c r="AN99" s="48"/>
      <c r="AO99" s="48"/>
      <c r="AP99" s="48"/>
      <c r="AQ99" s="48"/>
      <c r="AR99" s="48"/>
      <c r="AS99" s="48"/>
      <c r="AT99" s="48"/>
      <c r="AU99" s="48"/>
      <c r="AV99" s="48"/>
      <c r="AW99" s="48"/>
      <c r="AX99" s="48"/>
      <c r="AY99" s="48"/>
      <c r="AZ99" s="48"/>
      <c r="BA99" s="48"/>
      <c r="BB99" s="48"/>
      <c r="BC99" s="48"/>
      <c r="BD99" s="48"/>
      <c r="BE99" s="48"/>
      <c r="BF99" s="48"/>
      <c r="BG99" s="48"/>
      <c r="BH99" s="48"/>
      <c r="BI99" s="48"/>
      <c r="BJ99" s="48"/>
      <c r="BK99" s="48"/>
      <c r="BL99" s="48"/>
      <c r="BM99" s="48"/>
      <c r="BN99" s="48"/>
      <c r="BO99" s="48"/>
      <c r="BP99" s="48"/>
      <c r="BQ99" s="48"/>
      <c r="BR99" s="48"/>
      <c r="BS99" s="48"/>
      <c r="BT99" s="48"/>
      <c r="BU99" s="48"/>
      <c r="BV99" s="48"/>
    </row>
    <row r="100" customFormat="false" ht="15" hidden="false" customHeight="true" outlineLevel="0" collapsed="false">
      <c r="A100" s="37" t="s">
        <v>441</v>
      </c>
      <c r="B100" s="39" t="s">
        <v>442</v>
      </c>
      <c r="C100" s="38" t="s">
        <v>443</v>
      </c>
      <c r="D100" s="39" t="s">
        <v>290</v>
      </c>
      <c r="E100" s="40" t="n">
        <v>5</v>
      </c>
      <c r="F100" s="39" t="s">
        <v>444</v>
      </c>
      <c r="G100" s="37"/>
      <c r="H100" s="37" t="n">
        <v>3</v>
      </c>
      <c r="I100" s="41" t="n">
        <v>46383</v>
      </c>
      <c r="J100" s="41" t="n">
        <v>46388</v>
      </c>
      <c r="K100" s="42"/>
      <c r="L100" s="42"/>
      <c r="M100" s="43"/>
      <c r="N100" s="44" t="n">
        <v>46346</v>
      </c>
      <c r="O100" s="45" t="n">
        <v>46348</v>
      </c>
      <c r="P100" s="46" t="s">
        <v>105</v>
      </c>
      <c r="Q100" s="37" t="n">
        <v>-40</v>
      </c>
      <c r="R100" s="39"/>
      <c r="S100" s="39" t="n">
        <v>1</v>
      </c>
      <c r="T100" s="39" t="s">
        <v>106</v>
      </c>
      <c r="U100" s="57" t="n">
        <v>46346.01</v>
      </c>
      <c r="V100" s="47" t="n">
        <v>0</v>
      </c>
      <c r="W100" s="39" t="s">
        <v>86</v>
      </c>
      <c r="X100" s="39" t="s">
        <v>445</v>
      </c>
      <c r="Y100" s="39"/>
      <c r="AA100" s="48"/>
      <c r="AB100" s="48"/>
      <c r="AC100" s="48"/>
      <c r="AD100" s="48"/>
      <c r="AE100" s="48"/>
      <c r="AF100" s="48"/>
      <c r="AG100" s="48"/>
      <c r="AH100" s="48"/>
      <c r="AI100" s="48"/>
      <c r="AJ100" s="48"/>
      <c r="AK100" s="48"/>
      <c r="AL100" s="48"/>
      <c r="AM100" s="48"/>
      <c r="AN100" s="48"/>
      <c r="AO100" s="48"/>
      <c r="AP100" s="48"/>
      <c r="AQ100" s="48"/>
      <c r="AR100" s="48"/>
      <c r="AS100" s="48"/>
      <c r="AT100" s="48"/>
      <c r="AU100" s="48"/>
      <c r="AV100" s="48"/>
      <c r="AW100" s="48"/>
      <c r="AX100" s="48"/>
      <c r="AY100" s="48"/>
      <c r="AZ100" s="48"/>
      <c r="BA100" s="48"/>
      <c r="BB100" s="48"/>
      <c r="BC100" s="48"/>
      <c r="BD100" s="48"/>
      <c r="BE100" s="48"/>
      <c r="BF100" s="48"/>
      <c r="BG100" s="48"/>
      <c r="BH100" s="48"/>
      <c r="BI100" s="48"/>
      <c r="BJ100" s="48"/>
      <c r="BK100" s="48"/>
      <c r="BL100" s="48"/>
      <c r="BM100" s="48"/>
      <c r="BN100" s="48"/>
      <c r="BO100" s="48"/>
      <c r="BP100" s="48"/>
      <c r="BQ100" s="48"/>
      <c r="BR100" s="48"/>
      <c r="BS100" s="48"/>
      <c r="BT100" s="48"/>
      <c r="BU100" s="48"/>
      <c r="BV100" s="48"/>
    </row>
    <row r="101" customFormat="false" ht="15" hidden="true" customHeight="true" outlineLevel="1" collapsed="false">
      <c r="A101" s="49" t="s">
        <v>446</v>
      </c>
      <c r="B101" s="50" t="s">
        <v>447</v>
      </c>
      <c r="C101" s="52"/>
      <c r="D101" s="50" t="s">
        <v>86</v>
      </c>
      <c r="E101" s="51" t="n">
        <v>0</v>
      </c>
      <c r="F101" s="52"/>
      <c r="G101" s="52"/>
      <c r="H101" s="52"/>
      <c r="I101" s="53"/>
      <c r="J101" s="53"/>
      <c r="K101" s="52"/>
      <c r="L101" s="52"/>
      <c r="M101" s="49"/>
      <c r="N101" s="55"/>
      <c r="O101" s="55"/>
      <c r="P101" s="50" t="s">
        <v>143</v>
      </c>
      <c r="Q101" s="52"/>
      <c r="R101" s="52"/>
      <c r="S101" s="52" t="n">
        <v>2</v>
      </c>
      <c r="T101" s="52" t="s">
        <v>144</v>
      </c>
      <c r="U101" s="52"/>
      <c r="V101" s="56" t="n">
        <v>0</v>
      </c>
      <c r="W101" s="52" t="s">
        <v>80</v>
      </c>
      <c r="X101" s="52"/>
      <c r="Y101" s="52"/>
      <c r="AA101" s="48"/>
      <c r="AB101" s="48"/>
      <c r="AC101" s="48"/>
      <c r="AD101" s="48"/>
      <c r="AE101" s="48"/>
      <c r="AF101" s="48"/>
      <c r="AG101" s="48"/>
      <c r="AH101" s="48"/>
      <c r="AI101" s="48"/>
      <c r="AJ101" s="48"/>
      <c r="AK101" s="48"/>
      <c r="AL101" s="48"/>
      <c r="AM101" s="48"/>
      <c r="AN101" s="48"/>
      <c r="AO101" s="48"/>
      <c r="AP101" s="48"/>
      <c r="AQ101" s="48"/>
      <c r="AR101" s="48"/>
      <c r="AS101" s="48"/>
      <c r="AT101" s="48"/>
      <c r="AU101" s="48"/>
      <c r="AV101" s="48"/>
      <c r="AW101" s="48"/>
      <c r="AX101" s="48"/>
      <c r="AY101" s="48"/>
      <c r="AZ101" s="48"/>
      <c r="BA101" s="48"/>
      <c r="BB101" s="48"/>
      <c r="BC101" s="48"/>
      <c r="BD101" s="48"/>
      <c r="BE101" s="48"/>
      <c r="BF101" s="48"/>
      <c r="BG101" s="48"/>
      <c r="BH101" s="48"/>
      <c r="BI101" s="48"/>
      <c r="BJ101" s="48"/>
      <c r="BK101" s="48"/>
      <c r="BL101" s="48"/>
      <c r="BM101" s="48"/>
      <c r="BN101" s="48"/>
      <c r="BO101" s="48"/>
      <c r="BP101" s="48"/>
      <c r="BQ101" s="48"/>
      <c r="BR101" s="48"/>
      <c r="BS101" s="48"/>
      <c r="BT101" s="48"/>
      <c r="BU101" s="48"/>
      <c r="BV101" s="48"/>
    </row>
    <row r="102" customFormat="false" ht="15" hidden="true" customHeight="true" outlineLevel="1" collapsed="false">
      <c r="A102" s="49" t="s">
        <v>448</v>
      </c>
      <c r="B102" s="50" t="s">
        <v>449</v>
      </c>
      <c r="C102" s="50" t="s">
        <v>450</v>
      </c>
      <c r="D102" s="50" t="s">
        <v>91</v>
      </c>
      <c r="E102" s="51" t="n">
        <v>0</v>
      </c>
      <c r="F102" s="52"/>
      <c r="G102" s="52"/>
      <c r="H102" s="52"/>
      <c r="I102" s="53"/>
      <c r="J102" s="53"/>
      <c r="K102" s="52"/>
      <c r="L102" s="52"/>
      <c r="M102" s="49"/>
      <c r="N102" s="55"/>
      <c r="O102" s="55"/>
      <c r="P102" s="50" t="s">
        <v>143</v>
      </c>
      <c r="Q102" s="52"/>
      <c r="R102" s="52"/>
      <c r="S102" s="52" t="n">
        <v>2</v>
      </c>
      <c r="T102" s="52" t="s">
        <v>144</v>
      </c>
      <c r="U102" s="52"/>
      <c r="V102" s="56" t="n">
        <v>0</v>
      </c>
      <c r="W102" s="50" t="s">
        <v>86</v>
      </c>
      <c r="X102" s="52"/>
      <c r="Y102" s="52"/>
      <c r="AA102" s="48"/>
      <c r="AB102" s="48"/>
      <c r="AC102" s="48"/>
      <c r="AD102" s="48"/>
      <c r="AE102" s="48"/>
      <c r="AF102" s="48"/>
      <c r="AG102" s="48"/>
      <c r="AH102" s="48"/>
      <c r="AI102" s="48"/>
      <c r="AJ102" s="48"/>
      <c r="AK102" s="48"/>
      <c r="AL102" s="48"/>
      <c r="AM102" s="48"/>
      <c r="AN102" s="48"/>
      <c r="AO102" s="48"/>
      <c r="AP102" s="48"/>
      <c r="AQ102" s="48"/>
      <c r="AR102" s="48"/>
      <c r="AS102" s="48"/>
      <c r="AT102" s="48"/>
      <c r="AU102" s="48"/>
      <c r="AV102" s="48"/>
      <c r="AW102" s="48"/>
      <c r="AX102" s="48"/>
      <c r="AY102" s="48"/>
      <c r="AZ102" s="48"/>
      <c r="BA102" s="48"/>
      <c r="BB102" s="48"/>
      <c r="BC102" s="48"/>
      <c r="BD102" s="48"/>
      <c r="BE102" s="48"/>
      <c r="BF102" s="48"/>
      <c r="BG102" s="48"/>
      <c r="BH102" s="48"/>
      <c r="BI102" s="48"/>
      <c r="BJ102" s="48"/>
      <c r="BK102" s="48"/>
      <c r="BL102" s="48"/>
      <c r="BM102" s="48"/>
      <c r="BN102" s="48"/>
      <c r="BO102" s="48"/>
      <c r="BP102" s="48"/>
      <c r="BQ102" s="48"/>
      <c r="BR102" s="48"/>
      <c r="BS102" s="48"/>
      <c r="BT102" s="48"/>
      <c r="BU102" s="48"/>
      <c r="BV102" s="48"/>
    </row>
    <row r="103" customFormat="false" ht="15" hidden="true" customHeight="true" outlineLevel="1" collapsed="false">
      <c r="A103" s="49" t="s">
        <v>451</v>
      </c>
      <c r="B103" s="52" t="s">
        <v>452</v>
      </c>
      <c r="C103" s="52" t="s">
        <v>453</v>
      </c>
      <c r="D103" s="50" t="s">
        <v>91</v>
      </c>
      <c r="E103" s="51" t="n">
        <v>2</v>
      </c>
      <c r="F103" s="52"/>
      <c r="G103" s="52"/>
      <c r="H103" s="52"/>
      <c r="I103" s="53" t="n">
        <v>46384</v>
      </c>
      <c r="J103" s="53" t="n">
        <v>46387</v>
      </c>
      <c r="K103" s="52"/>
      <c r="L103" s="52"/>
      <c r="M103" s="54" t="s">
        <v>454</v>
      </c>
      <c r="N103" s="55" t="n">
        <v>46346</v>
      </c>
      <c r="O103" s="55" t="n">
        <v>46347</v>
      </c>
      <c r="P103" s="50" t="s">
        <v>105</v>
      </c>
      <c r="Q103" s="52" t="n">
        <v>-40</v>
      </c>
      <c r="R103" s="52"/>
      <c r="S103" s="52" t="n">
        <v>2</v>
      </c>
      <c r="T103" s="52" t="s">
        <v>106</v>
      </c>
      <c r="U103" s="52"/>
      <c r="V103" s="56" t="n">
        <v>0</v>
      </c>
      <c r="W103" s="50" t="s">
        <v>86</v>
      </c>
      <c r="X103" s="52"/>
      <c r="Y103" s="52"/>
      <c r="AA103" s="48"/>
      <c r="AB103" s="48"/>
      <c r="AC103" s="48"/>
      <c r="AD103" s="48"/>
      <c r="AE103" s="48"/>
      <c r="AF103" s="48"/>
      <c r="AG103" s="48"/>
      <c r="AH103" s="48"/>
      <c r="AI103" s="48"/>
      <c r="AJ103" s="48"/>
      <c r="AK103" s="48"/>
      <c r="AL103" s="48"/>
      <c r="AM103" s="48"/>
      <c r="AN103" s="48"/>
      <c r="AO103" s="48"/>
      <c r="AP103" s="48"/>
      <c r="AQ103" s="48"/>
      <c r="AR103" s="48"/>
      <c r="AS103" s="48"/>
      <c r="AT103" s="48"/>
      <c r="AU103" s="48"/>
      <c r="AV103" s="48"/>
      <c r="AW103" s="48"/>
      <c r="AX103" s="48"/>
      <c r="AY103" s="48"/>
      <c r="AZ103" s="48"/>
      <c r="BA103" s="48"/>
      <c r="BB103" s="48"/>
      <c r="BC103" s="48"/>
      <c r="BD103" s="48"/>
      <c r="BE103" s="48"/>
      <c r="BF103" s="48"/>
      <c r="BG103" s="48"/>
      <c r="BH103" s="48"/>
      <c r="BI103" s="48"/>
      <c r="BJ103" s="48"/>
      <c r="BK103" s="48"/>
      <c r="BL103" s="48"/>
      <c r="BM103" s="48"/>
      <c r="BN103" s="48"/>
      <c r="BO103" s="48"/>
      <c r="BP103" s="48"/>
      <c r="BQ103" s="48"/>
      <c r="BR103" s="48"/>
      <c r="BS103" s="48"/>
      <c r="BT103" s="48"/>
      <c r="BU103" s="48"/>
      <c r="BV103" s="48"/>
    </row>
    <row r="104" customFormat="false" ht="15" hidden="true" customHeight="true" outlineLevel="1" collapsed="false">
      <c r="A104" s="49" t="s">
        <v>455</v>
      </c>
      <c r="B104" s="50" t="s">
        <v>456</v>
      </c>
      <c r="C104" s="50" t="s">
        <v>457</v>
      </c>
      <c r="D104" s="50" t="s">
        <v>91</v>
      </c>
      <c r="E104" s="51" t="n">
        <v>1.25</v>
      </c>
      <c r="F104" s="52"/>
      <c r="G104" s="52"/>
      <c r="H104" s="52"/>
      <c r="I104" s="53" t="n">
        <v>46385</v>
      </c>
      <c r="J104" s="53" t="n">
        <v>46387</v>
      </c>
      <c r="K104" s="52"/>
      <c r="L104" s="52"/>
      <c r="M104" s="54" t="s">
        <v>458</v>
      </c>
      <c r="N104" s="55" t="n">
        <v>46347</v>
      </c>
      <c r="O104" s="55" t="n">
        <v>46348</v>
      </c>
      <c r="P104" s="50" t="s">
        <v>105</v>
      </c>
      <c r="Q104" s="52" t="n">
        <v>-39</v>
      </c>
      <c r="R104" s="52"/>
      <c r="S104" s="52" t="n">
        <v>2</v>
      </c>
      <c r="T104" s="52" t="s">
        <v>106</v>
      </c>
      <c r="U104" s="52"/>
      <c r="V104" s="56" t="n">
        <v>0</v>
      </c>
      <c r="W104" s="50" t="s">
        <v>86</v>
      </c>
      <c r="X104" s="52"/>
      <c r="Y104" s="52"/>
      <c r="AA104" s="48"/>
      <c r="AB104" s="48"/>
      <c r="AC104" s="48"/>
      <c r="AD104" s="48"/>
      <c r="AE104" s="48"/>
      <c r="AF104" s="48"/>
      <c r="AG104" s="48"/>
      <c r="AH104" s="48"/>
      <c r="AI104" s="48"/>
      <c r="AJ104" s="48"/>
      <c r="AK104" s="48"/>
      <c r="AL104" s="48"/>
      <c r="AM104" s="48"/>
      <c r="AN104" s="48"/>
      <c r="AO104" s="48"/>
      <c r="AP104" s="48"/>
      <c r="AQ104" s="48"/>
      <c r="AR104" s="48"/>
      <c r="AS104" s="48"/>
      <c r="AT104" s="48"/>
      <c r="AU104" s="48"/>
      <c r="AV104" s="48"/>
      <c r="AW104" s="48"/>
      <c r="AX104" s="48"/>
      <c r="AY104" s="48"/>
      <c r="AZ104" s="48"/>
      <c r="BA104" s="48"/>
      <c r="BB104" s="48"/>
      <c r="BC104" s="48"/>
      <c r="BD104" s="48"/>
      <c r="BE104" s="48"/>
      <c r="BF104" s="48"/>
      <c r="BG104" s="48"/>
      <c r="BH104" s="48"/>
      <c r="BI104" s="48"/>
      <c r="BJ104" s="48"/>
      <c r="BK104" s="48"/>
      <c r="BL104" s="48"/>
      <c r="BM104" s="48"/>
      <c r="BN104" s="48"/>
      <c r="BO104" s="48"/>
      <c r="BP104" s="48"/>
      <c r="BQ104" s="48"/>
      <c r="BR104" s="48"/>
      <c r="BS104" s="48"/>
      <c r="BT104" s="48"/>
      <c r="BU104" s="48"/>
      <c r="BV104" s="48"/>
    </row>
    <row r="105" customFormat="false" ht="15" hidden="true" customHeight="true" outlineLevel="1" collapsed="false">
      <c r="A105" s="49" t="s">
        <v>459</v>
      </c>
      <c r="B105" s="50" t="s">
        <v>460</v>
      </c>
      <c r="C105" s="50" t="s">
        <v>461</v>
      </c>
      <c r="D105" s="50" t="s">
        <v>91</v>
      </c>
      <c r="E105" s="51" t="n">
        <v>1.25</v>
      </c>
      <c r="F105" s="52"/>
      <c r="G105" s="52"/>
      <c r="H105" s="52"/>
      <c r="I105" s="53" t="n">
        <v>46385</v>
      </c>
      <c r="J105" s="53" t="n">
        <v>46388</v>
      </c>
      <c r="K105" s="52"/>
      <c r="L105" s="52"/>
      <c r="M105" s="54" t="s">
        <v>462</v>
      </c>
      <c r="N105" s="55" t="n">
        <v>46347</v>
      </c>
      <c r="O105" s="55" t="n">
        <v>46348</v>
      </c>
      <c r="P105" s="50" t="s">
        <v>105</v>
      </c>
      <c r="Q105" s="52" t="n">
        <v>-40</v>
      </c>
      <c r="R105" s="52"/>
      <c r="S105" s="52" t="n">
        <v>2</v>
      </c>
      <c r="T105" s="52" t="s">
        <v>106</v>
      </c>
      <c r="U105" s="52"/>
      <c r="V105" s="56" t="n">
        <v>0</v>
      </c>
      <c r="W105" s="50" t="s">
        <v>86</v>
      </c>
      <c r="X105" s="52"/>
      <c r="Y105" s="52"/>
      <c r="AA105" s="48"/>
      <c r="AB105" s="48"/>
      <c r="AC105" s="48"/>
      <c r="AD105" s="48"/>
      <c r="AE105" s="48"/>
      <c r="AF105" s="48"/>
      <c r="AG105" s="48"/>
      <c r="AH105" s="48"/>
      <c r="AI105" s="48"/>
      <c r="AJ105" s="48"/>
      <c r="AK105" s="48"/>
      <c r="AL105" s="48"/>
      <c r="AM105" s="48"/>
      <c r="AN105" s="48"/>
      <c r="AO105" s="48"/>
      <c r="AP105" s="48"/>
      <c r="AQ105" s="48"/>
      <c r="AR105" s="48"/>
      <c r="AS105" s="48"/>
      <c r="AT105" s="48"/>
      <c r="AU105" s="48"/>
      <c r="AV105" s="48"/>
      <c r="AW105" s="48"/>
      <c r="AX105" s="48"/>
      <c r="AY105" s="48"/>
      <c r="AZ105" s="48"/>
      <c r="BA105" s="48"/>
      <c r="BB105" s="48"/>
      <c r="BC105" s="48"/>
      <c r="BD105" s="48"/>
      <c r="BE105" s="48"/>
      <c r="BF105" s="48"/>
      <c r="BG105" s="48"/>
      <c r="BH105" s="48"/>
      <c r="BI105" s="48"/>
      <c r="BJ105" s="48"/>
      <c r="BK105" s="48"/>
      <c r="BL105" s="48"/>
      <c r="BM105" s="48"/>
      <c r="BN105" s="48"/>
      <c r="BO105" s="48"/>
      <c r="BP105" s="48"/>
      <c r="BQ105" s="48"/>
      <c r="BR105" s="48"/>
      <c r="BS105" s="48"/>
      <c r="BT105" s="48"/>
      <c r="BU105" s="48"/>
      <c r="BV105" s="48"/>
    </row>
    <row r="106" customFormat="false" ht="15" hidden="true" customHeight="true" outlineLevel="1" collapsed="false">
      <c r="A106" s="49" t="s">
        <v>463</v>
      </c>
      <c r="B106" s="52" t="s">
        <v>464</v>
      </c>
      <c r="C106" s="50" t="s">
        <v>465</v>
      </c>
      <c r="D106" s="50" t="s">
        <v>91</v>
      </c>
      <c r="E106" s="51" t="n">
        <v>0.5</v>
      </c>
      <c r="F106" s="52"/>
      <c r="G106" s="52"/>
      <c r="H106" s="52"/>
      <c r="I106" s="53" t="n">
        <v>46387</v>
      </c>
      <c r="J106" s="53" t="n">
        <v>46388</v>
      </c>
      <c r="K106" s="52"/>
      <c r="L106" s="52"/>
      <c r="M106" s="54" t="s">
        <v>466</v>
      </c>
      <c r="N106" s="55" t="n">
        <v>46348</v>
      </c>
      <c r="O106" s="55" t="n">
        <v>46348</v>
      </c>
      <c r="P106" s="50" t="s">
        <v>105</v>
      </c>
      <c r="Q106" s="52" t="n">
        <v>-40</v>
      </c>
      <c r="R106" s="52"/>
      <c r="S106" s="52" t="n">
        <v>2</v>
      </c>
      <c r="T106" s="52" t="s">
        <v>106</v>
      </c>
      <c r="U106" s="52"/>
      <c r="V106" s="56" t="n">
        <v>0</v>
      </c>
      <c r="W106" s="50" t="s">
        <v>86</v>
      </c>
      <c r="X106" s="52"/>
      <c r="Y106" s="52"/>
      <c r="AA106" s="48"/>
      <c r="AB106" s="48"/>
      <c r="AC106" s="48"/>
      <c r="AD106" s="48"/>
      <c r="AE106" s="48"/>
      <c r="AF106" s="48"/>
      <c r="AG106" s="48"/>
      <c r="AH106" s="48"/>
      <c r="AI106" s="48"/>
      <c r="AJ106" s="48"/>
      <c r="AK106" s="48"/>
      <c r="AL106" s="48"/>
      <c r="AM106" s="48"/>
      <c r="AN106" s="48"/>
      <c r="AO106" s="48"/>
      <c r="AP106" s="48"/>
      <c r="AQ106" s="48"/>
      <c r="AR106" s="48"/>
      <c r="AS106" s="48"/>
      <c r="AT106" s="48"/>
      <c r="AU106" s="48"/>
      <c r="AV106" s="48"/>
      <c r="AW106" s="48"/>
      <c r="AX106" s="48"/>
      <c r="AY106" s="48"/>
      <c r="AZ106" s="48"/>
      <c r="BA106" s="48"/>
      <c r="BB106" s="48"/>
      <c r="BC106" s="48"/>
      <c r="BD106" s="48"/>
      <c r="BE106" s="48"/>
      <c r="BF106" s="48"/>
      <c r="BG106" s="48"/>
      <c r="BH106" s="48"/>
      <c r="BI106" s="48"/>
      <c r="BJ106" s="48"/>
      <c r="BK106" s="48"/>
      <c r="BL106" s="48"/>
      <c r="BM106" s="48"/>
      <c r="BN106" s="48"/>
      <c r="BO106" s="48"/>
      <c r="BP106" s="48"/>
      <c r="BQ106" s="48"/>
      <c r="BR106" s="48"/>
      <c r="BS106" s="48"/>
      <c r="BT106" s="48"/>
      <c r="BU106" s="48"/>
      <c r="BV106" s="48"/>
    </row>
    <row r="107" customFormat="false" ht="15" hidden="false" customHeight="true" outlineLevel="0" collapsed="false">
      <c r="A107" s="37" t="s">
        <v>467</v>
      </c>
      <c r="B107" s="39" t="s">
        <v>468</v>
      </c>
      <c r="C107" s="39"/>
      <c r="D107" s="39" t="s">
        <v>290</v>
      </c>
      <c r="E107" s="40" t="n">
        <v>2.5</v>
      </c>
      <c r="F107" s="39" t="s">
        <v>444</v>
      </c>
      <c r="G107" s="37"/>
      <c r="H107" s="37" t="n">
        <v>2</v>
      </c>
      <c r="I107" s="41" t="n">
        <v>46385</v>
      </c>
      <c r="J107" s="41" t="n">
        <v>46389</v>
      </c>
      <c r="K107" s="42"/>
      <c r="L107" s="42"/>
      <c r="M107" s="43"/>
      <c r="N107" s="44" t="n">
        <v>46347</v>
      </c>
      <c r="O107" s="45" t="n">
        <v>46348</v>
      </c>
      <c r="P107" s="46" t="s">
        <v>105</v>
      </c>
      <c r="Q107" s="37" t="n">
        <v>-41</v>
      </c>
      <c r="R107" s="39"/>
      <c r="S107" s="39" t="n">
        <v>1</v>
      </c>
      <c r="T107" s="39" t="s">
        <v>106</v>
      </c>
      <c r="U107" s="57" t="n">
        <v>46347.0107</v>
      </c>
      <c r="V107" s="47" t="n">
        <v>0</v>
      </c>
      <c r="W107" s="39" t="s">
        <v>86</v>
      </c>
      <c r="X107" s="39" t="s">
        <v>469</v>
      </c>
      <c r="Y107" s="39"/>
      <c r="AA107" s="48"/>
      <c r="AB107" s="48"/>
      <c r="AC107" s="48"/>
      <c r="AD107" s="48"/>
      <c r="AE107" s="48"/>
      <c r="AF107" s="48"/>
      <c r="AG107" s="48"/>
      <c r="AH107" s="48"/>
      <c r="AI107" s="48"/>
      <c r="AJ107" s="48"/>
      <c r="AK107" s="48"/>
      <c r="AL107" s="48"/>
      <c r="AM107" s="48"/>
      <c r="AN107" s="48"/>
      <c r="AO107" s="48"/>
      <c r="AP107" s="48"/>
      <c r="AQ107" s="48"/>
      <c r="AR107" s="48"/>
      <c r="AS107" s="48"/>
      <c r="AT107" s="48"/>
      <c r="AU107" s="48"/>
      <c r="AV107" s="48"/>
      <c r="AW107" s="48"/>
      <c r="AX107" s="48"/>
      <c r="AY107" s="48"/>
      <c r="AZ107" s="48"/>
      <c r="BA107" s="48"/>
      <c r="BB107" s="48"/>
      <c r="BC107" s="48"/>
      <c r="BD107" s="48"/>
      <c r="BE107" s="48"/>
      <c r="BF107" s="48"/>
      <c r="BG107" s="48"/>
      <c r="BH107" s="48"/>
      <c r="BI107" s="48"/>
      <c r="BJ107" s="48"/>
      <c r="BK107" s="48"/>
      <c r="BL107" s="48"/>
      <c r="BM107" s="48"/>
      <c r="BN107" s="48"/>
      <c r="BO107" s="48"/>
      <c r="BP107" s="48"/>
      <c r="BQ107" s="48"/>
      <c r="BR107" s="48"/>
      <c r="BS107" s="48"/>
      <c r="BT107" s="48"/>
      <c r="BU107" s="48"/>
      <c r="BV107" s="48"/>
    </row>
    <row r="108" customFormat="false" ht="15" hidden="true" customHeight="true" outlineLevel="1" collapsed="false">
      <c r="A108" s="49" t="s">
        <v>470</v>
      </c>
      <c r="B108" s="52" t="s">
        <v>471</v>
      </c>
      <c r="C108" s="52" t="s">
        <v>472</v>
      </c>
      <c r="D108" s="50" t="s">
        <v>91</v>
      </c>
      <c r="E108" s="51" t="n">
        <v>1</v>
      </c>
      <c r="F108" s="52"/>
      <c r="G108" s="52"/>
      <c r="H108" s="52"/>
      <c r="I108" s="53" t="n">
        <v>46385</v>
      </c>
      <c r="J108" s="53" t="n">
        <v>46388</v>
      </c>
      <c r="K108" s="52"/>
      <c r="L108" s="52"/>
      <c r="M108" s="54" t="s">
        <v>473</v>
      </c>
      <c r="N108" s="55" t="n">
        <v>46347</v>
      </c>
      <c r="O108" s="55" t="n">
        <v>46348</v>
      </c>
      <c r="P108" s="50" t="s">
        <v>105</v>
      </c>
      <c r="Q108" s="52" t="n">
        <v>-40</v>
      </c>
      <c r="R108" s="52"/>
      <c r="S108" s="52" t="n">
        <v>2</v>
      </c>
      <c r="T108" s="52" t="s">
        <v>106</v>
      </c>
      <c r="U108" s="52"/>
      <c r="V108" s="56" t="n">
        <v>0</v>
      </c>
      <c r="W108" s="50" t="s">
        <v>86</v>
      </c>
      <c r="X108" s="52"/>
      <c r="Y108" s="52"/>
      <c r="AA108" s="48"/>
      <c r="AB108" s="48"/>
      <c r="AC108" s="48"/>
      <c r="AD108" s="48"/>
      <c r="AE108" s="48"/>
      <c r="AF108" s="48"/>
      <c r="AG108" s="48"/>
      <c r="AH108" s="48"/>
      <c r="AI108" s="48"/>
      <c r="AJ108" s="48"/>
      <c r="AK108" s="48"/>
      <c r="AL108" s="48"/>
      <c r="AM108" s="48"/>
      <c r="AN108" s="48"/>
      <c r="AO108" s="48"/>
      <c r="AP108" s="48"/>
      <c r="AQ108" s="48"/>
      <c r="AR108" s="48"/>
      <c r="AS108" s="48"/>
      <c r="AT108" s="48"/>
      <c r="AU108" s="48"/>
      <c r="AV108" s="48"/>
      <c r="AW108" s="48"/>
      <c r="AX108" s="48"/>
      <c r="AY108" s="48"/>
      <c r="AZ108" s="48"/>
      <c r="BA108" s="48"/>
      <c r="BB108" s="48"/>
      <c r="BC108" s="48"/>
      <c r="BD108" s="48"/>
      <c r="BE108" s="48"/>
      <c r="BF108" s="48"/>
      <c r="BG108" s="48"/>
      <c r="BH108" s="48"/>
      <c r="BI108" s="48"/>
      <c r="BJ108" s="48"/>
      <c r="BK108" s="48"/>
      <c r="BL108" s="48"/>
      <c r="BM108" s="48"/>
      <c r="BN108" s="48"/>
      <c r="BO108" s="48"/>
      <c r="BP108" s="48"/>
      <c r="BQ108" s="48"/>
      <c r="BR108" s="48"/>
      <c r="BS108" s="48"/>
      <c r="BT108" s="48"/>
      <c r="BU108" s="48"/>
      <c r="BV108" s="48"/>
    </row>
    <row r="109" customFormat="false" ht="15" hidden="true" customHeight="true" outlineLevel="1" collapsed="false">
      <c r="A109" s="49" t="s">
        <v>474</v>
      </c>
      <c r="B109" s="50" t="s">
        <v>475</v>
      </c>
      <c r="C109" s="50" t="s">
        <v>476</v>
      </c>
      <c r="D109" s="50" t="s">
        <v>91</v>
      </c>
      <c r="E109" s="51" t="n">
        <v>1</v>
      </c>
      <c r="F109" s="52"/>
      <c r="G109" s="52"/>
      <c r="H109" s="52"/>
      <c r="I109" s="53" t="n">
        <v>46387</v>
      </c>
      <c r="J109" s="53" t="n">
        <v>46389</v>
      </c>
      <c r="K109" s="52"/>
      <c r="L109" s="52"/>
      <c r="M109" s="54" t="s">
        <v>477</v>
      </c>
      <c r="N109" s="55" t="n">
        <v>46348</v>
      </c>
      <c r="O109" s="55" t="n">
        <v>46348</v>
      </c>
      <c r="P109" s="50" t="s">
        <v>105</v>
      </c>
      <c r="Q109" s="52" t="n">
        <v>-41</v>
      </c>
      <c r="R109" s="52"/>
      <c r="S109" s="52" t="n">
        <v>2</v>
      </c>
      <c r="T109" s="52" t="s">
        <v>106</v>
      </c>
      <c r="U109" s="52"/>
      <c r="V109" s="56" t="n">
        <v>0</v>
      </c>
      <c r="W109" s="50" t="s">
        <v>86</v>
      </c>
      <c r="X109" s="52"/>
      <c r="Y109" s="52"/>
      <c r="AA109" s="48"/>
      <c r="AB109" s="48"/>
      <c r="AC109" s="48"/>
      <c r="AD109" s="48"/>
      <c r="AE109" s="48"/>
      <c r="AF109" s="48"/>
      <c r="AG109" s="48"/>
      <c r="AH109" s="48"/>
      <c r="AI109" s="48"/>
      <c r="AJ109" s="48"/>
      <c r="AK109" s="48"/>
      <c r="AL109" s="48"/>
      <c r="AM109" s="48"/>
      <c r="AN109" s="48"/>
      <c r="AO109" s="48"/>
      <c r="AP109" s="48"/>
      <c r="AQ109" s="48"/>
      <c r="AR109" s="48"/>
      <c r="AS109" s="48"/>
      <c r="AT109" s="48"/>
      <c r="AU109" s="48"/>
      <c r="AV109" s="48"/>
      <c r="AW109" s="48"/>
      <c r="AX109" s="48"/>
      <c r="AY109" s="48"/>
      <c r="AZ109" s="48"/>
      <c r="BA109" s="48"/>
      <c r="BB109" s="48"/>
      <c r="BC109" s="48"/>
      <c r="BD109" s="48"/>
      <c r="BE109" s="48"/>
      <c r="BF109" s="48"/>
      <c r="BG109" s="48"/>
      <c r="BH109" s="48"/>
      <c r="BI109" s="48"/>
      <c r="BJ109" s="48"/>
      <c r="BK109" s="48"/>
      <c r="BL109" s="48"/>
      <c r="BM109" s="48"/>
      <c r="BN109" s="48"/>
      <c r="BO109" s="48"/>
      <c r="BP109" s="48"/>
      <c r="BQ109" s="48"/>
      <c r="BR109" s="48"/>
      <c r="BS109" s="48"/>
      <c r="BT109" s="48"/>
      <c r="BU109" s="48"/>
      <c r="BV109" s="48"/>
    </row>
    <row r="110" customFormat="false" ht="15" hidden="true" customHeight="true" outlineLevel="1" collapsed="false">
      <c r="A110" s="49" t="s">
        <v>478</v>
      </c>
      <c r="B110" s="52" t="s">
        <v>479</v>
      </c>
      <c r="C110" s="50" t="s">
        <v>480</v>
      </c>
      <c r="D110" s="50" t="s">
        <v>91</v>
      </c>
      <c r="E110" s="51" t="n">
        <v>0.5</v>
      </c>
      <c r="F110" s="52"/>
      <c r="G110" s="52"/>
      <c r="H110" s="52"/>
      <c r="I110" s="53" t="n">
        <v>46386</v>
      </c>
      <c r="J110" s="53" t="n">
        <v>46388</v>
      </c>
      <c r="K110" s="52"/>
      <c r="L110" s="52"/>
      <c r="M110" s="54" t="s">
        <v>481</v>
      </c>
      <c r="N110" s="55" t="n">
        <v>46347</v>
      </c>
      <c r="O110" s="55" t="n">
        <v>46348</v>
      </c>
      <c r="P110" s="50" t="s">
        <v>105</v>
      </c>
      <c r="Q110" s="52" t="n">
        <v>-40</v>
      </c>
      <c r="R110" s="52"/>
      <c r="S110" s="52" t="n">
        <v>2</v>
      </c>
      <c r="T110" s="52" t="s">
        <v>106</v>
      </c>
      <c r="U110" s="52"/>
      <c r="V110" s="56" t="n">
        <v>0</v>
      </c>
      <c r="W110" s="50" t="s">
        <v>86</v>
      </c>
      <c r="X110" s="52"/>
      <c r="Y110" s="52"/>
      <c r="AA110" s="48"/>
      <c r="AB110" s="48"/>
      <c r="AC110" s="48"/>
      <c r="AD110" s="48"/>
      <c r="AE110" s="48"/>
      <c r="AF110" s="48"/>
      <c r="AG110" s="48"/>
      <c r="AH110" s="48"/>
      <c r="AI110" s="48"/>
      <c r="AJ110" s="48"/>
      <c r="AK110" s="48"/>
      <c r="AL110" s="48"/>
      <c r="AM110" s="48"/>
      <c r="AN110" s="48"/>
      <c r="AO110" s="48"/>
      <c r="AP110" s="48"/>
      <c r="AQ110" s="48"/>
      <c r="AR110" s="48"/>
      <c r="AS110" s="48"/>
      <c r="AT110" s="48"/>
      <c r="AU110" s="48"/>
      <c r="AV110" s="48"/>
      <c r="AW110" s="48"/>
      <c r="AX110" s="48"/>
      <c r="AY110" s="48"/>
      <c r="AZ110" s="48"/>
      <c r="BA110" s="48"/>
      <c r="BB110" s="48"/>
      <c r="BC110" s="48"/>
      <c r="BD110" s="48"/>
      <c r="BE110" s="48"/>
      <c r="BF110" s="48"/>
      <c r="BG110" s="48"/>
      <c r="BH110" s="48"/>
      <c r="BI110" s="48"/>
      <c r="BJ110" s="48"/>
      <c r="BK110" s="48"/>
      <c r="BL110" s="48"/>
      <c r="BM110" s="48"/>
      <c r="BN110" s="48"/>
      <c r="BO110" s="48"/>
      <c r="BP110" s="48"/>
      <c r="BQ110" s="48"/>
      <c r="BR110" s="48"/>
      <c r="BS110" s="48"/>
      <c r="BT110" s="48"/>
      <c r="BU110" s="48"/>
      <c r="BV110" s="48"/>
    </row>
    <row r="111" customFormat="false" ht="15" hidden="false" customHeight="true" outlineLevel="0" collapsed="false">
      <c r="A111" s="37" t="s">
        <v>482</v>
      </c>
      <c r="B111" s="39" t="s">
        <v>483</v>
      </c>
      <c r="C111" s="39"/>
      <c r="D111" s="39" t="s">
        <v>79</v>
      </c>
      <c r="E111" s="40" t="n">
        <v>0</v>
      </c>
      <c r="F111" s="38" t="s">
        <v>238</v>
      </c>
      <c r="G111" s="37"/>
      <c r="H111" s="37" t="n">
        <v>1</v>
      </c>
      <c r="I111" s="41" t="n">
        <v>46390</v>
      </c>
      <c r="J111" s="41" t="n">
        <v>46390</v>
      </c>
      <c r="K111" s="42"/>
      <c r="L111" s="42"/>
      <c r="M111" s="43"/>
      <c r="N111" s="44" t="n">
        <v>46349</v>
      </c>
      <c r="O111" s="45" t="n">
        <v>46349</v>
      </c>
      <c r="P111" s="46" t="s">
        <v>105</v>
      </c>
      <c r="Q111" s="37" t="n">
        <v>-41</v>
      </c>
      <c r="R111" s="39"/>
      <c r="S111" s="39" t="n">
        <v>1</v>
      </c>
      <c r="T111" s="39" t="s">
        <v>106</v>
      </c>
      <c r="U111" s="57" t="n">
        <v>46349.0111</v>
      </c>
      <c r="V111" s="47" t="n">
        <v>0</v>
      </c>
      <c r="W111" s="38" t="s">
        <v>80</v>
      </c>
      <c r="X111" s="39" t="s">
        <v>484</v>
      </c>
      <c r="Y111" s="38" t="s">
        <v>485</v>
      </c>
      <c r="AA111" s="48"/>
      <c r="AB111" s="48"/>
      <c r="AC111" s="48"/>
      <c r="AD111" s="48"/>
      <c r="AE111" s="48"/>
      <c r="AF111" s="48"/>
      <c r="AG111" s="48"/>
      <c r="AH111" s="48"/>
      <c r="AI111" s="48"/>
      <c r="AJ111" s="48"/>
      <c r="AK111" s="48"/>
      <c r="AL111" s="48"/>
      <c r="AM111" s="48"/>
      <c r="AN111" s="48"/>
      <c r="AO111" s="48"/>
      <c r="AP111" s="48"/>
      <c r="AQ111" s="48"/>
      <c r="AR111" s="48"/>
      <c r="AS111" s="48"/>
      <c r="AT111" s="48"/>
      <c r="AU111" s="48"/>
      <c r="AV111" s="48"/>
      <c r="AW111" s="48"/>
      <c r="AX111" s="48"/>
      <c r="AY111" s="48"/>
      <c r="AZ111" s="48"/>
      <c r="BA111" s="48"/>
      <c r="BB111" s="48"/>
      <c r="BC111" s="48"/>
      <c r="BD111" s="48"/>
      <c r="BE111" s="48"/>
      <c r="BF111" s="48"/>
      <c r="BG111" s="48"/>
      <c r="BH111" s="48"/>
      <c r="BI111" s="48"/>
      <c r="BJ111" s="48"/>
      <c r="BK111" s="48"/>
      <c r="BL111" s="48"/>
      <c r="BM111" s="48"/>
      <c r="BN111" s="48"/>
      <c r="BO111" s="48"/>
      <c r="BP111" s="48"/>
      <c r="BQ111" s="48"/>
      <c r="BR111" s="48"/>
      <c r="BS111" s="48"/>
      <c r="BT111" s="48"/>
      <c r="BU111" s="48"/>
      <c r="BV111" s="48"/>
    </row>
    <row r="112" customFormat="false" ht="15" hidden="true" customHeight="true" outlineLevel="1" collapsed="false">
      <c r="A112" s="49" t="s">
        <v>486</v>
      </c>
      <c r="B112" s="50" t="s">
        <v>487</v>
      </c>
      <c r="C112" s="50" t="s">
        <v>488</v>
      </c>
      <c r="D112" s="50" t="s">
        <v>91</v>
      </c>
      <c r="E112" s="51" t="n">
        <v>0</v>
      </c>
      <c r="F112" s="52"/>
      <c r="G112" s="52"/>
      <c r="H112" s="52"/>
      <c r="I112" s="53" t="n">
        <v>46390</v>
      </c>
      <c r="J112" s="53" t="n">
        <v>46390</v>
      </c>
      <c r="K112" s="52"/>
      <c r="L112" s="52"/>
      <c r="M112" s="54" t="s">
        <v>489</v>
      </c>
      <c r="N112" s="55" t="n">
        <v>46349</v>
      </c>
      <c r="O112" s="55" t="n">
        <v>46349</v>
      </c>
      <c r="P112" s="50" t="s">
        <v>105</v>
      </c>
      <c r="Q112" s="52" t="n">
        <v>-41</v>
      </c>
      <c r="R112" s="52"/>
      <c r="S112" s="52" t="n">
        <v>2</v>
      </c>
      <c r="T112" s="52" t="s">
        <v>106</v>
      </c>
      <c r="U112" s="52"/>
      <c r="V112" s="56" t="n">
        <v>0</v>
      </c>
      <c r="W112" s="50" t="s">
        <v>86</v>
      </c>
      <c r="X112" s="52"/>
      <c r="Y112" s="52" t="s">
        <v>485</v>
      </c>
      <c r="AA112" s="48"/>
      <c r="AB112" s="48"/>
      <c r="AC112" s="48"/>
      <c r="AD112" s="48"/>
      <c r="AE112" s="48"/>
      <c r="AF112" s="48"/>
      <c r="AG112" s="48"/>
      <c r="AH112" s="48"/>
      <c r="AI112" s="48"/>
      <c r="AJ112" s="48"/>
      <c r="AK112" s="48"/>
      <c r="AL112" s="48"/>
      <c r="AM112" s="48"/>
      <c r="AN112" s="48"/>
      <c r="AO112" s="48"/>
      <c r="AP112" s="48"/>
      <c r="AQ112" s="48"/>
      <c r="AR112" s="48"/>
      <c r="AS112" s="48"/>
      <c r="AT112" s="48"/>
      <c r="AU112" s="48"/>
      <c r="AV112" s="48"/>
      <c r="AW112" s="48"/>
      <c r="AX112" s="48"/>
      <c r="AY112" s="48"/>
      <c r="AZ112" s="48"/>
      <c r="BA112" s="48"/>
      <c r="BB112" s="48"/>
      <c r="BC112" s="48"/>
      <c r="BD112" s="48"/>
      <c r="BE112" s="48"/>
      <c r="BF112" s="48"/>
      <c r="BG112" s="48"/>
      <c r="BH112" s="48"/>
      <c r="BI112" s="48"/>
      <c r="BJ112" s="48"/>
      <c r="BK112" s="48"/>
      <c r="BL112" s="48"/>
      <c r="BM112" s="48"/>
      <c r="BN112" s="48"/>
      <c r="BO112" s="48"/>
      <c r="BP112" s="48"/>
      <c r="BQ112" s="48"/>
      <c r="BR112" s="48"/>
      <c r="BS112" s="48"/>
      <c r="BT112" s="48"/>
      <c r="BU112" s="48"/>
      <c r="BV112" s="48"/>
    </row>
    <row r="113" customFormat="false" ht="15" hidden="true" customHeight="true" outlineLevel="1" collapsed="false">
      <c r="A113" s="49" t="s">
        <v>490</v>
      </c>
      <c r="B113" s="50" t="s">
        <v>491</v>
      </c>
      <c r="C113" s="50" t="s">
        <v>492</v>
      </c>
      <c r="D113" s="50" t="s">
        <v>91</v>
      </c>
      <c r="E113" s="51" t="n">
        <v>0</v>
      </c>
      <c r="F113" s="52"/>
      <c r="G113" s="52"/>
      <c r="H113" s="52"/>
      <c r="I113" s="53" t="n">
        <v>46390</v>
      </c>
      <c r="J113" s="53" t="n">
        <v>46390</v>
      </c>
      <c r="K113" s="52"/>
      <c r="L113" s="52"/>
      <c r="M113" s="54" t="s">
        <v>493</v>
      </c>
      <c r="N113" s="55" t="n">
        <v>46349</v>
      </c>
      <c r="O113" s="55" t="n">
        <v>46349</v>
      </c>
      <c r="P113" s="50" t="s">
        <v>105</v>
      </c>
      <c r="Q113" s="52" t="n">
        <v>-41</v>
      </c>
      <c r="R113" s="52"/>
      <c r="S113" s="52" t="n">
        <v>2</v>
      </c>
      <c r="T113" s="52" t="s">
        <v>106</v>
      </c>
      <c r="U113" s="52"/>
      <c r="V113" s="56" t="n">
        <v>0</v>
      </c>
      <c r="W113" s="50" t="s">
        <v>86</v>
      </c>
      <c r="X113" s="52"/>
      <c r="Y113" s="52" t="s">
        <v>485</v>
      </c>
      <c r="AA113" s="48"/>
      <c r="AB113" s="48"/>
      <c r="AC113" s="48"/>
      <c r="AD113" s="48"/>
      <c r="AE113" s="48"/>
      <c r="AF113" s="48"/>
      <c r="AG113" s="48"/>
      <c r="AH113" s="48"/>
      <c r="AI113" s="48"/>
      <c r="AJ113" s="48"/>
      <c r="AK113" s="48"/>
      <c r="AL113" s="48"/>
      <c r="AM113" s="48"/>
      <c r="AN113" s="48"/>
      <c r="AO113" s="48"/>
      <c r="AP113" s="48"/>
      <c r="AQ113" s="48"/>
      <c r="AR113" s="48"/>
      <c r="AS113" s="48"/>
      <c r="AT113" s="48"/>
      <c r="AU113" s="48"/>
      <c r="AV113" s="48"/>
      <c r="AW113" s="48"/>
      <c r="AX113" s="48"/>
      <c r="AY113" s="48"/>
      <c r="AZ113" s="48"/>
      <c r="BA113" s="48"/>
      <c r="BB113" s="48"/>
      <c r="BC113" s="48"/>
      <c r="BD113" s="48"/>
      <c r="BE113" s="48"/>
      <c r="BF113" s="48"/>
      <c r="BG113" s="48"/>
      <c r="BH113" s="48"/>
      <c r="BI113" s="48"/>
      <c r="BJ113" s="48"/>
      <c r="BK113" s="48"/>
      <c r="BL113" s="48"/>
      <c r="BM113" s="48"/>
      <c r="BN113" s="48"/>
      <c r="BO113" s="48"/>
      <c r="BP113" s="48"/>
      <c r="BQ113" s="48"/>
      <c r="BR113" s="48"/>
      <c r="BS113" s="48"/>
      <c r="BT113" s="48"/>
      <c r="BU113" s="48"/>
      <c r="BV113" s="48"/>
    </row>
    <row r="114" customFormat="false" ht="15" hidden="false" customHeight="true" outlineLevel="0" collapsed="false">
      <c r="A114" s="31" t="s">
        <v>494</v>
      </c>
      <c r="B114" s="31" t="s">
        <v>495</v>
      </c>
      <c r="C114" s="31"/>
      <c r="D114" s="31"/>
      <c r="E114" s="32" t="n">
        <v>5</v>
      </c>
      <c r="F114" s="31"/>
      <c r="G114" s="31"/>
      <c r="H114" s="31"/>
      <c r="I114" s="33" t="n">
        <v>46391</v>
      </c>
      <c r="J114" s="33" t="n">
        <v>46453</v>
      </c>
      <c r="K114" s="31"/>
      <c r="L114" s="31"/>
      <c r="M114" s="31"/>
      <c r="N114" s="33" t="n">
        <v>46350</v>
      </c>
      <c r="O114" s="33" t="n">
        <v>46450</v>
      </c>
      <c r="P114" s="34" t="s">
        <v>105</v>
      </c>
      <c r="Q114" s="31" t="n">
        <v>-3</v>
      </c>
      <c r="R114" s="31"/>
      <c r="S114" s="31" t="n">
        <v>0</v>
      </c>
      <c r="T114" s="31" t="s">
        <v>106</v>
      </c>
      <c r="U114" s="31"/>
      <c r="V114" s="35" t="n">
        <v>0</v>
      </c>
      <c r="W114" s="31"/>
      <c r="X114" s="31"/>
      <c r="Y114" s="31"/>
      <c r="AA114" s="36"/>
      <c r="AB114" s="36"/>
      <c r="AC114" s="36"/>
      <c r="AD114" s="36"/>
      <c r="AE114" s="36"/>
      <c r="AF114" s="36"/>
      <c r="AG114" s="36"/>
      <c r="AH114" s="36"/>
      <c r="AI114" s="36"/>
      <c r="AJ114" s="36"/>
      <c r="AK114" s="36"/>
      <c r="AL114" s="36"/>
      <c r="AM114" s="36"/>
      <c r="AN114" s="36"/>
      <c r="AO114" s="36"/>
      <c r="AP114" s="36"/>
      <c r="AQ114" s="36"/>
      <c r="AR114" s="36"/>
      <c r="AS114" s="36"/>
      <c r="AT114" s="36"/>
      <c r="AU114" s="36"/>
      <c r="AV114" s="36"/>
      <c r="AW114" s="36"/>
      <c r="AX114" s="36"/>
      <c r="AY114" s="36"/>
      <c r="AZ114" s="36"/>
      <c r="BA114" s="36"/>
      <c r="BB114" s="36"/>
      <c r="BC114" s="36"/>
      <c r="BD114" s="36"/>
      <c r="BE114" s="36"/>
      <c r="BF114" s="36"/>
      <c r="BG114" s="36"/>
      <c r="BH114" s="36"/>
      <c r="BI114" s="36"/>
      <c r="BJ114" s="36"/>
      <c r="BK114" s="36"/>
      <c r="BL114" s="36"/>
      <c r="BM114" s="36"/>
      <c r="BN114" s="36"/>
      <c r="BO114" s="36"/>
      <c r="BP114" s="36"/>
      <c r="BQ114" s="36"/>
      <c r="BR114" s="36"/>
      <c r="BS114" s="36"/>
      <c r="BT114" s="36"/>
      <c r="BU114" s="36"/>
      <c r="BV114" s="36"/>
    </row>
    <row r="115" customFormat="false" ht="15" hidden="false" customHeight="true" outlineLevel="0" collapsed="false">
      <c r="A115" s="37" t="s">
        <v>496</v>
      </c>
      <c r="B115" s="39" t="s">
        <v>497</v>
      </c>
      <c r="C115" s="39"/>
      <c r="D115" s="39" t="s">
        <v>290</v>
      </c>
      <c r="E115" s="40" t="n">
        <v>2.5</v>
      </c>
      <c r="F115" s="38" t="s">
        <v>238</v>
      </c>
      <c r="G115" s="37"/>
      <c r="H115" s="37" t="n">
        <v>1</v>
      </c>
      <c r="I115" s="41" t="n">
        <v>46391</v>
      </c>
      <c r="J115" s="41" t="n">
        <v>46393</v>
      </c>
      <c r="K115" s="42"/>
      <c r="L115" s="42"/>
      <c r="M115" s="43"/>
      <c r="N115" s="44" t="n">
        <v>46359</v>
      </c>
      <c r="O115" s="45" t="n">
        <v>46359</v>
      </c>
      <c r="P115" s="46" t="s">
        <v>105</v>
      </c>
      <c r="Q115" s="37" t="n">
        <v>-34</v>
      </c>
      <c r="R115" s="39"/>
      <c r="S115" s="39" t="n">
        <v>1</v>
      </c>
      <c r="T115" s="39" t="s">
        <v>106</v>
      </c>
      <c r="U115" s="57" t="n">
        <v>46359.0115</v>
      </c>
      <c r="V115" s="47" t="n">
        <v>0</v>
      </c>
      <c r="W115" s="39" t="s">
        <v>86</v>
      </c>
      <c r="X115" s="39" t="s">
        <v>498</v>
      </c>
      <c r="Y115" s="38" t="s">
        <v>499</v>
      </c>
      <c r="AA115" s="48"/>
      <c r="AB115" s="48"/>
      <c r="AC115" s="48"/>
      <c r="AD115" s="48"/>
      <c r="AE115" s="48"/>
      <c r="AF115" s="48"/>
      <c r="AG115" s="48"/>
      <c r="AH115" s="48"/>
      <c r="AI115" s="48"/>
      <c r="AJ115" s="48"/>
      <c r="AK115" s="48"/>
      <c r="AL115" s="48"/>
      <c r="AM115" s="48"/>
      <c r="AN115" s="48"/>
      <c r="AO115" s="48"/>
      <c r="AP115" s="48"/>
      <c r="AQ115" s="48"/>
      <c r="AR115" s="48"/>
      <c r="AS115" s="48"/>
      <c r="AT115" s="48"/>
      <c r="AU115" s="48"/>
      <c r="AV115" s="48"/>
      <c r="AW115" s="48"/>
      <c r="AX115" s="48"/>
      <c r="AY115" s="48"/>
      <c r="AZ115" s="48"/>
      <c r="BA115" s="48"/>
      <c r="BB115" s="48"/>
      <c r="BC115" s="48"/>
      <c r="BD115" s="48"/>
      <c r="BE115" s="48"/>
      <c r="BF115" s="48"/>
      <c r="BG115" s="48"/>
      <c r="BH115" s="48"/>
      <c r="BI115" s="48"/>
      <c r="BJ115" s="48"/>
      <c r="BK115" s="48"/>
      <c r="BL115" s="48"/>
      <c r="BM115" s="48"/>
      <c r="BN115" s="48"/>
      <c r="BO115" s="48"/>
      <c r="BP115" s="48"/>
      <c r="BQ115" s="48"/>
      <c r="BR115" s="48"/>
      <c r="BS115" s="48"/>
      <c r="BT115" s="48"/>
      <c r="BU115" s="48"/>
      <c r="BV115" s="48"/>
    </row>
    <row r="116" customFormat="false" ht="15" hidden="true" customHeight="true" outlineLevel="1" collapsed="false">
      <c r="A116" s="49" t="s">
        <v>500</v>
      </c>
      <c r="B116" s="52" t="s">
        <v>501</v>
      </c>
      <c r="C116" s="52" t="s">
        <v>502</v>
      </c>
      <c r="D116" s="50" t="s">
        <v>86</v>
      </c>
      <c r="E116" s="51" t="n">
        <v>0.25</v>
      </c>
      <c r="F116" s="52"/>
      <c r="G116" s="52"/>
      <c r="H116" s="52"/>
      <c r="I116" s="53" t="n">
        <v>46391</v>
      </c>
      <c r="J116" s="53" t="n">
        <v>46391</v>
      </c>
      <c r="K116" s="52"/>
      <c r="L116" s="52"/>
      <c r="M116" s="54" t="s">
        <v>503</v>
      </c>
      <c r="N116" s="55" t="n">
        <v>46359</v>
      </c>
      <c r="O116" s="55" t="n">
        <v>46359</v>
      </c>
      <c r="P116" s="50" t="s">
        <v>105</v>
      </c>
      <c r="Q116" s="52" t="n">
        <v>-32</v>
      </c>
      <c r="R116" s="52"/>
      <c r="S116" s="52" t="n">
        <v>2</v>
      </c>
      <c r="T116" s="52" t="s">
        <v>106</v>
      </c>
      <c r="U116" s="52"/>
      <c r="V116" s="56" t="n">
        <v>0</v>
      </c>
      <c r="W116" s="52" t="s">
        <v>80</v>
      </c>
      <c r="X116" s="52"/>
      <c r="Y116" s="52" t="s">
        <v>499</v>
      </c>
      <c r="AA116" s="48"/>
      <c r="AB116" s="48"/>
      <c r="AC116" s="48"/>
      <c r="AD116" s="48"/>
      <c r="AE116" s="48"/>
      <c r="AF116" s="48"/>
      <c r="AG116" s="48"/>
      <c r="AH116" s="48"/>
      <c r="AI116" s="48"/>
      <c r="AJ116" s="48"/>
      <c r="AK116" s="48"/>
      <c r="AL116" s="48"/>
      <c r="AM116" s="48"/>
      <c r="AN116" s="48"/>
      <c r="AO116" s="48"/>
      <c r="AP116" s="48"/>
      <c r="AQ116" s="48"/>
      <c r="AR116" s="48"/>
      <c r="AS116" s="48"/>
      <c r="AT116" s="48"/>
      <c r="AU116" s="48"/>
      <c r="AV116" s="48"/>
      <c r="AW116" s="48"/>
      <c r="AX116" s="48"/>
      <c r="AY116" s="48"/>
      <c r="AZ116" s="48"/>
      <c r="BA116" s="48"/>
      <c r="BB116" s="48"/>
      <c r="BC116" s="48"/>
      <c r="BD116" s="48"/>
      <c r="BE116" s="48"/>
      <c r="BF116" s="48"/>
      <c r="BG116" s="48"/>
      <c r="BH116" s="48"/>
      <c r="BI116" s="48"/>
      <c r="BJ116" s="48"/>
      <c r="BK116" s="48"/>
      <c r="BL116" s="48"/>
      <c r="BM116" s="48"/>
      <c r="BN116" s="48"/>
      <c r="BO116" s="48"/>
      <c r="BP116" s="48"/>
      <c r="BQ116" s="48"/>
      <c r="BR116" s="48"/>
      <c r="BS116" s="48"/>
      <c r="BT116" s="48"/>
      <c r="BU116" s="48"/>
      <c r="BV116" s="48"/>
    </row>
    <row r="117" customFormat="false" ht="15" hidden="true" customHeight="true" outlineLevel="1" collapsed="false">
      <c r="A117" s="49" t="s">
        <v>504</v>
      </c>
      <c r="B117" s="50" t="s">
        <v>505</v>
      </c>
      <c r="C117" s="50" t="s">
        <v>506</v>
      </c>
      <c r="D117" s="50" t="s">
        <v>91</v>
      </c>
      <c r="E117" s="51" t="n">
        <v>0.75</v>
      </c>
      <c r="F117" s="52"/>
      <c r="G117" s="52"/>
      <c r="H117" s="52"/>
      <c r="I117" s="53" t="n">
        <v>46391</v>
      </c>
      <c r="J117" s="53" t="n">
        <v>46392</v>
      </c>
      <c r="K117" s="52"/>
      <c r="L117" s="52"/>
      <c r="M117" s="54" t="s">
        <v>507</v>
      </c>
      <c r="N117" s="55" t="n">
        <v>46359</v>
      </c>
      <c r="O117" s="55" t="n">
        <v>46359</v>
      </c>
      <c r="P117" s="50" t="s">
        <v>105</v>
      </c>
      <c r="Q117" s="52" t="n">
        <v>-33</v>
      </c>
      <c r="R117" s="52"/>
      <c r="S117" s="52" t="n">
        <v>2</v>
      </c>
      <c r="T117" s="52" t="s">
        <v>106</v>
      </c>
      <c r="U117" s="52"/>
      <c r="V117" s="56" t="n">
        <v>0</v>
      </c>
      <c r="W117" s="50" t="s">
        <v>86</v>
      </c>
      <c r="X117" s="52"/>
      <c r="Y117" s="52" t="s">
        <v>499</v>
      </c>
      <c r="AA117" s="48"/>
      <c r="AB117" s="48"/>
      <c r="AC117" s="48"/>
      <c r="AD117" s="48"/>
      <c r="AE117" s="48"/>
      <c r="AF117" s="48"/>
      <c r="AG117" s="48"/>
      <c r="AH117" s="48"/>
      <c r="AI117" s="48"/>
      <c r="AJ117" s="48"/>
      <c r="AK117" s="48"/>
      <c r="AL117" s="48"/>
      <c r="AM117" s="48"/>
      <c r="AN117" s="48"/>
      <c r="AO117" s="48"/>
      <c r="AP117" s="48"/>
      <c r="AQ117" s="48"/>
      <c r="AR117" s="48"/>
      <c r="AS117" s="48"/>
      <c r="AT117" s="48"/>
      <c r="AU117" s="48"/>
      <c r="AV117" s="48"/>
      <c r="AW117" s="48"/>
      <c r="AX117" s="48"/>
      <c r="AY117" s="48"/>
      <c r="AZ117" s="48"/>
      <c r="BA117" s="48"/>
      <c r="BB117" s="48"/>
      <c r="BC117" s="48"/>
      <c r="BD117" s="48"/>
      <c r="BE117" s="48"/>
      <c r="BF117" s="48"/>
      <c r="BG117" s="48"/>
      <c r="BH117" s="48"/>
      <c r="BI117" s="48"/>
      <c r="BJ117" s="48"/>
      <c r="BK117" s="48"/>
      <c r="BL117" s="48"/>
      <c r="BM117" s="48"/>
      <c r="BN117" s="48"/>
      <c r="BO117" s="48"/>
      <c r="BP117" s="48"/>
      <c r="BQ117" s="48"/>
      <c r="BR117" s="48"/>
      <c r="BS117" s="48"/>
      <c r="BT117" s="48"/>
      <c r="BU117" s="48"/>
      <c r="BV117" s="48"/>
    </row>
    <row r="118" customFormat="false" ht="15" hidden="true" customHeight="true" outlineLevel="1" collapsed="false">
      <c r="A118" s="49" t="s">
        <v>508</v>
      </c>
      <c r="B118" s="50" t="s">
        <v>509</v>
      </c>
      <c r="C118" s="50" t="s">
        <v>510</v>
      </c>
      <c r="D118" s="50" t="s">
        <v>91</v>
      </c>
      <c r="E118" s="51" t="n">
        <v>0.25</v>
      </c>
      <c r="F118" s="52"/>
      <c r="G118" s="52"/>
      <c r="H118" s="52"/>
      <c r="I118" s="53" t="n">
        <v>46392</v>
      </c>
      <c r="J118" s="53" t="n">
        <v>46392</v>
      </c>
      <c r="K118" s="52"/>
      <c r="L118" s="52"/>
      <c r="M118" s="54" t="s">
        <v>511</v>
      </c>
      <c r="N118" s="55" t="n">
        <v>46359</v>
      </c>
      <c r="O118" s="55" t="n">
        <v>46359</v>
      </c>
      <c r="P118" s="50" t="s">
        <v>105</v>
      </c>
      <c r="Q118" s="52" t="n">
        <v>-33</v>
      </c>
      <c r="R118" s="52"/>
      <c r="S118" s="52" t="n">
        <v>2</v>
      </c>
      <c r="T118" s="52" t="s">
        <v>106</v>
      </c>
      <c r="U118" s="52"/>
      <c r="V118" s="56" t="n">
        <v>0</v>
      </c>
      <c r="W118" s="50" t="s">
        <v>86</v>
      </c>
      <c r="X118" s="52"/>
      <c r="Y118" s="52" t="s">
        <v>499</v>
      </c>
      <c r="AA118" s="48"/>
      <c r="AB118" s="48"/>
      <c r="AC118" s="48"/>
      <c r="AD118" s="48"/>
      <c r="AE118" s="48"/>
      <c r="AF118" s="48"/>
      <c r="AG118" s="48"/>
      <c r="AH118" s="48"/>
      <c r="AI118" s="48"/>
      <c r="AJ118" s="48"/>
      <c r="AK118" s="48"/>
      <c r="AL118" s="48"/>
      <c r="AM118" s="48"/>
      <c r="AN118" s="48"/>
      <c r="AO118" s="48"/>
      <c r="AP118" s="48"/>
      <c r="AQ118" s="48"/>
      <c r="AR118" s="48"/>
      <c r="AS118" s="48"/>
      <c r="AT118" s="48"/>
      <c r="AU118" s="48"/>
      <c r="AV118" s="48"/>
      <c r="AW118" s="48"/>
      <c r="AX118" s="48"/>
      <c r="AY118" s="48"/>
      <c r="AZ118" s="48"/>
      <c r="BA118" s="48"/>
      <c r="BB118" s="48"/>
      <c r="BC118" s="48"/>
      <c r="BD118" s="48"/>
      <c r="BE118" s="48"/>
      <c r="BF118" s="48"/>
      <c r="BG118" s="48"/>
      <c r="BH118" s="48"/>
      <c r="BI118" s="48"/>
      <c r="BJ118" s="48"/>
      <c r="BK118" s="48"/>
      <c r="BL118" s="48"/>
      <c r="BM118" s="48"/>
      <c r="BN118" s="48"/>
      <c r="BO118" s="48"/>
      <c r="BP118" s="48"/>
      <c r="BQ118" s="48"/>
      <c r="BR118" s="48"/>
      <c r="BS118" s="48"/>
      <c r="BT118" s="48"/>
      <c r="BU118" s="48"/>
      <c r="BV118" s="48"/>
    </row>
    <row r="119" customFormat="false" ht="15" hidden="true" customHeight="true" outlineLevel="1" collapsed="false">
      <c r="A119" s="49" t="s">
        <v>512</v>
      </c>
      <c r="B119" s="50" t="s">
        <v>513</v>
      </c>
      <c r="C119" s="50" t="s">
        <v>514</v>
      </c>
      <c r="D119" s="50" t="s">
        <v>91</v>
      </c>
      <c r="E119" s="51" t="n">
        <v>0.25</v>
      </c>
      <c r="F119" s="52"/>
      <c r="G119" s="52"/>
      <c r="H119" s="52"/>
      <c r="I119" s="53" t="n">
        <v>46392</v>
      </c>
      <c r="J119" s="53" t="n">
        <v>46392</v>
      </c>
      <c r="K119" s="52"/>
      <c r="L119" s="52"/>
      <c r="M119" s="54" t="s">
        <v>515</v>
      </c>
      <c r="N119" s="55" t="n">
        <v>46359</v>
      </c>
      <c r="O119" s="55" t="n">
        <v>46359</v>
      </c>
      <c r="P119" s="50" t="s">
        <v>105</v>
      </c>
      <c r="Q119" s="52" t="n">
        <v>-33</v>
      </c>
      <c r="R119" s="52"/>
      <c r="S119" s="52" t="n">
        <v>2</v>
      </c>
      <c r="T119" s="52" t="s">
        <v>106</v>
      </c>
      <c r="U119" s="52"/>
      <c r="V119" s="56" t="n">
        <v>0</v>
      </c>
      <c r="W119" s="50" t="s">
        <v>86</v>
      </c>
      <c r="X119" s="52"/>
      <c r="Y119" s="52" t="s">
        <v>499</v>
      </c>
      <c r="AA119" s="48"/>
      <c r="AB119" s="48"/>
      <c r="AC119" s="48"/>
      <c r="AD119" s="48"/>
      <c r="AE119" s="48"/>
      <c r="AF119" s="48"/>
      <c r="AG119" s="48"/>
      <c r="AH119" s="48"/>
      <c r="AI119" s="48"/>
      <c r="AJ119" s="48"/>
      <c r="AK119" s="48"/>
      <c r="AL119" s="48"/>
      <c r="AM119" s="48"/>
      <c r="AN119" s="48"/>
      <c r="AO119" s="48"/>
      <c r="AP119" s="48"/>
      <c r="AQ119" s="48"/>
      <c r="AR119" s="48"/>
      <c r="AS119" s="48"/>
      <c r="AT119" s="48"/>
      <c r="AU119" s="48"/>
      <c r="AV119" s="48"/>
      <c r="AW119" s="48"/>
      <c r="AX119" s="48"/>
      <c r="AY119" s="48"/>
      <c r="AZ119" s="48"/>
      <c r="BA119" s="48"/>
      <c r="BB119" s="48"/>
      <c r="BC119" s="48"/>
      <c r="BD119" s="48"/>
      <c r="BE119" s="48"/>
      <c r="BF119" s="48"/>
      <c r="BG119" s="48"/>
      <c r="BH119" s="48"/>
      <c r="BI119" s="48"/>
      <c r="BJ119" s="48"/>
      <c r="BK119" s="48"/>
      <c r="BL119" s="48"/>
      <c r="BM119" s="48"/>
      <c r="BN119" s="48"/>
      <c r="BO119" s="48"/>
      <c r="BP119" s="48"/>
      <c r="BQ119" s="48"/>
      <c r="BR119" s="48"/>
      <c r="BS119" s="48"/>
      <c r="BT119" s="48"/>
      <c r="BU119" s="48"/>
      <c r="BV119" s="48"/>
    </row>
    <row r="120" customFormat="false" ht="15" hidden="true" customHeight="true" outlineLevel="1" collapsed="false">
      <c r="A120" s="49" t="s">
        <v>516</v>
      </c>
      <c r="B120" s="50" t="s">
        <v>517</v>
      </c>
      <c r="C120" s="50" t="s">
        <v>518</v>
      </c>
      <c r="D120" s="50" t="s">
        <v>91</v>
      </c>
      <c r="E120" s="51" t="n">
        <v>0.5</v>
      </c>
      <c r="F120" s="52"/>
      <c r="G120" s="52"/>
      <c r="H120" s="52"/>
      <c r="I120" s="53" t="n">
        <v>46392</v>
      </c>
      <c r="J120" s="53" t="n">
        <v>46393</v>
      </c>
      <c r="K120" s="52"/>
      <c r="L120" s="52"/>
      <c r="M120" s="54" t="s">
        <v>519</v>
      </c>
      <c r="N120" s="55" t="n">
        <v>46359</v>
      </c>
      <c r="O120" s="55" t="n">
        <v>46359</v>
      </c>
      <c r="P120" s="50" t="s">
        <v>105</v>
      </c>
      <c r="Q120" s="52" t="n">
        <v>-34</v>
      </c>
      <c r="R120" s="52"/>
      <c r="S120" s="52" t="n">
        <v>2</v>
      </c>
      <c r="T120" s="52" t="s">
        <v>106</v>
      </c>
      <c r="U120" s="52"/>
      <c r="V120" s="56" t="n">
        <v>0</v>
      </c>
      <c r="W120" s="50" t="s">
        <v>86</v>
      </c>
      <c r="X120" s="52"/>
      <c r="Y120" s="52" t="s">
        <v>499</v>
      </c>
      <c r="AA120" s="48"/>
      <c r="AB120" s="48"/>
      <c r="AC120" s="48"/>
      <c r="AD120" s="48"/>
      <c r="AE120" s="48"/>
      <c r="AF120" s="48"/>
      <c r="AG120" s="48"/>
      <c r="AH120" s="48"/>
      <c r="AI120" s="48"/>
      <c r="AJ120" s="48"/>
      <c r="AK120" s="48"/>
      <c r="AL120" s="48"/>
      <c r="AM120" s="48"/>
      <c r="AN120" s="48"/>
      <c r="AO120" s="48"/>
      <c r="AP120" s="48"/>
      <c r="AQ120" s="48"/>
      <c r="AR120" s="48"/>
      <c r="AS120" s="48"/>
      <c r="AT120" s="48"/>
      <c r="AU120" s="48"/>
      <c r="AV120" s="48"/>
      <c r="AW120" s="48"/>
      <c r="AX120" s="48"/>
      <c r="AY120" s="48"/>
      <c r="AZ120" s="48"/>
      <c r="BA120" s="48"/>
      <c r="BB120" s="48"/>
      <c r="BC120" s="48"/>
      <c r="BD120" s="48"/>
      <c r="BE120" s="48"/>
      <c r="BF120" s="48"/>
      <c r="BG120" s="48"/>
      <c r="BH120" s="48"/>
      <c r="BI120" s="48"/>
      <c r="BJ120" s="48"/>
      <c r="BK120" s="48"/>
      <c r="BL120" s="48"/>
      <c r="BM120" s="48"/>
      <c r="BN120" s="48"/>
      <c r="BO120" s="48"/>
      <c r="BP120" s="48"/>
      <c r="BQ120" s="48"/>
      <c r="BR120" s="48"/>
      <c r="BS120" s="48"/>
      <c r="BT120" s="48"/>
      <c r="BU120" s="48"/>
      <c r="BV120" s="48"/>
    </row>
    <row r="121" customFormat="false" ht="15" hidden="true" customHeight="true" outlineLevel="1" collapsed="false">
      <c r="A121" s="49" t="s">
        <v>520</v>
      </c>
      <c r="B121" s="50" t="s">
        <v>521</v>
      </c>
      <c r="C121" s="50" t="s">
        <v>522</v>
      </c>
      <c r="D121" s="50" t="s">
        <v>91</v>
      </c>
      <c r="E121" s="51" t="n">
        <v>0.5</v>
      </c>
      <c r="F121" s="52"/>
      <c r="G121" s="52"/>
      <c r="H121" s="52"/>
      <c r="I121" s="53" t="n">
        <v>46392</v>
      </c>
      <c r="J121" s="53" t="n">
        <v>46393</v>
      </c>
      <c r="K121" s="52"/>
      <c r="L121" s="52"/>
      <c r="M121" s="54" t="s">
        <v>523</v>
      </c>
      <c r="N121" s="55" t="n">
        <v>46359</v>
      </c>
      <c r="O121" s="55" t="n">
        <v>46359</v>
      </c>
      <c r="P121" s="50" t="s">
        <v>105</v>
      </c>
      <c r="Q121" s="52" t="n">
        <v>-34</v>
      </c>
      <c r="R121" s="52"/>
      <c r="S121" s="52" t="n">
        <v>2</v>
      </c>
      <c r="T121" s="52" t="s">
        <v>106</v>
      </c>
      <c r="U121" s="52"/>
      <c r="V121" s="56" t="n">
        <v>0</v>
      </c>
      <c r="W121" s="50" t="s">
        <v>86</v>
      </c>
      <c r="X121" s="52"/>
      <c r="Y121" s="52" t="s">
        <v>499</v>
      </c>
      <c r="AA121" s="48"/>
      <c r="AB121" s="48"/>
      <c r="AC121" s="48"/>
      <c r="AD121" s="48"/>
      <c r="AE121" s="48"/>
      <c r="AF121" s="48"/>
      <c r="AG121" s="48"/>
      <c r="AH121" s="48"/>
      <c r="AI121" s="48"/>
      <c r="AJ121" s="48"/>
      <c r="AK121" s="48"/>
      <c r="AL121" s="48"/>
      <c r="AM121" s="48"/>
      <c r="AN121" s="48"/>
      <c r="AO121" s="48"/>
      <c r="AP121" s="48"/>
      <c r="AQ121" s="48"/>
      <c r="AR121" s="48"/>
      <c r="AS121" s="48"/>
      <c r="AT121" s="48"/>
      <c r="AU121" s="48"/>
      <c r="AV121" s="48"/>
      <c r="AW121" s="48"/>
      <c r="AX121" s="48"/>
      <c r="AY121" s="48"/>
      <c r="AZ121" s="48"/>
      <c r="BA121" s="48"/>
      <c r="BB121" s="48"/>
      <c r="BC121" s="48"/>
      <c r="BD121" s="48"/>
      <c r="BE121" s="48"/>
      <c r="BF121" s="48"/>
      <c r="BG121" s="48"/>
      <c r="BH121" s="48"/>
      <c r="BI121" s="48"/>
      <c r="BJ121" s="48"/>
      <c r="BK121" s="48"/>
      <c r="BL121" s="48"/>
      <c r="BM121" s="48"/>
      <c r="BN121" s="48"/>
      <c r="BO121" s="48"/>
      <c r="BP121" s="48"/>
      <c r="BQ121" s="48"/>
      <c r="BR121" s="48"/>
      <c r="BS121" s="48"/>
      <c r="BT121" s="48"/>
      <c r="BU121" s="48"/>
      <c r="BV121" s="48"/>
    </row>
    <row r="122" customFormat="false" ht="15" hidden="false" customHeight="true" outlineLevel="0" collapsed="false">
      <c r="A122" s="37" t="s">
        <v>524</v>
      </c>
      <c r="B122" s="39" t="s">
        <v>525</v>
      </c>
      <c r="C122" s="39"/>
      <c r="D122" s="39" t="s">
        <v>79</v>
      </c>
      <c r="E122" s="40" t="n">
        <v>0</v>
      </c>
      <c r="F122" s="38" t="s">
        <v>238</v>
      </c>
      <c r="G122" s="37"/>
      <c r="H122" s="37" t="n">
        <v>1</v>
      </c>
      <c r="I122" s="41" t="n">
        <v>46393</v>
      </c>
      <c r="J122" s="41" t="n">
        <v>46393</v>
      </c>
      <c r="K122" s="42"/>
      <c r="L122" s="42"/>
      <c r="M122" s="43"/>
      <c r="N122" s="44" t="n">
        <v>46356</v>
      </c>
      <c r="O122" s="45" t="n">
        <v>46356</v>
      </c>
      <c r="P122" s="46" t="s">
        <v>105</v>
      </c>
      <c r="Q122" s="37" t="n">
        <v>-37</v>
      </c>
      <c r="R122" s="39"/>
      <c r="S122" s="39" t="n">
        <v>1</v>
      </c>
      <c r="T122" s="39" t="s">
        <v>106</v>
      </c>
      <c r="U122" s="57" t="n">
        <v>46356.0122</v>
      </c>
      <c r="V122" s="47" t="n">
        <v>0</v>
      </c>
      <c r="W122" s="38" t="s">
        <v>80</v>
      </c>
      <c r="X122" s="39"/>
      <c r="Y122" s="38" t="s">
        <v>526</v>
      </c>
      <c r="AA122" s="48"/>
      <c r="AB122" s="48"/>
      <c r="AC122" s="48"/>
      <c r="AD122" s="48"/>
      <c r="AE122" s="48"/>
      <c r="AF122" s="48"/>
      <c r="AG122" s="48"/>
      <c r="AH122" s="48"/>
      <c r="AI122" s="48"/>
      <c r="AJ122" s="48"/>
      <c r="AK122" s="48"/>
      <c r="AL122" s="48"/>
      <c r="AM122" s="48"/>
      <c r="AN122" s="48"/>
      <c r="AO122" s="48"/>
      <c r="AP122" s="48"/>
      <c r="AQ122" s="48"/>
      <c r="AR122" s="48"/>
      <c r="AS122" s="48"/>
      <c r="AT122" s="48"/>
      <c r="AU122" s="48"/>
      <c r="AV122" s="48"/>
      <c r="AW122" s="48"/>
      <c r="AX122" s="48"/>
      <c r="AY122" s="48"/>
      <c r="AZ122" s="48"/>
      <c r="BA122" s="48"/>
      <c r="BB122" s="48"/>
      <c r="BC122" s="48"/>
      <c r="BD122" s="48"/>
      <c r="BE122" s="48"/>
      <c r="BF122" s="48"/>
      <c r="BG122" s="48"/>
      <c r="BH122" s="48"/>
      <c r="BI122" s="48"/>
      <c r="BJ122" s="48"/>
      <c r="BK122" s="48"/>
      <c r="BL122" s="48"/>
      <c r="BM122" s="48"/>
      <c r="BN122" s="48"/>
      <c r="BO122" s="48"/>
      <c r="BP122" s="48"/>
      <c r="BQ122" s="48"/>
      <c r="BR122" s="48"/>
      <c r="BS122" s="48"/>
      <c r="BT122" s="48"/>
      <c r="BU122" s="48"/>
      <c r="BV122" s="48"/>
    </row>
    <row r="123" customFormat="false" ht="15" hidden="false" customHeight="true" outlineLevel="0" collapsed="false">
      <c r="A123" s="37" t="s">
        <v>527</v>
      </c>
      <c r="B123" s="39" t="s">
        <v>528</v>
      </c>
      <c r="C123" s="39"/>
      <c r="D123" s="39" t="s">
        <v>79</v>
      </c>
      <c r="E123" s="40" t="n">
        <v>0</v>
      </c>
      <c r="F123" s="38" t="s">
        <v>482</v>
      </c>
      <c r="G123" s="37" t="n">
        <v>0</v>
      </c>
      <c r="H123" s="37" t="n">
        <v>5</v>
      </c>
      <c r="I123" s="41" t="n">
        <v>46391</v>
      </c>
      <c r="J123" s="41" t="n">
        <v>46395</v>
      </c>
      <c r="K123" s="42"/>
      <c r="L123" s="42"/>
      <c r="M123" s="43"/>
      <c r="N123" s="44" t="n">
        <v>46350</v>
      </c>
      <c r="O123" s="45" t="n">
        <v>46356</v>
      </c>
      <c r="P123" s="46" t="s">
        <v>105</v>
      </c>
      <c r="Q123" s="37" t="n">
        <v>-39</v>
      </c>
      <c r="R123" s="39"/>
      <c r="S123" s="39" t="n">
        <v>1</v>
      </c>
      <c r="T123" s="39" t="s">
        <v>106</v>
      </c>
      <c r="U123" s="57" t="n">
        <v>46350.0123</v>
      </c>
      <c r="V123" s="47" t="n">
        <v>0</v>
      </c>
      <c r="W123" s="38" t="s">
        <v>80</v>
      </c>
      <c r="X123" s="39"/>
      <c r="Y123" s="38" t="s">
        <v>529</v>
      </c>
      <c r="AA123" s="48"/>
      <c r="AB123" s="48"/>
      <c r="AC123" s="48"/>
      <c r="AD123" s="48"/>
      <c r="AE123" s="48"/>
      <c r="AF123" s="48"/>
      <c r="AG123" s="48"/>
      <c r="AH123" s="48"/>
      <c r="AI123" s="48"/>
      <c r="AJ123" s="48"/>
      <c r="AK123" s="48"/>
      <c r="AL123" s="48"/>
      <c r="AM123" s="48"/>
      <c r="AN123" s="48"/>
      <c r="AO123" s="48"/>
      <c r="AP123" s="48"/>
      <c r="AQ123" s="48"/>
      <c r="AR123" s="48"/>
      <c r="AS123" s="48"/>
      <c r="AT123" s="48"/>
      <c r="AU123" s="48"/>
      <c r="AV123" s="48"/>
      <c r="AW123" s="48"/>
      <c r="AX123" s="48"/>
      <c r="AY123" s="48"/>
      <c r="AZ123" s="48"/>
      <c r="BA123" s="48"/>
      <c r="BB123" s="48"/>
      <c r="BC123" s="48"/>
      <c r="BD123" s="48"/>
      <c r="BE123" s="48"/>
      <c r="BF123" s="48"/>
      <c r="BG123" s="48"/>
      <c r="BH123" s="48"/>
      <c r="BI123" s="48"/>
      <c r="BJ123" s="48"/>
      <c r="BK123" s="48"/>
      <c r="BL123" s="48"/>
      <c r="BM123" s="48"/>
      <c r="BN123" s="48"/>
      <c r="BO123" s="48"/>
      <c r="BP123" s="48"/>
      <c r="BQ123" s="48"/>
      <c r="BR123" s="48"/>
      <c r="BS123" s="48"/>
      <c r="BT123" s="48"/>
      <c r="BU123" s="48"/>
      <c r="BV123" s="48"/>
    </row>
    <row r="124" customFormat="false" ht="15" hidden="false" customHeight="true" outlineLevel="0" collapsed="false">
      <c r="A124" s="37" t="s">
        <v>530</v>
      </c>
      <c r="B124" s="39" t="s">
        <v>531</v>
      </c>
      <c r="C124" s="39"/>
      <c r="D124" s="39" t="s">
        <v>79</v>
      </c>
      <c r="E124" s="40" t="n">
        <v>2.5</v>
      </c>
      <c r="F124" s="38" t="s">
        <v>532</v>
      </c>
      <c r="G124" s="37" t="n">
        <v>0</v>
      </c>
      <c r="H124" s="58" t="n">
        <v>14</v>
      </c>
      <c r="I124" s="41" t="n">
        <v>46440</v>
      </c>
      <c r="J124" s="41" t="n">
        <v>46453</v>
      </c>
      <c r="K124" s="42"/>
      <c r="L124" s="42"/>
      <c r="M124" s="43"/>
      <c r="N124" s="44" t="n">
        <v>46437</v>
      </c>
      <c r="O124" s="45" t="n">
        <v>46450</v>
      </c>
      <c r="P124" s="46" t="s">
        <v>105</v>
      </c>
      <c r="Q124" s="37" t="n">
        <v>-3</v>
      </c>
      <c r="R124" s="39"/>
      <c r="S124" s="39" t="n">
        <v>1</v>
      </c>
      <c r="T124" s="39" t="s">
        <v>106</v>
      </c>
      <c r="U124" s="57" t="n">
        <v>46437.0124</v>
      </c>
      <c r="V124" s="47" t="n">
        <v>0</v>
      </c>
      <c r="W124" s="38" t="s">
        <v>80</v>
      </c>
      <c r="X124" s="39" t="s">
        <v>533</v>
      </c>
      <c r="Y124" s="39"/>
      <c r="AA124" s="48"/>
      <c r="AB124" s="48"/>
      <c r="AC124" s="48"/>
      <c r="AD124" s="48"/>
      <c r="AE124" s="48"/>
      <c r="AF124" s="48"/>
      <c r="AG124" s="48"/>
      <c r="AH124" s="48"/>
      <c r="AI124" s="48"/>
      <c r="AJ124" s="48"/>
      <c r="AK124" s="48"/>
      <c r="AL124" s="48"/>
      <c r="AM124" s="48"/>
      <c r="AN124" s="48"/>
      <c r="AO124" s="48"/>
      <c r="AP124" s="48"/>
      <c r="AQ124" s="48"/>
      <c r="AR124" s="48"/>
      <c r="AS124" s="48"/>
      <c r="AT124" s="48"/>
      <c r="AU124" s="48"/>
      <c r="AV124" s="48"/>
      <c r="AW124" s="48"/>
      <c r="AX124" s="48"/>
      <c r="AY124" s="48"/>
      <c r="AZ124" s="48"/>
      <c r="BA124" s="48"/>
      <c r="BB124" s="48"/>
      <c r="BC124" s="48"/>
      <c r="BD124" s="48"/>
      <c r="BE124" s="48"/>
      <c r="BF124" s="48"/>
      <c r="BG124" s="48"/>
      <c r="BH124" s="48"/>
      <c r="BI124" s="48"/>
      <c r="BJ124" s="48"/>
      <c r="BK124" s="48"/>
      <c r="BL124" s="48"/>
      <c r="BM124" s="48"/>
      <c r="BN124" s="48"/>
      <c r="BO124" s="48"/>
      <c r="BP124" s="48"/>
      <c r="BQ124" s="48"/>
      <c r="BR124" s="48"/>
      <c r="BS124" s="48"/>
      <c r="BT124" s="48"/>
      <c r="BU124" s="48"/>
      <c r="BV124" s="48"/>
    </row>
    <row r="125" customFormat="false" ht="15" hidden="true" customHeight="true" outlineLevel="1" collapsed="false">
      <c r="A125" s="49" t="s">
        <v>534</v>
      </c>
      <c r="B125" s="50" t="s">
        <v>535</v>
      </c>
      <c r="C125" s="50" t="s">
        <v>536</v>
      </c>
      <c r="D125" s="50" t="s">
        <v>86</v>
      </c>
      <c r="E125" s="51" t="n">
        <v>0.75</v>
      </c>
      <c r="F125" s="52"/>
      <c r="G125" s="52"/>
      <c r="H125" s="52"/>
      <c r="I125" s="53" t="n">
        <v>46440</v>
      </c>
      <c r="J125" s="53" t="n">
        <v>46444</v>
      </c>
      <c r="K125" s="52"/>
      <c r="L125" s="52"/>
      <c r="M125" s="54" t="s">
        <v>537</v>
      </c>
      <c r="N125" s="55" t="n">
        <v>46437</v>
      </c>
      <c r="O125" s="55" t="n">
        <v>46441</v>
      </c>
      <c r="P125" s="50" t="s">
        <v>105</v>
      </c>
      <c r="Q125" s="52" t="n">
        <v>-3</v>
      </c>
      <c r="R125" s="52"/>
      <c r="S125" s="52" t="n">
        <v>2</v>
      </c>
      <c r="T125" s="52" t="s">
        <v>106</v>
      </c>
      <c r="U125" s="52"/>
      <c r="V125" s="56" t="n">
        <v>0</v>
      </c>
      <c r="W125" s="52" t="s">
        <v>80</v>
      </c>
      <c r="X125" s="52"/>
      <c r="Y125" s="52"/>
      <c r="AA125" s="48"/>
      <c r="AB125" s="48"/>
      <c r="AC125" s="48"/>
      <c r="AD125" s="48"/>
      <c r="AE125" s="48"/>
      <c r="AF125" s="48"/>
      <c r="AG125" s="48"/>
      <c r="AH125" s="48"/>
      <c r="AI125" s="48"/>
      <c r="AJ125" s="48"/>
      <c r="AK125" s="48"/>
      <c r="AL125" s="48"/>
      <c r="AM125" s="48"/>
      <c r="AN125" s="48"/>
      <c r="AO125" s="48"/>
      <c r="AP125" s="48"/>
      <c r="AQ125" s="48"/>
      <c r="AR125" s="48"/>
      <c r="AS125" s="48"/>
      <c r="AT125" s="48"/>
      <c r="AU125" s="48"/>
      <c r="AV125" s="48"/>
      <c r="AW125" s="48"/>
      <c r="AX125" s="48"/>
      <c r="AY125" s="48"/>
      <c r="AZ125" s="48"/>
      <c r="BA125" s="48"/>
      <c r="BB125" s="48"/>
      <c r="BC125" s="48"/>
      <c r="BD125" s="48"/>
      <c r="BE125" s="48"/>
      <c r="BF125" s="48"/>
      <c r="BG125" s="48"/>
      <c r="BH125" s="48"/>
      <c r="BI125" s="48"/>
      <c r="BJ125" s="48"/>
      <c r="BK125" s="48"/>
      <c r="BL125" s="48"/>
      <c r="BM125" s="48"/>
      <c r="BN125" s="48"/>
      <c r="BO125" s="48"/>
      <c r="BP125" s="48"/>
      <c r="BQ125" s="48"/>
      <c r="BR125" s="48"/>
      <c r="BS125" s="48"/>
      <c r="BT125" s="48"/>
      <c r="BU125" s="48"/>
      <c r="BV125" s="48"/>
    </row>
    <row r="126" customFormat="false" ht="15" hidden="true" customHeight="true" outlineLevel="1" collapsed="false">
      <c r="A126" s="49" t="s">
        <v>538</v>
      </c>
      <c r="B126" s="50" t="s">
        <v>539</v>
      </c>
      <c r="C126" s="52" t="s">
        <v>540</v>
      </c>
      <c r="D126" s="50" t="s">
        <v>86</v>
      </c>
      <c r="E126" s="51" t="n">
        <v>1</v>
      </c>
      <c r="F126" s="52"/>
      <c r="G126" s="52"/>
      <c r="H126" s="52"/>
      <c r="I126" s="53" t="n">
        <v>46443</v>
      </c>
      <c r="J126" s="53" t="n">
        <v>46450</v>
      </c>
      <c r="K126" s="52"/>
      <c r="L126" s="52"/>
      <c r="M126" s="54" t="s">
        <v>541</v>
      </c>
      <c r="N126" s="55" t="n">
        <v>46440</v>
      </c>
      <c r="O126" s="55" t="n">
        <v>46447</v>
      </c>
      <c r="P126" s="50" t="s">
        <v>105</v>
      </c>
      <c r="Q126" s="52" t="n">
        <v>-3</v>
      </c>
      <c r="R126" s="52"/>
      <c r="S126" s="52" t="n">
        <v>2</v>
      </c>
      <c r="T126" s="52" t="s">
        <v>106</v>
      </c>
      <c r="U126" s="52"/>
      <c r="V126" s="56" t="n">
        <v>0</v>
      </c>
      <c r="W126" s="52" t="s">
        <v>80</v>
      </c>
      <c r="X126" s="52"/>
      <c r="Y126" s="52"/>
      <c r="AA126" s="48"/>
      <c r="AB126" s="48"/>
      <c r="AC126" s="48"/>
      <c r="AD126" s="48"/>
      <c r="AE126" s="48"/>
      <c r="AF126" s="48"/>
      <c r="AG126" s="48"/>
      <c r="AH126" s="48"/>
      <c r="AI126" s="48"/>
      <c r="AJ126" s="48"/>
      <c r="AK126" s="48"/>
      <c r="AL126" s="48"/>
      <c r="AM126" s="48"/>
      <c r="AN126" s="48"/>
      <c r="AO126" s="48"/>
      <c r="AP126" s="48"/>
      <c r="AQ126" s="48"/>
      <c r="AR126" s="48"/>
      <c r="AS126" s="48"/>
      <c r="AT126" s="48"/>
      <c r="AU126" s="48"/>
      <c r="AV126" s="48"/>
      <c r="AW126" s="48"/>
      <c r="AX126" s="48"/>
      <c r="AY126" s="48"/>
      <c r="AZ126" s="48"/>
      <c r="BA126" s="48"/>
      <c r="BB126" s="48"/>
      <c r="BC126" s="48"/>
      <c r="BD126" s="48"/>
      <c r="BE126" s="48"/>
      <c r="BF126" s="48"/>
      <c r="BG126" s="48"/>
      <c r="BH126" s="48"/>
      <c r="BI126" s="48"/>
      <c r="BJ126" s="48"/>
      <c r="BK126" s="48"/>
      <c r="BL126" s="48"/>
      <c r="BM126" s="48"/>
      <c r="BN126" s="48"/>
      <c r="BO126" s="48"/>
      <c r="BP126" s="48"/>
      <c r="BQ126" s="48"/>
      <c r="BR126" s="48"/>
      <c r="BS126" s="48"/>
      <c r="BT126" s="48"/>
      <c r="BU126" s="48"/>
      <c r="BV126" s="48"/>
    </row>
    <row r="127" customFormat="false" ht="15" hidden="true" customHeight="true" outlineLevel="1" collapsed="false">
      <c r="A127" s="49" t="s">
        <v>542</v>
      </c>
      <c r="B127" s="52" t="s">
        <v>543</v>
      </c>
      <c r="C127" s="52" t="s">
        <v>544</v>
      </c>
      <c r="D127" s="50" t="s">
        <v>86</v>
      </c>
      <c r="E127" s="51" t="n">
        <v>0.75</v>
      </c>
      <c r="F127" s="52"/>
      <c r="G127" s="52"/>
      <c r="H127" s="52"/>
      <c r="I127" s="53" t="n">
        <v>46450</v>
      </c>
      <c r="J127" s="53" t="n">
        <v>46453</v>
      </c>
      <c r="K127" s="52"/>
      <c r="L127" s="52"/>
      <c r="M127" s="54" t="s">
        <v>545</v>
      </c>
      <c r="N127" s="55" t="n">
        <v>46447</v>
      </c>
      <c r="O127" s="55" t="n">
        <v>46450</v>
      </c>
      <c r="P127" s="50" t="s">
        <v>105</v>
      </c>
      <c r="Q127" s="52" t="n">
        <v>-3</v>
      </c>
      <c r="R127" s="52"/>
      <c r="S127" s="52" t="n">
        <v>2</v>
      </c>
      <c r="T127" s="52" t="s">
        <v>106</v>
      </c>
      <c r="U127" s="52"/>
      <c r="V127" s="56" t="n">
        <v>0</v>
      </c>
      <c r="W127" s="52" t="s">
        <v>80</v>
      </c>
      <c r="X127" s="52"/>
      <c r="Y127" s="52"/>
      <c r="AA127" s="48"/>
      <c r="AB127" s="48"/>
      <c r="AC127" s="48"/>
      <c r="AD127" s="48"/>
      <c r="AE127" s="48"/>
      <c r="AF127" s="48"/>
      <c r="AG127" s="48"/>
      <c r="AH127" s="48"/>
      <c r="AI127" s="48"/>
      <c r="AJ127" s="48"/>
      <c r="AK127" s="48"/>
      <c r="AL127" s="48"/>
      <c r="AM127" s="48"/>
      <c r="AN127" s="48"/>
      <c r="AO127" s="48"/>
      <c r="AP127" s="48"/>
      <c r="AQ127" s="48"/>
      <c r="AR127" s="48"/>
      <c r="AS127" s="48"/>
      <c r="AT127" s="48"/>
      <c r="AU127" s="48"/>
      <c r="AV127" s="48"/>
      <c r="AW127" s="48"/>
      <c r="AX127" s="48"/>
      <c r="AY127" s="48"/>
      <c r="AZ127" s="48"/>
      <c r="BA127" s="48"/>
      <c r="BB127" s="48"/>
      <c r="BC127" s="48"/>
      <c r="BD127" s="48"/>
      <c r="BE127" s="48"/>
      <c r="BF127" s="48"/>
      <c r="BG127" s="48"/>
      <c r="BH127" s="48"/>
      <c r="BI127" s="48"/>
      <c r="BJ127" s="48"/>
      <c r="BK127" s="48"/>
      <c r="BL127" s="48"/>
      <c r="BM127" s="48"/>
      <c r="BN127" s="48"/>
      <c r="BO127" s="48"/>
      <c r="BP127" s="48"/>
      <c r="BQ127" s="48"/>
      <c r="BR127" s="48"/>
      <c r="BS127" s="48"/>
      <c r="BT127" s="48"/>
      <c r="BU127" s="48"/>
      <c r="BV127" s="48"/>
    </row>
    <row r="128" customFormat="false" ht="15" hidden="false" customHeight="true" outlineLevel="0" collapsed="false">
      <c r="A128" s="37" t="s">
        <v>546</v>
      </c>
      <c r="B128" s="39" t="s">
        <v>547</v>
      </c>
      <c r="C128" s="39"/>
      <c r="D128" s="39" t="s">
        <v>290</v>
      </c>
      <c r="E128" s="40" t="n">
        <v>0</v>
      </c>
      <c r="F128" s="38" t="s">
        <v>238</v>
      </c>
      <c r="G128" s="37"/>
      <c r="H128" s="37" t="n">
        <v>1</v>
      </c>
      <c r="I128" s="41" t="n">
        <v>46403</v>
      </c>
      <c r="J128" s="41" t="n">
        <v>46403</v>
      </c>
      <c r="K128" s="42"/>
      <c r="L128" s="42"/>
      <c r="M128" s="43"/>
      <c r="N128" s="44" t="n">
        <v>46367</v>
      </c>
      <c r="O128" s="45" t="n">
        <v>46367</v>
      </c>
      <c r="P128" s="46" t="s">
        <v>105</v>
      </c>
      <c r="Q128" s="37" t="n">
        <v>-36</v>
      </c>
      <c r="R128" s="39"/>
      <c r="S128" s="39" t="n">
        <v>1</v>
      </c>
      <c r="T128" s="39" t="s">
        <v>106</v>
      </c>
      <c r="U128" s="57" t="n">
        <v>46367.0128</v>
      </c>
      <c r="V128" s="47" t="n">
        <v>0</v>
      </c>
      <c r="W128" s="39" t="s">
        <v>86</v>
      </c>
      <c r="X128" s="39"/>
      <c r="Y128" s="38" t="s">
        <v>548</v>
      </c>
      <c r="AA128" s="48"/>
      <c r="AB128" s="48"/>
      <c r="AC128" s="48"/>
      <c r="AD128" s="48"/>
      <c r="AE128" s="48"/>
      <c r="AF128" s="48"/>
      <c r="AG128" s="48"/>
      <c r="AH128" s="48"/>
      <c r="AI128" s="48"/>
      <c r="AJ128" s="48"/>
      <c r="AK128" s="48"/>
      <c r="AL128" s="48"/>
      <c r="AM128" s="48"/>
      <c r="AN128" s="48"/>
      <c r="AO128" s="48"/>
      <c r="AP128" s="48"/>
      <c r="AQ128" s="48"/>
      <c r="AR128" s="48"/>
      <c r="AS128" s="48"/>
      <c r="AT128" s="48"/>
      <c r="AU128" s="48"/>
      <c r="AV128" s="48"/>
      <c r="AW128" s="48"/>
      <c r="AX128" s="48"/>
      <c r="AY128" s="48"/>
      <c r="AZ128" s="48"/>
      <c r="BA128" s="48"/>
      <c r="BB128" s="48"/>
      <c r="BC128" s="48"/>
      <c r="BD128" s="48"/>
      <c r="BE128" s="48"/>
      <c r="BF128" s="48"/>
      <c r="BG128" s="48"/>
      <c r="BH128" s="48"/>
      <c r="BI128" s="48"/>
      <c r="BJ128" s="48"/>
      <c r="BK128" s="48"/>
      <c r="BL128" s="48"/>
      <c r="BM128" s="48"/>
      <c r="BN128" s="48"/>
      <c r="BO128" s="48"/>
      <c r="BP128" s="48"/>
      <c r="BQ128" s="48"/>
      <c r="BR128" s="48"/>
      <c r="BS128" s="48"/>
      <c r="BT128" s="48"/>
      <c r="BU128" s="48"/>
      <c r="BV128" s="48"/>
    </row>
    <row r="129" customFormat="false" ht="15" hidden="false" customHeight="true" outlineLevel="0" collapsed="false">
      <c r="A129" s="37" t="s">
        <v>549</v>
      </c>
      <c r="B129" s="38" t="s">
        <v>550</v>
      </c>
      <c r="C129" s="39"/>
      <c r="D129" s="38" t="s">
        <v>112</v>
      </c>
      <c r="E129" s="40" t="n">
        <v>0</v>
      </c>
      <c r="F129" s="38" t="s">
        <v>546</v>
      </c>
      <c r="G129" s="37" t="n">
        <v>0</v>
      </c>
      <c r="H129" s="37" t="n">
        <v>1</v>
      </c>
      <c r="I129" s="41" t="n">
        <v>46403</v>
      </c>
      <c r="J129" s="41" t="n">
        <v>46403</v>
      </c>
      <c r="K129" s="42"/>
      <c r="L129" s="42"/>
      <c r="M129" s="43"/>
      <c r="N129" s="44" t="n">
        <v>46368</v>
      </c>
      <c r="O129" s="45" t="n">
        <v>46370</v>
      </c>
      <c r="P129" s="46" t="s">
        <v>105</v>
      </c>
      <c r="Q129" s="37" t="n">
        <v>-33</v>
      </c>
      <c r="R129" s="39"/>
      <c r="S129" s="39" t="n">
        <v>1</v>
      </c>
      <c r="T129" s="39" t="s">
        <v>106</v>
      </c>
      <c r="U129" s="57" t="n">
        <v>46368.0129</v>
      </c>
      <c r="V129" s="47" t="n">
        <v>0</v>
      </c>
      <c r="W129" s="39" t="s">
        <v>86</v>
      </c>
      <c r="X129" s="39"/>
      <c r="Y129" s="39"/>
      <c r="AA129" s="48"/>
      <c r="AB129" s="48"/>
      <c r="AC129" s="48"/>
      <c r="AD129" s="48"/>
      <c r="AE129" s="48"/>
      <c r="AF129" s="48"/>
      <c r="AG129" s="48"/>
      <c r="AH129" s="48"/>
      <c r="AI129" s="48"/>
      <c r="AJ129" s="48"/>
      <c r="AK129" s="48"/>
      <c r="AL129" s="48"/>
      <c r="AM129" s="48"/>
      <c r="AN129" s="48"/>
      <c r="AO129" s="48"/>
      <c r="AP129" s="48"/>
      <c r="AQ129" s="48"/>
      <c r="AR129" s="48"/>
      <c r="AS129" s="48"/>
      <c r="AT129" s="48"/>
      <c r="AU129" s="48"/>
      <c r="AV129" s="48"/>
      <c r="AW129" s="48"/>
      <c r="AX129" s="48"/>
      <c r="AY129" s="48"/>
      <c r="AZ129" s="48"/>
      <c r="BA129" s="48"/>
      <c r="BB129" s="48"/>
      <c r="BC129" s="48"/>
      <c r="BD129" s="48"/>
      <c r="BE129" s="48"/>
      <c r="BF129" s="48"/>
      <c r="BG129" s="48"/>
      <c r="BH129" s="48"/>
      <c r="BI129" s="48"/>
      <c r="BJ129" s="48"/>
      <c r="BK129" s="48"/>
      <c r="BL129" s="48"/>
      <c r="BM129" s="48"/>
      <c r="BN129" s="48"/>
      <c r="BO129" s="48"/>
      <c r="BP129" s="48"/>
      <c r="BQ129" s="48"/>
      <c r="BR129" s="48"/>
      <c r="BS129" s="48"/>
      <c r="BT129" s="48"/>
      <c r="BU129" s="48"/>
      <c r="BV129" s="48"/>
    </row>
    <row r="130" customFormat="false" ht="15" hidden="false" customHeight="true" outlineLevel="0" collapsed="false">
      <c r="A130" s="37" t="s">
        <v>551</v>
      </c>
      <c r="B130" s="38" t="s">
        <v>552</v>
      </c>
      <c r="C130" s="39"/>
      <c r="D130" s="38" t="s">
        <v>112</v>
      </c>
      <c r="E130" s="40" t="n">
        <v>0</v>
      </c>
      <c r="F130" s="38" t="s">
        <v>546</v>
      </c>
      <c r="G130" s="37" t="n">
        <v>0</v>
      </c>
      <c r="H130" s="37" t="n">
        <v>5</v>
      </c>
      <c r="I130" s="41" t="n">
        <v>46403</v>
      </c>
      <c r="J130" s="41" t="n">
        <v>46403</v>
      </c>
      <c r="K130" s="42"/>
      <c r="L130" s="42"/>
      <c r="M130" s="43"/>
      <c r="N130" s="44" t="n">
        <v>46368</v>
      </c>
      <c r="O130" s="45" t="n">
        <v>46372</v>
      </c>
      <c r="P130" s="46" t="s">
        <v>105</v>
      </c>
      <c r="Q130" s="37" t="n">
        <v>-31</v>
      </c>
      <c r="R130" s="39"/>
      <c r="S130" s="39" t="n">
        <v>1</v>
      </c>
      <c r="T130" s="39" t="s">
        <v>106</v>
      </c>
      <c r="U130" s="57" t="n">
        <v>46368.013</v>
      </c>
      <c r="V130" s="47" t="n">
        <v>0</v>
      </c>
      <c r="W130" s="39" t="s">
        <v>86</v>
      </c>
      <c r="X130" s="39"/>
      <c r="Y130" s="39"/>
      <c r="AA130" s="48"/>
      <c r="AB130" s="48"/>
      <c r="AC130" s="48"/>
      <c r="AD130" s="48"/>
      <c r="AE130" s="48"/>
      <c r="AF130" s="48"/>
      <c r="AG130" s="48"/>
      <c r="AH130" s="48"/>
      <c r="AI130" s="48"/>
      <c r="AJ130" s="48"/>
      <c r="AK130" s="48"/>
      <c r="AL130" s="48"/>
      <c r="AM130" s="48"/>
      <c r="AN130" s="48"/>
      <c r="AO130" s="48"/>
      <c r="AP130" s="48"/>
      <c r="AQ130" s="48"/>
      <c r="AR130" s="48"/>
      <c r="AS130" s="48"/>
      <c r="AT130" s="48"/>
      <c r="AU130" s="48"/>
      <c r="AV130" s="48"/>
      <c r="AW130" s="48"/>
      <c r="AX130" s="48"/>
      <c r="AY130" s="48"/>
      <c r="AZ130" s="48"/>
      <c r="BA130" s="48"/>
      <c r="BB130" s="48"/>
      <c r="BC130" s="48"/>
      <c r="BD130" s="48"/>
      <c r="BE130" s="48"/>
      <c r="BF130" s="48"/>
      <c r="BG130" s="48"/>
      <c r="BH130" s="48"/>
      <c r="BI130" s="48"/>
      <c r="BJ130" s="48"/>
      <c r="BK130" s="48"/>
      <c r="BL130" s="48"/>
      <c r="BM130" s="48"/>
      <c r="BN130" s="48"/>
      <c r="BO130" s="48"/>
      <c r="BP130" s="48"/>
      <c r="BQ130" s="48"/>
      <c r="BR130" s="48"/>
      <c r="BS130" s="48"/>
      <c r="BT130" s="48"/>
      <c r="BU130" s="48"/>
      <c r="BV130" s="48"/>
    </row>
    <row r="131" customFormat="false" ht="15" hidden="false" customHeight="true" outlineLevel="0" collapsed="false">
      <c r="A131" s="37" t="s">
        <v>553</v>
      </c>
      <c r="B131" s="39" t="s">
        <v>554</v>
      </c>
      <c r="C131" s="39"/>
      <c r="D131" s="39" t="s">
        <v>79</v>
      </c>
      <c r="E131" s="40" t="n">
        <v>0</v>
      </c>
      <c r="F131" s="38" t="s">
        <v>283</v>
      </c>
      <c r="G131" s="37" t="n">
        <v>0</v>
      </c>
      <c r="H131" s="58" t="n">
        <v>3</v>
      </c>
      <c r="I131" s="41" t="n">
        <v>46437</v>
      </c>
      <c r="J131" s="41" t="n">
        <v>46439</v>
      </c>
      <c r="K131" s="42"/>
      <c r="L131" s="42"/>
      <c r="M131" s="43"/>
      <c r="N131" s="44" t="n">
        <v>46434</v>
      </c>
      <c r="O131" s="45" t="n">
        <v>46436</v>
      </c>
      <c r="P131" s="46" t="s">
        <v>105</v>
      </c>
      <c r="Q131" s="37" t="n">
        <v>-3</v>
      </c>
      <c r="R131" s="39"/>
      <c r="S131" s="39" t="n">
        <v>1</v>
      </c>
      <c r="T131" s="39" t="s">
        <v>106</v>
      </c>
      <c r="U131" s="57" t="n">
        <v>46434.0131</v>
      </c>
      <c r="V131" s="47" t="n">
        <v>0</v>
      </c>
      <c r="W131" s="38" t="s">
        <v>80</v>
      </c>
      <c r="X131" s="39"/>
      <c r="Y131" s="39"/>
      <c r="AA131" s="48"/>
      <c r="AB131" s="48"/>
      <c r="AC131" s="48"/>
      <c r="AD131" s="48"/>
      <c r="AE131" s="48"/>
      <c r="AF131" s="48"/>
      <c r="AG131" s="48"/>
      <c r="AH131" s="48"/>
      <c r="AI131" s="48"/>
      <c r="AJ131" s="48"/>
      <c r="AK131" s="48"/>
      <c r="AL131" s="48"/>
      <c r="AM131" s="48"/>
      <c r="AN131" s="48"/>
      <c r="AO131" s="48"/>
      <c r="AP131" s="48"/>
      <c r="AQ131" s="48"/>
      <c r="AR131" s="48"/>
      <c r="AS131" s="48"/>
      <c r="AT131" s="48"/>
      <c r="AU131" s="48"/>
      <c r="AV131" s="48"/>
      <c r="AW131" s="48"/>
      <c r="AX131" s="48"/>
      <c r="AY131" s="48"/>
      <c r="AZ131" s="48"/>
      <c r="BA131" s="48"/>
      <c r="BB131" s="48"/>
      <c r="BC131" s="48"/>
      <c r="BD131" s="48"/>
      <c r="BE131" s="48"/>
      <c r="BF131" s="48"/>
      <c r="BG131" s="48"/>
      <c r="BH131" s="48"/>
      <c r="BI131" s="48"/>
      <c r="BJ131" s="48"/>
      <c r="BK131" s="48"/>
      <c r="BL131" s="48"/>
      <c r="BM131" s="48"/>
      <c r="BN131" s="48"/>
      <c r="BO131" s="48"/>
      <c r="BP131" s="48"/>
      <c r="BQ131" s="48"/>
      <c r="BR131" s="48"/>
      <c r="BS131" s="48"/>
      <c r="BT131" s="48"/>
      <c r="BU131" s="48"/>
      <c r="BV131" s="48"/>
    </row>
    <row r="134" customFormat="false" ht="15" hidden="false" customHeight="true" outlineLevel="0" collapsed="false">
      <c r="A134" s="61" t="s">
        <v>555</v>
      </c>
      <c r="D134" s="6" t="s">
        <v>556</v>
      </c>
    </row>
    <row r="135" customFormat="false" ht="15" hidden="false" customHeight="true" outlineLevel="0" collapsed="false">
      <c r="B135" s="62" t="s">
        <v>557</v>
      </c>
      <c r="D135" s="62" t="s">
        <v>558</v>
      </c>
      <c r="E135" s="62" t="s">
        <v>559</v>
      </c>
      <c r="I135" s="63" t="s">
        <v>560</v>
      </c>
      <c r="J135" s="63" t="s">
        <v>561</v>
      </c>
      <c r="K135" s="63" t="s">
        <v>562</v>
      </c>
      <c r="L135" s="63" t="s">
        <v>563</v>
      </c>
      <c r="O135" s="62" t="s">
        <v>564</v>
      </c>
      <c r="P135" s="62" t="s">
        <v>565</v>
      </c>
    </row>
    <row r="136" customFormat="false" ht="15" hidden="false" customHeight="true" outlineLevel="0" collapsed="false">
      <c r="B136" s="64" t="s">
        <v>566</v>
      </c>
      <c r="D136" s="65" t="n">
        <v>0</v>
      </c>
      <c r="E136" s="65" t="n">
        <v>0</v>
      </c>
      <c r="I136" s="66" t="n">
        <v>0</v>
      </c>
      <c r="J136" s="67"/>
      <c r="K136" s="37"/>
      <c r="L136" s="37"/>
      <c r="O136" s="37"/>
      <c r="P136" s="68" t="s">
        <v>567</v>
      </c>
    </row>
    <row r="137" customFormat="false" ht="15" hidden="false" customHeight="true" outlineLevel="0" collapsed="false">
      <c r="B137" s="64" t="s">
        <v>568</v>
      </c>
      <c r="D137" s="65" t="n">
        <v>0</v>
      </c>
      <c r="E137" s="65" t="n">
        <v>0</v>
      </c>
      <c r="I137" s="66" t="n">
        <v>0</v>
      </c>
      <c r="J137" s="67"/>
      <c r="K137" s="37"/>
      <c r="L137" s="37"/>
      <c r="O137" s="37"/>
      <c r="P137" s="68" t="s">
        <v>569</v>
      </c>
    </row>
    <row r="138" customFormat="false" ht="15" hidden="false" customHeight="true" outlineLevel="0" collapsed="false">
      <c r="B138" s="64" t="s">
        <v>570</v>
      </c>
      <c r="D138" s="65" t="n">
        <v>0</v>
      </c>
      <c r="E138" s="65" t="n">
        <v>0</v>
      </c>
      <c r="I138" s="66" t="n">
        <v>0</v>
      </c>
      <c r="J138" s="67"/>
      <c r="K138" s="37"/>
      <c r="L138" s="37"/>
      <c r="O138" s="37"/>
      <c r="P138" s="68" t="s">
        <v>571</v>
      </c>
    </row>
    <row r="139" customFormat="false" ht="15" hidden="false" customHeight="true" outlineLevel="0" collapsed="false">
      <c r="B139" s="64" t="s">
        <v>572</v>
      </c>
      <c r="D139" s="65" t="n">
        <v>0</v>
      </c>
      <c r="E139" s="65" t="n">
        <v>0</v>
      </c>
      <c r="I139" s="66" t="n">
        <v>0</v>
      </c>
      <c r="J139" s="67"/>
      <c r="K139" s="37"/>
      <c r="L139" s="37"/>
      <c r="O139" s="37"/>
      <c r="P139" s="68" t="s">
        <v>573</v>
      </c>
    </row>
    <row r="140" customFormat="false" ht="15" hidden="false" customHeight="true" outlineLevel="0" collapsed="false">
      <c r="B140" s="64" t="s">
        <v>574</v>
      </c>
      <c r="D140" s="65" t="n">
        <v>1</v>
      </c>
      <c r="E140" s="65" t="n">
        <v>492</v>
      </c>
      <c r="I140" s="66" t="n">
        <v>280.44</v>
      </c>
      <c r="J140" s="67" t="n">
        <v>0</v>
      </c>
      <c r="K140" s="37" t="s">
        <v>575</v>
      </c>
      <c r="L140" s="37" t="s">
        <v>575</v>
      </c>
      <c r="O140" s="37"/>
      <c r="P140" s="68" t="s">
        <v>576</v>
      </c>
    </row>
    <row r="141" customFormat="false" ht="15" hidden="false" customHeight="true" outlineLevel="0" collapsed="false">
      <c r="B141" s="69" t="s">
        <v>577</v>
      </c>
      <c r="D141" s="65" t="n">
        <v>0</v>
      </c>
      <c r="E141" s="65" t="n">
        <v>0</v>
      </c>
      <c r="I141" s="66" t="n">
        <v>0</v>
      </c>
      <c r="J141" s="67"/>
      <c r="K141" s="37"/>
      <c r="L141" s="37"/>
      <c r="O141" s="37"/>
      <c r="P141" s="70" t="s">
        <v>578</v>
      </c>
    </row>
    <row r="142" customFormat="false" ht="15" hidden="false" customHeight="true" outlineLevel="0" collapsed="false">
      <c r="B142" s="71" t="s">
        <v>579</v>
      </c>
      <c r="D142" s="72" t="n">
        <v>1</v>
      </c>
      <c r="E142" s="72" t="n">
        <v>492</v>
      </c>
      <c r="I142" s="73" t="n">
        <v>280.44</v>
      </c>
      <c r="J142" s="74" t="n">
        <v>0</v>
      </c>
      <c r="K142" s="75" t="s">
        <v>575</v>
      </c>
      <c r="L142" s="75" t="s">
        <v>575</v>
      </c>
      <c r="O142" s="75"/>
      <c r="P142" s="71"/>
    </row>
    <row r="143" customFormat="false" ht="15" hidden="false" customHeight="true" outlineLevel="0" collapsed="false">
      <c r="B143" s="19" t="s">
        <v>580</v>
      </c>
    </row>
    <row r="145" customFormat="false" ht="15.75" hidden="false" customHeight="true" outlineLevel="0" collapsed="false">
      <c r="A145" s="76" t="s">
        <v>581</v>
      </c>
    </row>
    <row r="146" customFormat="false" ht="15" hidden="false" customHeight="true" outlineLevel="0" collapsed="false">
      <c r="B146" s="17" t="s">
        <v>582</v>
      </c>
      <c r="D146" s="77" t="s">
        <v>583</v>
      </c>
      <c r="E146" s="77"/>
      <c r="F146" s="77"/>
      <c r="G146" s="77"/>
      <c r="H146" s="77"/>
      <c r="I146" s="77"/>
      <c r="J146" s="77"/>
      <c r="K146" s="19" t="s">
        <v>584</v>
      </c>
    </row>
    <row r="147" customFormat="false" ht="15" hidden="false" customHeight="true" outlineLevel="0" collapsed="false">
      <c r="B147" s="78" t="s">
        <v>585</v>
      </c>
      <c r="E147" s="79" t="s">
        <v>586</v>
      </c>
      <c r="I147" s="78" t="s">
        <v>587</v>
      </c>
    </row>
    <row r="148" customFormat="false" ht="24" hidden="false" customHeight="true" outlineLevel="0" collapsed="false">
      <c r="A148" s="80" t="s">
        <v>588</v>
      </c>
      <c r="B148" s="81" t="s">
        <v>589</v>
      </c>
      <c r="E148" s="82" t="n">
        <v>5</v>
      </c>
      <c r="I148" s="83"/>
    </row>
    <row r="149" customFormat="false" ht="24" hidden="false" customHeight="true" outlineLevel="0" collapsed="false">
      <c r="A149" s="80" t="s">
        <v>590</v>
      </c>
      <c r="B149" s="81" t="s">
        <v>591</v>
      </c>
      <c r="E149" s="82" t="n">
        <v>20</v>
      </c>
      <c r="I149" s="83"/>
    </row>
    <row r="150" customFormat="false" ht="24" hidden="false" customHeight="true" outlineLevel="0" collapsed="false">
      <c r="A150" s="80" t="s">
        <v>592</v>
      </c>
      <c r="B150" s="81" t="s">
        <v>593</v>
      </c>
      <c r="E150" s="82" t="n">
        <v>30</v>
      </c>
      <c r="I150" s="83"/>
    </row>
    <row r="151" customFormat="false" ht="24" hidden="false" customHeight="true" outlineLevel="0" collapsed="false">
      <c r="A151" s="80" t="s">
        <v>594</v>
      </c>
      <c r="B151" s="81" t="s">
        <v>595</v>
      </c>
      <c r="E151" s="82" t="n">
        <v>25</v>
      </c>
      <c r="I151" s="83"/>
    </row>
    <row r="152" customFormat="false" ht="24" hidden="false" customHeight="true" outlineLevel="0" collapsed="false">
      <c r="A152" s="80" t="s">
        <v>596</v>
      </c>
      <c r="B152" s="81" t="s">
        <v>597</v>
      </c>
      <c r="E152" s="82" t="n">
        <v>10</v>
      </c>
      <c r="I152" s="83"/>
    </row>
    <row r="153" customFormat="false" ht="24" hidden="false" customHeight="true" outlineLevel="0" collapsed="false">
      <c r="A153" s="80" t="s">
        <v>598</v>
      </c>
      <c r="B153" s="81" t="s">
        <v>599</v>
      </c>
      <c r="E153" s="82" t="n">
        <v>10</v>
      </c>
      <c r="I153" s="83"/>
    </row>
    <row r="154" customFormat="false" ht="15" hidden="false" customHeight="true" outlineLevel="0" collapsed="false">
      <c r="B154" s="84" t="s">
        <v>600</v>
      </c>
      <c r="I154" s="85" t="n">
        <v>0</v>
      </c>
    </row>
  </sheetData>
  <mergeCells count="37">
    <mergeCell ref="D3:E3"/>
    <mergeCell ref="F3:H3"/>
    <mergeCell ref="J3:K3"/>
    <mergeCell ref="L3:M3"/>
    <mergeCell ref="N3:O3"/>
    <mergeCell ref="P3:Q3"/>
    <mergeCell ref="AA3:AE3"/>
    <mergeCell ref="AF3:AJ3"/>
    <mergeCell ref="AK3:AO3"/>
    <mergeCell ref="AP3:AT3"/>
    <mergeCell ref="AU3:AY3"/>
    <mergeCell ref="AZ3:BD3"/>
    <mergeCell ref="BE3:BI3"/>
    <mergeCell ref="BJ3:BN3"/>
    <mergeCell ref="D4:E4"/>
    <mergeCell ref="F4:H4"/>
    <mergeCell ref="J4:K4"/>
    <mergeCell ref="L4:M4"/>
    <mergeCell ref="N4:O4"/>
    <mergeCell ref="P4:Q4"/>
    <mergeCell ref="AA4:AE4"/>
    <mergeCell ref="AF4:AJ4"/>
    <mergeCell ref="AK4:AO4"/>
    <mergeCell ref="AP4:AT4"/>
    <mergeCell ref="AU4:AY4"/>
    <mergeCell ref="AZ4:BD4"/>
    <mergeCell ref="BE4:BI4"/>
    <mergeCell ref="BJ4:BN4"/>
    <mergeCell ref="AB5:AE5"/>
    <mergeCell ref="AG5:AJ5"/>
    <mergeCell ref="AL5:AO5"/>
    <mergeCell ref="A6:D6"/>
    <mergeCell ref="E6:H6"/>
    <mergeCell ref="I6:J6"/>
    <mergeCell ref="K6:M6"/>
    <mergeCell ref="N6:Q6"/>
    <mergeCell ref="D146:J146"/>
  </mergeCells>
  <conditionalFormatting sqref="P8:P131">
    <cfRule type="expression" priority="2" aboveAverage="0" equalAverage="0" bottom="0" percent="0" rank="0" text="" dxfId="0">
      <formula>$T8="DN"</formula>
    </cfRule>
    <cfRule type="expression" priority="3" aboveAverage="0" equalAverage="0" bottom="0" percent="0" rank="0" text="" dxfId="0">
      <formula>$T8="DY"</formula>
    </cfRule>
    <cfRule type="expression" priority="4" aboveAverage="0" equalAverage="0" bottom="0" percent="0" rank="0" text="" dxfId="1">
      <formula>$T8="AP"</formula>
    </cfRule>
    <cfRule type="expression" priority="5" aboveAverage="0" equalAverage="0" bottom="0" percent="0" rank="0" text="" dxfId="2">
      <formula>$T8="IP"</formula>
    </cfRule>
    <cfRule type="expression" priority="6" aboveAverage="0" equalAverage="0" bottom="0" percent="0" rank="0" text="" dxfId="3">
      <formula>$T8="NS"</formula>
    </cfRule>
    <cfRule type="expression" priority="7" aboveAverage="0" equalAverage="0" bottom="0" percent="0" rank="0" text="" dxfId="4">
      <formula>$T8="NA"</formula>
    </cfRule>
  </conditionalFormatting>
  <conditionalFormatting sqref="Q8:Q131">
    <cfRule type="expression" priority="8" aboveAverage="0" equalAverage="0" bottom="0" percent="0" rank="0" text="" dxfId="5">
      <formula>AND(ISNUMBER(Q8),Q8&gt;0)</formula>
    </cfRule>
  </conditionalFormatting>
  <conditionalFormatting sqref="AA6:BV7">
    <cfRule type="expression" priority="9" aboveAverage="0" equalAverage="0" bottom="0" percent="0" rank="0" text="" dxfId="6">
      <formula>AND(ASOF&gt;=AA$7,ASOF&lt;AA$7+7)</formula>
    </cfRule>
  </conditionalFormatting>
  <conditionalFormatting sqref="AA8:BV131">
    <cfRule type="expression" priority="10" aboveAverage="0" equalAverage="0" bottom="0" percent="0" rank="0" text="" dxfId="7">
      <formula>AND($S8=0,ISNUMBER($N8),$N8&lt;=AA$7+6,$O8&gt;=AA$7)</formula>
    </cfRule>
    <cfRule type="expression" priority="11" aboveAverage="0" equalAverage="0" bottom="0" percent="0" rank="0" text="" dxfId="8">
      <formula>AND($S8&gt;=1,LEFT($T8,1)="D",ISNUMBER($N8),$N8&lt;=AA$7+6,$O8&gt;=AA$7)</formula>
    </cfRule>
    <cfRule type="expression" priority="12" aboveAverage="0" equalAverage="0" bottom="0" percent="0" rank="0" text="" dxfId="9">
      <formula>AND($S8&gt;=1,$T8="AP",ISNUMBER($N8),$N8&lt;=AA$7+6,$O8&gt;=AA$7)</formula>
    </cfRule>
    <cfRule type="expression" priority="13" aboveAverage="0" equalAverage="0" bottom="0" percent="0" rank="0" text="" dxfId="10">
      <formula>AND($S8&gt;=1,ISNUMBER($N8),$N8&lt;=AA$7+6,$O8&gt;=AA$7)</formula>
    </cfRule>
    <cfRule type="expression" priority="14" aboveAverage="0" equalAverage="0" bottom="0" percent="0" rank="0" text="" dxfId="11">
      <formula>AND($S8&gt;=1,ISNUMBER($I8),$I8&lt;=AA$7+6,$J8&gt;=AA$7)</formula>
    </cfRule>
    <cfRule type="expression" priority="15" aboveAverage="0" equalAverage="0" bottom="0" percent="0" rank="0" text="" dxfId="12">
      <formula>AND(ASOF&gt;=AA$7,ASOF&lt;AA$7+7)</formula>
    </cfRule>
  </conditionalFormatting>
  <conditionalFormatting sqref="B136:P136">
    <cfRule type="expression" priority="16" aboveAverage="0" equalAverage="0" bottom="0" percent="0" rank="0" text="" dxfId="13">
      <formula>$D$136=0</formula>
    </cfRule>
  </conditionalFormatting>
  <conditionalFormatting sqref="B137:P137">
    <cfRule type="expression" priority="17" aboveAverage="0" equalAverage="0" bottom="0" percent="0" rank="0" text="" dxfId="13">
      <formula>$D$137=0</formula>
    </cfRule>
  </conditionalFormatting>
  <conditionalFormatting sqref="B138:P138">
    <cfRule type="expression" priority="18" aboveAverage="0" equalAverage="0" bottom="0" percent="0" rank="0" text="" dxfId="13">
      <formula>$D$138=0</formula>
    </cfRule>
  </conditionalFormatting>
  <conditionalFormatting sqref="B139:P139">
    <cfRule type="expression" priority="19" aboveAverage="0" equalAverage="0" bottom="0" percent="0" rank="0" text="" dxfId="13">
      <formula>$D$139=0</formula>
    </cfRule>
  </conditionalFormatting>
  <conditionalFormatting sqref="B140:P140">
    <cfRule type="expression" priority="20" aboveAverage="0" equalAverage="0" bottom="0" percent="0" rank="0" text="" dxfId="13">
      <formula>$D$140=0</formula>
    </cfRule>
  </conditionalFormatting>
  <conditionalFormatting sqref="B141:P141">
    <cfRule type="expression" priority="21" aboveAverage="0" equalAverage="0" bottom="0" percent="0" rank="0" text="" dxfId="13">
      <formula>$D$141=0</formula>
    </cfRule>
  </conditionalFormatting>
  <conditionalFormatting sqref="I148:I153">
    <cfRule type="expression" priority="22" aboveAverage="0" equalAverage="0" bottom="0" percent="0" rank="0" text="" dxfId="0">
      <formula>I148="Y"</formula>
    </cfRule>
  </conditionalFormatting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Y50"/>
  <sheetViews>
    <sheetView showFormulas="false" showGridLines="true" showRowColHeaders="true" showZeros="true" rightToLeft="false" tabSelected="false" showOutlineSymbols="true" defaultGridColor="true" view="normal" topLeftCell="A1" colorId="64" zoomScale="85" zoomScaleNormal="85" zoomScalePageLayoutView="100" workbookViewId="0">
      <pane xSplit="7" ySplit="6" topLeftCell="H7" activePane="bottomRight" state="frozen"/>
      <selection pane="topLeft" activeCell="A1" activeCellId="0" sqref="A1"/>
      <selection pane="topRight" activeCell="H1" activeCellId="0" sqref="H1"/>
      <selection pane="bottomLeft" activeCell="A7" activeCellId="0" sqref="A7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5"/>
    <col collapsed="false" customWidth="true" hidden="false" outlineLevel="0" max="2" min="2" style="0" width="52"/>
    <col collapsed="false" customWidth="true" hidden="false" outlineLevel="0" max="4" min="3" style="0" width="8"/>
    <col collapsed="false" customWidth="true" hidden="false" outlineLevel="0" max="6" min="5" style="0" width="10"/>
    <col collapsed="false" customWidth="true" hidden="false" outlineLevel="0" max="7" min="7" style="0" width="6"/>
    <col collapsed="false" customWidth="true" hidden="false" outlineLevel="0" max="77" min="8" style="0" width="4.2"/>
  </cols>
  <sheetData>
    <row r="1" customFormat="false" ht="17.35" hidden="false" customHeight="false" outlineLevel="0" collapsed="false">
      <c r="B1" s="86" t="s">
        <v>601</v>
      </c>
    </row>
    <row r="2" customFormat="false" ht="15" hidden="false" customHeight="false" outlineLevel="0" collapsed="false">
      <c r="B2" s="87" t="s">
        <v>602</v>
      </c>
      <c r="C2" s="88" t="s">
        <v>603</v>
      </c>
    </row>
    <row r="3" customFormat="false" ht="15" hidden="false" customHeight="false" outlineLevel="0" collapsed="false">
      <c r="B3" s="87" t="s">
        <v>604</v>
      </c>
      <c r="C3" s="88" t="s">
        <v>605</v>
      </c>
    </row>
    <row r="4" customFormat="false" ht="15" hidden="false" customHeight="false" outlineLevel="0" collapsed="false">
      <c r="B4" s="89" t="s">
        <v>606</v>
      </c>
      <c r="C4" s="88" t="s">
        <v>607</v>
      </c>
    </row>
    <row r="5" customFormat="false" ht="15" hidden="false" customHeight="false" outlineLevel="0" collapsed="false">
      <c r="H5" s="90" t="s">
        <v>608</v>
      </c>
      <c r="I5" s="90" t="s">
        <v>609</v>
      </c>
      <c r="J5" s="90"/>
      <c r="K5" s="90"/>
      <c r="L5" s="90"/>
      <c r="M5" s="90"/>
      <c r="N5" s="90" t="s">
        <v>610</v>
      </c>
      <c r="O5" s="90"/>
      <c r="P5" s="90"/>
      <c r="Q5" s="90"/>
      <c r="R5" s="90" t="s">
        <v>611</v>
      </c>
      <c r="S5" s="90"/>
      <c r="T5" s="90"/>
      <c r="U5" s="90"/>
      <c r="V5" s="90" t="s">
        <v>612</v>
      </c>
      <c r="W5" s="90"/>
      <c r="X5" s="90"/>
      <c r="Y5" s="90"/>
      <c r="Z5" s="90" t="s">
        <v>613</v>
      </c>
      <c r="AA5" s="90"/>
      <c r="AB5" s="90"/>
      <c r="AC5" s="90"/>
      <c r="AD5" s="90"/>
      <c r="AE5" s="90" t="s">
        <v>614</v>
      </c>
      <c r="AF5" s="90"/>
      <c r="AG5" s="90"/>
      <c r="AH5" s="90"/>
      <c r="AI5" s="90" t="s">
        <v>615</v>
      </c>
      <c r="AJ5" s="90"/>
      <c r="AK5" s="90"/>
      <c r="AL5" s="90"/>
      <c r="AM5" s="90"/>
      <c r="AN5" s="90" t="s">
        <v>616</v>
      </c>
      <c r="AO5" s="90"/>
      <c r="AP5" s="90"/>
      <c r="AQ5" s="90"/>
      <c r="AR5" s="90" t="s">
        <v>617</v>
      </c>
      <c r="AS5" s="90"/>
      <c r="AT5" s="90"/>
      <c r="AU5" s="90"/>
      <c r="AV5" s="90" t="s">
        <v>618</v>
      </c>
      <c r="AW5" s="90"/>
      <c r="AX5" s="90"/>
      <c r="AY5" s="90"/>
      <c r="AZ5" s="90"/>
      <c r="BA5" s="90" t="s">
        <v>619</v>
      </c>
      <c r="BB5" s="90"/>
      <c r="BC5" s="90"/>
      <c r="BD5" s="90"/>
      <c r="BE5" s="90" t="s">
        <v>620</v>
      </c>
      <c r="BF5" s="90"/>
      <c r="BG5" s="90"/>
      <c r="BH5" s="90"/>
      <c r="BI5" s="90" t="s">
        <v>621</v>
      </c>
      <c r="BJ5" s="90"/>
      <c r="BK5" s="90"/>
      <c r="BL5" s="90"/>
      <c r="BM5" s="90"/>
      <c r="BN5" s="90" t="s">
        <v>622</v>
      </c>
      <c r="BO5" s="90"/>
      <c r="BP5" s="90"/>
      <c r="BQ5" s="90"/>
      <c r="BR5" s="90" t="s">
        <v>623</v>
      </c>
      <c r="BS5" s="90"/>
      <c r="BT5" s="90"/>
      <c r="BU5" s="90"/>
      <c r="BV5" s="90"/>
      <c r="BW5" s="90" t="s">
        <v>624</v>
      </c>
      <c r="BX5" s="90"/>
      <c r="BY5" s="90"/>
    </row>
    <row r="6" customFormat="false" ht="43.5" hidden="false" customHeight="true" outlineLevel="0" collapsed="false">
      <c r="A6" s="91" t="s">
        <v>625</v>
      </c>
      <c r="B6" s="91" t="s">
        <v>626</v>
      </c>
      <c r="C6" s="91" t="s">
        <v>627</v>
      </c>
      <c r="D6" s="91" t="s">
        <v>628</v>
      </c>
      <c r="E6" s="91" t="s">
        <v>629</v>
      </c>
      <c r="F6" s="91" t="s">
        <v>630</v>
      </c>
      <c r="G6" s="91" t="s">
        <v>631</v>
      </c>
      <c r="H6" s="92" t="n">
        <v>46321</v>
      </c>
      <c r="I6" s="92" t="n">
        <v>46328</v>
      </c>
      <c r="J6" s="92" t="n">
        <v>46335</v>
      </c>
      <c r="K6" s="92" t="n">
        <v>46342</v>
      </c>
      <c r="L6" s="92" t="n">
        <v>46349</v>
      </c>
      <c r="M6" s="92" t="n">
        <v>46356</v>
      </c>
      <c r="N6" s="92" t="n">
        <v>46363</v>
      </c>
      <c r="O6" s="92" t="n">
        <v>46370</v>
      </c>
      <c r="P6" s="92" t="n">
        <v>46377</v>
      </c>
      <c r="Q6" s="92" t="n">
        <v>46384</v>
      </c>
      <c r="R6" s="92" t="n">
        <v>46391</v>
      </c>
      <c r="S6" s="92" t="n">
        <v>46398</v>
      </c>
      <c r="T6" s="92" t="n">
        <v>46405</v>
      </c>
      <c r="U6" s="92" t="n">
        <v>46412</v>
      </c>
      <c r="V6" s="92" t="n">
        <v>46419</v>
      </c>
      <c r="W6" s="92" t="n">
        <v>46426</v>
      </c>
      <c r="X6" s="92" t="n">
        <v>46433</v>
      </c>
      <c r="Y6" s="92" t="n">
        <v>46440</v>
      </c>
      <c r="Z6" s="92" t="n">
        <v>46447</v>
      </c>
      <c r="AA6" s="92" t="n">
        <v>46454</v>
      </c>
      <c r="AB6" s="92" t="n">
        <v>46461</v>
      </c>
      <c r="AC6" s="92" t="n">
        <v>46468</v>
      </c>
      <c r="AD6" s="92" t="n">
        <v>46475</v>
      </c>
      <c r="AE6" s="92" t="n">
        <v>46482</v>
      </c>
      <c r="AF6" s="92" t="n">
        <v>46489</v>
      </c>
      <c r="AG6" s="92" t="n">
        <v>46496</v>
      </c>
      <c r="AH6" s="92" t="n">
        <v>46503</v>
      </c>
      <c r="AI6" s="92" t="n">
        <v>46510</v>
      </c>
      <c r="AJ6" s="92" t="n">
        <v>46517</v>
      </c>
      <c r="AK6" s="92" t="n">
        <v>46524</v>
      </c>
      <c r="AL6" s="92" t="n">
        <v>46531</v>
      </c>
      <c r="AM6" s="92" t="n">
        <v>46538</v>
      </c>
      <c r="AN6" s="92" t="n">
        <v>46545</v>
      </c>
      <c r="AO6" s="92" t="n">
        <v>46552</v>
      </c>
      <c r="AP6" s="92" t="n">
        <v>46559</v>
      </c>
      <c r="AQ6" s="92" t="n">
        <v>46566</v>
      </c>
      <c r="AR6" s="92" t="n">
        <v>46573</v>
      </c>
      <c r="AS6" s="92" t="n">
        <v>46580</v>
      </c>
      <c r="AT6" s="92" t="n">
        <v>46587</v>
      </c>
      <c r="AU6" s="92" t="n">
        <v>46594</v>
      </c>
      <c r="AV6" s="92" t="n">
        <v>46601</v>
      </c>
      <c r="AW6" s="92" t="n">
        <v>46608</v>
      </c>
      <c r="AX6" s="92" t="n">
        <v>46615</v>
      </c>
      <c r="AY6" s="92" t="n">
        <v>46622</v>
      </c>
      <c r="AZ6" s="92" t="n">
        <v>46629</v>
      </c>
      <c r="BA6" s="92" t="n">
        <v>46636</v>
      </c>
      <c r="BB6" s="92" t="n">
        <v>46643</v>
      </c>
      <c r="BC6" s="92" t="n">
        <v>46650</v>
      </c>
      <c r="BD6" s="92" t="n">
        <v>46657</v>
      </c>
      <c r="BE6" s="92" t="n">
        <v>46664</v>
      </c>
      <c r="BF6" s="92" t="n">
        <v>46671</v>
      </c>
      <c r="BG6" s="92" t="n">
        <v>46678</v>
      </c>
      <c r="BH6" s="92" t="n">
        <v>46685</v>
      </c>
      <c r="BI6" s="92" t="n">
        <v>46692</v>
      </c>
      <c r="BJ6" s="92" t="n">
        <v>46699</v>
      </c>
      <c r="BK6" s="92" t="n">
        <v>46706</v>
      </c>
      <c r="BL6" s="92" t="n">
        <v>46713</v>
      </c>
      <c r="BM6" s="92" t="n">
        <v>46720</v>
      </c>
      <c r="BN6" s="92" t="n">
        <v>46727</v>
      </c>
      <c r="BO6" s="92" t="n">
        <v>46734</v>
      </c>
      <c r="BP6" s="92" t="n">
        <v>46741</v>
      </c>
      <c r="BQ6" s="92" t="n">
        <v>46748</v>
      </c>
      <c r="BR6" s="92" t="n">
        <v>46755</v>
      </c>
      <c r="BS6" s="92" t="n">
        <v>46762</v>
      </c>
      <c r="BT6" s="92" t="n">
        <v>46769</v>
      </c>
      <c r="BU6" s="92" t="n">
        <v>46776</v>
      </c>
      <c r="BV6" s="92" t="n">
        <v>46783</v>
      </c>
      <c r="BW6" s="92" t="n">
        <v>46790</v>
      </c>
      <c r="BX6" s="92" t="n">
        <v>46797</v>
      </c>
      <c r="BY6" s="92" t="n">
        <v>46804</v>
      </c>
    </row>
    <row r="7" customFormat="false" ht="15" hidden="false" customHeight="false" outlineLevel="0" collapsed="false">
      <c r="A7" s="93"/>
      <c r="B7" s="94" t="s">
        <v>167</v>
      </c>
      <c r="C7" s="93"/>
      <c r="D7" s="93"/>
      <c r="E7" s="93"/>
      <c r="F7" s="93"/>
      <c r="G7" s="93"/>
      <c r="H7" s="93"/>
      <c r="I7" s="93"/>
      <c r="J7" s="93"/>
      <c r="K7" s="93"/>
      <c r="L7" s="93"/>
      <c r="M7" s="93"/>
      <c r="N7" s="93"/>
      <c r="O7" s="93"/>
      <c r="P7" s="93"/>
      <c r="Q7" s="93"/>
      <c r="R7" s="93"/>
      <c r="S7" s="93"/>
      <c r="T7" s="93"/>
      <c r="U7" s="93"/>
      <c r="V7" s="93"/>
      <c r="W7" s="93"/>
      <c r="X7" s="93"/>
      <c r="Y7" s="93"/>
      <c r="Z7" s="93"/>
      <c r="AA7" s="93"/>
      <c r="AB7" s="93"/>
      <c r="AC7" s="93"/>
      <c r="AD7" s="93"/>
      <c r="AE7" s="93"/>
      <c r="AF7" s="93"/>
      <c r="AG7" s="93"/>
      <c r="AH7" s="93"/>
      <c r="AI7" s="93"/>
      <c r="AJ7" s="93"/>
      <c r="AK7" s="93"/>
      <c r="AL7" s="93"/>
      <c r="AM7" s="93"/>
      <c r="AN7" s="93"/>
      <c r="AO7" s="93"/>
      <c r="AP7" s="93"/>
      <c r="AQ7" s="93"/>
      <c r="AR7" s="93"/>
      <c r="AS7" s="93"/>
      <c r="AT7" s="93"/>
      <c r="AU7" s="93"/>
      <c r="AV7" s="93"/>
      <c r="AW7" s="93"/>
      <c r="AX7" s="93"/>
      <c r="AY7" s="93"/>
      <c r="AZ7" s="93"/>
      <c r="BA7" s="93"/>
      <c r="BB7" s="93"/>
      <c r="BC7" s="93"/>
      <c r="BD7" s="93"/>
      <c r="BE7" s="93"/>
      <c r="BF7" s="93"/>
      <c r="BG7" s="93"/>
      <c r="BH7" s="93"/>
      <c r="BI7" s="93"/>
      <c r="BJ7" s="93"/>
      <c r="BK7" s="93"/>
      <c r="BL7" s="93"/>
      <c r="BM7" s="93"/>
      <c r="BN7" s="93"/>
      <c r="BO7" s="93"/>
      <c r="BP7" s="93"/>
      <c r="BQ7" s="93"/>
      <c r="BR7" s="93"/>
      <c r="BS7" s="93"/>
      <c r="BT7" s="93"/>
      <c r="BU7" s="93"/>
      <c r="BV7" s="93"/>
      <c r="BW7" s="93"/>
      <c r="BX7" s="93"/>
      <c r="BY7" s="93"/>
    </row>
    <row r="8" customFormat="false" ht="15" hidden="false" customHeight="false" outlineLevel="0" collapsed="false">
      <c r="A8" s="95" t="s">
        <v>168</v>
      </c>
      <c r="B8" s="95" t="s">
        <v>632</v>
      </c>
      <c r="C8" s="95" t="s">
        <v>633</v>
      </c>
      <c r="D8" s="96" t="n">
        <v>0.5</v>
      </c>
      <c r="E8" s="97" t="n">
        <v>46328</v>
      </c>
      <c r="F8" s="97" t="n">
        <v>46328</v>
      </c>
      <c r="G8" s="95" t="n">
        <v>1</v>
      </c>
      <c r="H8" s="98" t="n">
        <f aca="false">IF($E8="",0,IF(H$6+6&lt;$E8,0,IF(H$6&gt;$F8,0,$D8*(IF(H$6+6&lt;$F8,H$6+6,$F8)-IF(H$6&gt;$E8,H$6,$E8)+1)/($F8-$E8+1))))</f>
        <v>0</v>
      </c>
      <c r="I8" s="98" t="n">
        <f aca="false">IF($E8="",0,IF(I$6+6&lt;$E8,0,IF(I$6&gt;$F8,0,$D8*(IF(I$6+6&lt;$F8,I$6+6,$F8)-IF(I$6&gt;$E8,I$6,$E8)+1)/($F8-$E8+1))))</f>
        <v>0.5</v>
      </c>
      <c r="J8" s="98" t="n">
        <f aca="false">IF($E8="",0,IF(J$6+6&lt;$E8,0,IF(J$6&gt;$F8,0,$D8*(IF(J$6+6&lt;$F8,J$6+6,$F8)-IF(J$6&gt;$E8,J$6,$E8)+1)/($F8-$E8+1))))</f>
        <v>0</v>
      </c>
      <c r="K8" s="98" t="n">
        <f aca="false">IF($E8="",0,IF(K$6+6&lt;$E8,0,IF(K$6&gt;$F8,0,$D8*(IF(K$6+6&lt;$F8,K$6+6,$F8)-IF(K$6&gt;$E8,K$6,$E8)+1)/($F8-$E8+1))))</f>
        <v>0</v>
      </c>
      <c r="L8" s="98" t="n">
        <f aca="false">IF($E8="",0,IF(L$6+6&lt;$E8,0,IF(L$6&gt;$F8,0,$D8*(IF(L$6+6&lt;$F8,L$6+6,$F8)-IF(L$6&gt;$E8,L$6,$E8)+1)/($F8-$E8+1))))</f>
        <v>0</v>
      </c>
      <c r="M8" s="98" t="n">
        <f aca="false">IF($E8="",0,IF(M$6+6&lt;$E8,0,IF(M$6&gt;$F8,0,$D8*(IF(M$6+6&lt;$F8,M$6+6,$F8)-IF(M$6&gt;$E8,M$6,$E8)+1)/($F8-$E8+1))))</f>
        <v>0</v>
      </c>
      <c r="N8" s="98" t="n">
        <f aca="false">IF($E8="",0,IF(N$6+6&lt;$E8,0,IF(N$6&gt;$F8,0,$D8*(IF(N$6+6&lt;$F8,N$6+6,$F8)-IF(N$6&gt;$E8,N$6,$E8)+1)/($F8-$E8+1))))</f>
        <v>0</v>
      </c>
      <c r="O8" s="98" t="n">
        <f aca="false">IF($E8="",0,IF(O$6+6&lt;$E8,0,IF(O$6&gt;$F8,0,$D8*(IF(O$6+6&lt;$F8,O$6+6,$F8)-IF(O$6&gt;$E8,O$6,$E8)+1)/($F8-$E8+1))))</f>
        <v>0</v>
      </c>
      <c r="P8" s="98" t="n">
        <f aca="false">IF($E8="",0,IF(P$6+6&lt;$E8,0,IF(P$6&gt;$F8,0,$D8*(IF(P$6+6&lt;$F8,P$6+6,$F8)-IF(P$6&gt;$E8,P$6,$E8)+1)/($F8-$E8+1))))</f>
        <v>0</v>
      </c>
      <c r="Q8" s="98" t="n">
        <f aca="false">IF($E8="",0,IF(Q$6+6&lt;$E8,0,IF(Q$6&gt;$F8,0,$D8*(IF(Q$6+6&lt;$F8,Q$6+6,$F8)-IF(Q$6&gt;$E8,Q$6,$E8)+1)/($F8-$E8+1))))</f>
        <v>0</v>
      </c>
      <c r="R8" s="98" t="n">
        <f aca="false">IF($E8="",0,IF(R$6+6&lt;$E8,0,IF(R$6&gt;$F8,0,$D8*(IF(R$6+6&lt;$F8,R$6+6,$F8)-IF(R$6&gt;$E8,R$6,$E8)+1)/($F8-$E8+1))))</f>
        <v>0</v>
      </c>
      <c r="S8" s="98" t="n">
        <f aca="false">IF($E8="",0,IF(S$6+6&lt;$E8,0,IF(S$6&gt;$F8,0,$D8*(IF(S$6+6&lt;$F8,S$6+6,$F8)-IF(S$6&gt;$E8,S$6,$E8)+1)/($F8-$E8+1))))</f>
        <v>0</v>
      </c>
      <c r="T8" s="98" t="n">
        <f aca="false">IF($E8="",0,IF(T$6+6&lt;$E8,0,IF(T$6&gt;$F8,0,$D8*(IF(T$6+6&lt;$F8,T$6+6,$F8)-IF(T$6&gt;$E8,T$6,$E8)+1)/($F8-$E8+1))))</f>
        <v>0</v>
      </c>
      <c r="U8" s="98" t="n">
        <f aca="false">IF($E8="",0,IF(U$6+6&lt;$E8,0,IF(U$6&gt;$F8,0,$D8*(IF(U$6+6&lt;$F8,U$6+6,$F8)-IF(U$6&gt;$E8,U$6,$E8)+1)/($F8-$E8+1))))</f>
        <v>0</v>
      </c>
      <c r="V8" s="98" t="n">
        <f aca="false">IF($E8="",0,IF(V$6+6&lt;$E8,0,IF(V$6&gt;$F8,0,$D8*(IF(V$6+6&lt;$F8,V$6+6,$F8)-IF(V$6&gt;$E8,V$6,$E8)+1)/($F8-$E8+1))))</f>
        <v>0</v>
      </c>
      <c r="W8" s="98" t="n">
        <f aca="false">IF($E8="",0,IF(W$6+6&lt;$E8,0,IF(W$6&gt;$F8,0,$D8*(IF(W$6+6&lt;$F8,W$6+6,$F8)-IF(W$6&gt;$E8,W$6,$E8)+1)/($F8-$E8+1))))</f>
        <v>0</v>
      </c>
      <c r="X8" s="98" t="n">
        <f aca="false">IF($E8="",0,IF(X$6+6&lt;$E8,0,IF(X$6&gt;$F8,0,$D8*(IF(X$6+6&lt;$F8,X$6+6,$F8)-IF(X$6&gt;$E8,X$6,$E8)+1)/($F8-$E8+1))))</f>
        <v>0</v>
      </c>
      <c r="Y8" s="98" t="n">
        <f aca="false">IF($E8="",0,IF(Y$6+6&lt;$E8,0,IF(Y$6&gt;$F8,0,$D8*(IF(Y$6+6&lt;$F8,Y$6+6,$F8)-IF(Y$6&gt;$E8,Y$6,$E8)+1)/($F8-$E8+1))))</f>
        <v>0</v>
      </c>
      <c r="Z8" s="98" t="n">
        <f aca="false">IF($E8="",0,IF(Z$6+6&lt;$E8,0,IF(Z$6&gt;$F8,0,$D8*(IF(Z$6+6&lt;$F8,Z$6+6,$F8)-IF(Z$6&gt;$E8,Z$6,$E8)+1)/($F8-$E8+1))))</f>
        <v>0</v>
      </c>
      <c r="AA8" s="98" t="n">
        <f aca="false">IF($E8="",0,IF(AA$6+6&lt;$E8,0,IF(AA$6&gt;$F8,0,$D8*(IF(AA$6+6&lt;$F8,AA$6+6,$F8)-IF(AA$6&gt;$E8,AA$6,$E8)+1)/($F8-$E8+1))))</f>
        <v>0</v>
      </c>
      <c r="AB8" s="98" t="n">
        <f aca="false">IF($E8="",0,IF(AB$6+6&lt;$E8,0,IF(AB$6&gt;$F8,0,$D8*(IF(AB$6+6&lt;$F8,AB$6+6,$F8)-IF(AB$6&gt;$E8,AB$6,$E8)+1)/($F8-$E8+1))))</f>
        <v>0</v>
      </c>
      <c r="AC8" s="98" t="n">
        <f aca="false">IF($E8="",0,IF(AC$6+6&lt;$E8,0,IF(AC$6&gt;$F8,0,$D8*(IF(AC$6+6&lt;$F8,AC$6+6,$F8)-IF(AC$6&gt;$E8,AC$6,$E8)+1)/($F8-$E8+1))))</f>
        <v>0</v>
      </c>
      <c r="AD8" s="98" t="n">
        <f aca="false">IF($E8="",0,IF(AD$6+6&lt;$E8,0,IF(AD$6&gt;$F8,0,$D8*(IF(AD$6+6&lt;$F8,AD$6+6,$F8)-IF(AD$6&gt;$E8,AD$6,$E8)+1)/($F8-$E8+1))))</f>
        <v>0</v>
      </c>
      <c r="AE8" s="98" t="n">
        <f aca="false">IF($E8="",0,IF(AE$6+6&lt;$E8,0,IF(AE$6&gt;$F8,0,$D8*(IF(AE$6+6&lt;$F8,AE$6+6,$F8)-IF(AE$6&gt;$E8,AE$6,$E8)+1)/($F8-$E8+1))))</f>
        <v>0</v>
      </c>
      <c r="AF8" s="98" t="n">
        <f aca="false">IF($E8="",0,IF(AF$6+6&lt;$E8,0,IF(AF$6&gt;$F8,0,$D8*(IF(AF$6+6&lt;$F8,AF$6+6,$F8)-IF(AF$6&gt;$E8,AF$6,$E8)+1)/($F8-$E8+1))))</f>
        <v>0</v>
      </c>
      <c r="AG8" s="98" t="n">
        <f aca="false">IF($E8="",0,IF(AG$6+6&lt;$E8,0,IF(AG$6&gt;$F8,0,$D8*(IF(AG$6+6&lt;$F8,AG$6+6,$F8)-IF(AG$6&gt;$E8,AG$6,$E8)+1)/($F8-$E8+1))))</f>
        <v>0</v>
      </c>
      <c r="AH8" s="98" t="n">
        <f aca="false">IF($E8="",0,IF(AH$6+6&lt;$E8,0,IF(AH$6&gt;$F8,0,$D8*(IF(AH$6+6&lt;$F8,AH$6+6,$F8)-IF(AH$6&gt;$E8,AH$6,$E8)+1)/($F8-$E8+1))))</f>
        <v>0</v>
      </c>
      <c r="AI8" s="98" t="n">
        <f aca="false">IF($E8="",0,IF(AI$6+6&lt;$E8,0,IF(AI$6&gt;$F8,0,$D8*(IF(AI$6+6&lt;$F8,AI$6+6,$F8)-IF(AI$6&gt;$E8,AI$6,$E8)+1)/($F8-$E8+1))))</f>
        <v>0</v>
      </c>
      <c r="AJ8" s="98" t="n">
        <f aca="false">IF($E8="",0,IF(AJ$6+6&lt;$E8,0,IF(AJ$6&gt;$F8,0,$D8*(IF(AJ$6+6&lt;$F8,AJ$6+6,$F8)-IF(AJ$6&gt;$E8,AJ$6,$E8)+1)/($F8-$E8+1))))</f>
        <v>0</v>
      </c>
      <c r="AK8" s="98" t="n">
        <f aca="false">IF($E8="",0,IF(AK$6+6&lt;$E8,0,IF(AK$6&gt;$F8,0,$D8*(IF(AK$6+6&lt;$F8,AK$6+6,$F8)-IF(AK$6&gt;$E8,AK$6,$E8)+1)/($F8-$E8+1))))</f>
        <v>0</v>
      </c>
      <c r="AL8" s="98" t="n">
        <f aca="false">IF($E8="",0,IF(AL$6+6&lt;$E8,0,IF(AL$6&gt;$F8,0,$D8*(IF(AL$6+6&lt;$F8,AL$6+6,$F8)-IF(AL$6&gt;$E8,AL$6,$E8)+1)/($F8-$E8+1))))</f>
        <v>0</v>
      </c>
      <c r="AM8" s="98" t="n">
        <f aca="false">IF($E8="",0,IF(AM$6+6&lt;$E8,0,IF(AM$6&gt;$F8,0,$D8*(IF(AM$6+6&lt;$F8,AM$6+6,$F8)-IF(AM$6&gt;$E8,AM$6,$E8)+1)/($F8-$E8+1))))</f>
        <v>0</v>
      </c>
      <c r="AN8" s="98" t="n">
        <f aca="false">IF($E8="",0,IF(AN$6+6&lt;$E8,0,IF(AN$6&gt;$F8,0,$D8*(IF(AN$6+6&lt;$F8,AN$6+6,$F8)-IF(AN$6&gt;$E8,AN$6,$E8)+1)/($F8-$E8+1))))</f>
        <v>0</v>
      </c>
      <c r="AO8" s="98" t="n">
        <f aca="false">IF($E8="",0,IF(AO$6+6&lt;$E8,0,IF(AO$6&gt;$F8,0,$D8*(IF(AO$6+6&lt;$F8,AO$6+6,$F8)-IF(AO$6&gt;$E8,AO$6,$E8)+1)/($F8-$E8+1))))</f>
        <v>0</v>
      </c>
      <c r="AP8" s="98" t="n">
        <f aca="false">IF($E8="",0,IF(AP$6+6&lt;$E8,0,IF(AP$6&gt;$F8,0,$D8*(IF(AP$6+6&lt;$F8,AP$6+6,$F8)-IF(AP$6&gt;$E8,AP$6,$E8)+1)/($F8-$E8+1))))</f>
        <v>0</v>
      </c>
      <c r="AQ8" s="98" t="n">
        <f aca="false">IF($E8="",0,IF(AQ$6+6&lt;$E8,0,IF(AQ$6&gt;$F8,0,$D8*(IF(AQ$6+6&lt;$F8,AQ$6+6,$F8)-IF(AQ$6&gt;$E8,AQ$6,$E8)+1)/($F8-$E8+1))))</f>
        <v>0</v>
      </c>
      <c r="AR8" s="98" t="n">
        <f aca="false">IF($E8="",0,IF(AR$6+6&lt;$E8,0,IF(AR$6&gt;$F8,0,$D8*(IF(AR$6+6&lt;$F8,AR$6+6,$F8)-IF(AR$6&gt;$E8,AR$6,$E8)+1)/($F8-$E8+1))))</f>
        <v>0</v>
      </c>
      <c r="AS8" s="98" t="n">
        <f aca="false">IF($E8="",0,IF(AS$6+6&lt;$E8,0,IF(AS$6&gt;$F8,0,$D8*(IF(AS$6+6&lt;$F8,AS$6+6,$F8)-IF(AS$6&gt;$E8,AS$6,$E8)+1)/($F8-$E8+1))))</f>
        <v>0</v>
      </c>
      <c r="AT8" s="98" t="n">
        <f aca="false">IF($E8="",0,IF(AT$6+6&lt;$E8,0,IF(AT$6&gt;$F8,0,$D8*(IF(AT$6+6&lt;$F8,AT$6+6,$F8)-IF(AT$6&gt;$E8,AT$6,$E8)+1)/($F8-$E8+1))))</f>
        <v>0</v>
      </c>
      <c r="AU8" s="98" t="n">
        <f aca="false">IF($E8="",0,IF(AU$6+6&lt;$E8,0,IF(AU$6&gt;$F8,0,$D8*(IF(AU$6+6&lt;$F8,AU$6+6,$F8)-IF(AU$6&gt;$E8,AU$6,$E8)+1)/($F8-$E8+1))))</f>
        <v>0</v>
      </c>
      <c r="AV8" s="98" t="n">
        <f aca="false">IF($E8="",0,IF(AV$6+6&lt;$E8,0,IF(AV$6&gt;$F8,0,$D8*(IF(AV$6+6&lt;$F8,AV$6+6,$F8)-IF(AV$6&gt;$E8,AV$6,$E8)+1)/($F8-$E8+1))))</f>
        <v>0</v>
      </c>
      <c r="AW8" s="98" t="n">
        <f aca="false">IF($E8="",0,IF(AW$6+6&lt;$E8,0,IF(AW$6&gt;$F8,0,$D8*(IF(AW$6+6&lt;$F8,AW$6+6,$F8)-IF(AW$6&gt;$E8,AW$6,$E8)+1)/($F8-$E8+1))))</f>
        <v>0</v>
      </c>
      <c r="AX8" s="98" t="n">
        <f aca="false">IF($E8="",0,IF(AX$6+6&lt;$E8,0,IF(AX$6&gt;$F8,0,$D8*(IF(AX$6+6&lt;$F8,AX$6+6,$F8)-IF(AX$6&gt;$E8,AX$6,$E8)+1)/($F8-$E8+1))))</f>
        <v>0</v>
      </c>
      <c r="AY8" s="98" t="n">
        <f aca="false">IF($E8="",0,IF(AY$6+6&lt;$E8,0,IF(AY$6&gt;$F8,0,$D8*(IF(AY$6+6&lt;$F8,AY$6+6,$F8)-IF(AY$6&gt;$E8,AY$6,$E8)+1)/($F8-$E8+1))))</f>
        <v>0</v>
      </c>
      <c r="AZ8" s="98" t="n">
        <f aca="false">IF($E8="",0,IF(AZ$6+6&lt;$E8,0,IF(AZ$6&gt;$F8,0,$D8*(IF(AZ$6+6&lt;$F8,AZ$6+6,$F8)-IF(AZ$6&gt;$E8,AZ$6,$E8)+1)/($F8-$E8+1))))</f>
        <v>0</v>
      </c>
      <c r="BA8" s="98" t="n">
        <f aca="false">IF($E8="",0,IF(BA$6+6&lt;$E8,0,IF(BA$6&gt;$F8,0,$D8*(IF(BA$6+6&lt;$F8,BA$6+6,$F8)-IF(BA$6&gt;$E8,BA$6,$E8)+1)/($F8-$E8+1))))</f>
        <v>0</v>
      </c>
      <c r="BB8" s="98" t="n">
        <f aca="false">IF($E8="",0,IF(BB$6+6&lt;$E8,0,IF(BB$6&gt;$F8,0,$D8*(IF(BB$6+6&lt;$F8,BB$6+6,$F8)-IF(BB$6&gt;$E8,BB$6,$E8)+1)/($F8-$E8+1))))</f>
        <v>0</v>
      </c>
      <c r="BC8" s="98" t="n">
        <f aca="false">IF($E8="",0,IF(BC$6+6&lt;$E8,0,IF(BC$6&gt;$F8,0,$D8*(IF(BC$6+6&lt;$F8,BC$6+6,$F8)-IF(BC$6&gt;$E8,BC$6,$E8)+1)/($F8-$E8+1))))</f>
        <v>0</v>
      </c>
      <c r="BD8" s="98" t="n">
        <f aca="false">IF($E8="",0,IF(BD$6+6&lt;$E8,0,IF(BD$6&gt;$F8,0,$D8*(IF(BD$6+6&lt;$F8,BD$6+6,$F8)-IF(BD$6&gt;$E8,BD$6,$E8)+1)/($F8-$E8+1))))</f>
        <v>0</v>
      </c>
      <c r="BE8" s="98" t="n">
        <f aca="false">IF($E8="",0,IF(BE$6+6&lt;$E8,0,IF(BE$6&gt;$F8,0,$D8*(IF(BE$6+6&lt;$F8,BE$6+6,$F8)-IF(BE$6&gt;$E8,BE$6,$E8)+1)/($F8-$E8+1))))</f>
        <v>0</v>
      </c>
      <c r="BF8" s="98" t="n">
        <f aca="false">IF($E8="",0,IF(BF$6+6&lt;$E8,0,IF(BF$6&gt;$F8,0,$D8*(IF(BF$6+6&lt;$F8,BF$6+6,$F8)-IF(BF$6&gt;$E8,BF$6,$E8)+1)/($F8-$E8+1))))</f>
        <v>0</v>
      </c>
      <c r="BG8" s="98" t="n">
        <f aca="false">IF($E8="",0,IF(BG$6+6&lt;$E8,0,IF(BG$6&gt;$F8,0,$D8*(IF(BG$6+6&lt;$F8,BG$6+6,$F8)-IF(BG$6&gt;$E8,BG$6,$E8)+1)/($F8-$E8+1))))</f>
        <v>0</v>
      </c>
      <c r="BH8" s="98" t="n">
        <f aca="false">IF($E8="",0,IF(BH$6+6&lt;$E8,0,IF(BH$6&gt;$F8,0,$D8*(IF(BH$6+6&lt;$F8,BH$6+6,$F8)-IF(BH$6&gt;$E8,BH$6,$E8)+1)/($F8-$E8+1))))</f>
        <v>0</v>
      </c>
      <c r="BI8" s="98" t="n">
        <f aca="false">IF($E8="",0,IF(BI$6+6&lt;$E8,0,IF(BI$6&gt;$F8,0,$D8*(IF(BI$6+6&lt;$F8,BI$6+6,$F8)-IF(BI$6&gt;$E8,BI$6,$E8)+1)/($F8-$E8+1))))</f>
        <v>0</v>
      </c>
      <c r="BJ8" s="98" t="n">
        <f aca="false">IF($E8="",0,IF(BJ$6+6&lt;$E8,0,IF(BJ$6&gt;$F8,0,$D8*(IF(BJ$6+6&lt;$F8,BJ$6+6,$F8)-IF(BJ$6&gt;$E8,BJ$6,$E8)+1)/($F8-$E8+1))))</f>
        <v>0</v>
      </c>
      <c r="BK8" s="98" t="n">
        <f aca="false">IF($E8="",0,IF(BK$6+6&lt;$E8,0,IF(BK$6&gt;$F8,0,$D8*(IF(BK$6+6&lt;$F8,BK$6+6,$F8)-IF(BK$6&gt;$E8,BK$6,$E8)+1)/($F8-$E8+1))))</f>
        <v>0</v>
      </c>
      <c r="BL8" s="98" t="n">
        <f aca="false">IF($E8="",0,IF(BL$6+6&lt;$E8,0,IF(BL$6&gt;$F8,0,$D8*(IF(BL$6+6&lt;$F8,BL$6+6,$F8)-IF(BL$6&gt;$E8,BL$6,$E8)+1)/($F8-$E8+1))))</f>
        <v>0</v>
      </c>
      <c r="BM8" s="98" t="n">
        <f aca="false">IF($E8="",0,IF(BM$6+6&lt;$E8,0,IF(BM$6&gt;$F8,0,$D8*(IF(BM$6+6&lt;$F8,BM$6+6,$F8)-IF(BM$6&gt;$E8,BM$6,$E8)+1)/($F8-$E8+1))))</f>
        <v>0</v>
      </c>
      <c r="BN8" s="98" t="n">
        <f aca="false">IF($E8="",0,IF(BN$6+6&lt;$E8,0,IF(BN$6&gt;$F8,0,$D8*(IF(BN$6+6&lt;$F8,BN$6+6,$F8)-IF(BN$6&gt;$E8,BN$6,$E8)+1)/($F8-$E8+1))))</f>
        <v>0</v>
      </c>
      <c r="BO8" s="98" t="n">
        <f aca="false">IF($E8="",0,IF(BO$6+6&lt;$E8,0,IF(BO$6&gt;$F8,0,$D8*(IF(BO$6+6&lt;$F8,BO$6+6,$F8)-IF(BO$6&gt;$E8,BO$6,$E8)+1)/($F8-$E8+1))))</f>
        <v>0</v>
      </c>
      <c r="BP8" s="98" t="n">
        <f aca="false">IF($E8="",0,IF(BP$6+6&lt;$E8,0,IF(BP$6&gt;$F8,0,$D8*(IF(BP$6+6&lt;$F8,BP$6+6,$F8)-IF(BP$6&gt;$E8,BP$6,$E8)+1)/($F8-$E8+1))))</f>
        <v>0</v>
      </c>
      <c r="BQ8" s="98" t="n">
        <f aca="false">IF($E8="",0,IF(BQ$6+6&lt;$E8,0,IF(BQ$6&gt;$F8,0,$D8*(IF(BQ$6+6&lt;$F8,BQ$6+6,$F8)-IF(BQ$6&gt;$E8,BQ$6,$E8)+1)/($F8-$E8+1))))</f>
        <v>0</v>
      </c>
      <c r="BR8" s="98" t="n">
        <f aca="false">IF($E8="",0,IF(BR$6+6&lt;$E8,0,IF(BR$6&gt;$F8,0,$D8*(IF(BR$6+6&lt;$F8,BR$6+6,$F8)-IF(BR$6&gt;$E8,BR$6,$E8)+1)/($F8-$E8+1))))</f>
        <v>0</v>
      </c>
      <c r="BS8" s="98" t="n">
        <f aca="false">IF($E8="",0,IF(BS$6+6&lt;$E8,0,IF(BS$6&gt;$F8,0,$D8*(IF(BS$6+6&lt;$F8,BS$6+6,$F8)-IF(BS$6&gt;$E8,BS$6,$E8)+1)/($F8-$E8+1))))</f>
        <v>0</v>
      </c>
      <c r="BT8" s="98" t="n">
        <f aca="false">IF($E8="",0,IF(BT$6+6&lt;$E8,0,IF(BT$6&gt;$F8,0,$D8*(IF(BT$6+6&lt;$F8,BT$6+6,$F8)-IF(BT$6&gt;$E8,BT$6,$E8)+1)/($F8-$E8+1))))</f>
        <v>0</v>
      </c>
      <c r="BU8" s="98" t="n">
        <f aca="false">IF($E8="",0,IF(BU$6+6&lt;$E8,0,IF(BU$6&gt;$F8,0,$D8*(IF(BU$6+6&lt;$F8,BU$6+6,$F8)-IF(BU$6&gt;$E8,BU$6,$E8)+1)/($F8-$E8+1))))</f>
        <v>0</v>
      </c>
      <c r="BV8" s="98" t="n">
        <f aca="false">IF($E8="",0,IF(BV$6+6&lt;$E8,0,IF(BV$6&gt;$F8,0,$D8*(IF(BV$6+6&lt;$F8,BV$6+6,$F8)-IF(BV$6&gt;$E8,BV$6,$E8)+1)/($F8-$E8+1))))</f>
        <v>0</v>
      </c>
      <c r="BW8" s="98" t="n">
        <f aca="false">IF($E8="",0,IF(BW$6+6&lt;$E8,0,IF(BW$6&gt;$F8,0,$D8*(IF(BW$6+6&lt;$F8,BW$6+6,$F8)-IF(BW$6&gt;$E8,BW$6,$E8)+1)/($F8-$E8+1))))</f>
        <v>0</v>
      </c>
      <c r="BX8" s="98" t="n">
        <f aca="false">IF($E8="",0,IF(BX$6+6&lt;$E8,0,IF(BX$6&gt;$F8,0,$D8*(IF(BX$6+6&lt;$F8,BX$6+6,$F8)-IF(BX$6&gt;$E8,BX$6,$E8)+1)/($F8-$E8+1))))</f>
        <v>0</v>
      </c>
      <c r="BY8" s="98" t="n">
        <f aca="false">IF($E8="",0,IF(BY$6+6&lt;$E8,0,IF(BY$6&gt;$F8,0,$D8*(IF(BY$6+6&lt;$F8,BY$6+6,$F8)-IF(BY$6&gt;$E8,BY$6,$E8)+1)/($F8-$E8+1))))</f>
        <v>0</v>
      </c>
    </row>
    <row r="9" customFormat="false" ht="15" hidden="false" customHeight="false" outlineLevel="0" collapsed="false">
      <c r="A9" s="95"/>
      <c r="B9" s="95"/>
      <c r="C9" s="95" t="s">
        <v>634</v>
      </c>
      <c r="D9" s="96"/>
      <c r="E9" s="99"/>
      <c r="F9" s="99"/>
      <c r="G9" s="100"/>
      <c r="H9" s="101"/>
      <c r="I9" s="101"/>
      <c r="J9" s="101"/>
      <c r="K9" s="101"/>
      <c r="L9" s="101"/>
      <c r="M9" s="101"/>
      <c r="N9" s="101"/>
      <c r="O9" s="101"/>
      <c r="P9" s="101"/>
      <c r="Q9" s="101"/>
      <c r="R9" s="101"/>
      <c r="S9" s="101"/>
      <c r="T9" s="101"/>
      <c r="U9" s="101"/>
      <c r="V9" s="101"/>
      <c r="W9" s="101"/>
      <c r="X9" s="101"/>
      <c r="Y9" s="101"/>
      <c r="Z9" s="101"/>
      <c r="AA9" s="101"/>
      <c r="AB9" s="101"/>
      <c r="AC9" s="101"/>
      <c r="AD9" s="101"/>
      <c r="AE9" s="101"/>
      <c r="AF9" s="101"/>
      <c r="AG9" s="101"/>
      <c r="AH9" s="101"/>
      <c r="AI9" s="101"/>
      <c r="AJ9" s="101"/>
      <c r="AK9" s="101"/>
      <c r="AL9" s="101"/>
      <c r="AM9" s="101"/>
      <c r="AN9" s="101"/>
      <c r="AO9" s="101"/>
      <c r="AP9" s="101"/>
      <c r="AQ9" s="101"/>
      <c r="AR9" s="101"/>
      <c r="AS9" s="101"/>
      <c r="AT9" s="101"/>
      <c r="AU9" s="101"/>
      <c r="AV9" s="101"/>
      <c r="AW9" s="101"/>
      <c r="AX9" s="101"/>
      <c r="AY9" s="101"/>
      <c r="AZ9" s="101"/>
      <c r="BA9" s="101"/>
      <c r="BB9" s="101"/>
      <c r="BC9" s="101"/>
      <c r="BD9" s="101"/>
      <c r="BE9" s="101"/>
      <c r="BF9" s="101"/>
      <c r="BG9" s="101"/>
      <c r="BH9" s="101"/>
      <c r="BI9" s="101"/>
      <c r="BJ9" s="101"/>
      <c r="BK9" s="101"/>
      <c r="BL9" s="101"/>
      <c r="BM9" s="101"/>
      <c r="BN9" s="101"/>
      <c r="BO9" s="101"/>
      <c r="BP9" s="101"/>
      <c r="BQ9" s="101"/>
      <c r="BR9" s="101"/>
      <c r="BS9" s="101"/>
      <c r="BT9" s="101"/>
      <c r="BU9" s="101"/>
      <c r="BV9" s="101"/>
      <c r="BW9" s="101"/>
      <c r="BX9" s="101"/>
      <c r="BY9" s="101"/>
    </row>
    <row r="10" customFormat="false" ht="15" hidden="false" customHeight="false" outlineLevel="0" collapsed="false">
      <c r="A10" s="95" t="s">
        <v>184</v>
      </c>
      <c r="B10" s="95" t="s">
        <v>635</v>
      </c>
      <c r="C10" s="95" t="s">
        <v>633</v>
      </c>
      <c r="D10" s="96" t="n">
        <v>1</v>
      </c>
      <c r="E10" s="97" t="n">
        <v>46335</v>
      </c>
      <c r="F10" s="97" t="n">
        <v>46344</v>
      </c>
      <c r="G10" s="95" t="n">
        <v>9</v>
      </c>
      <c r="H10" s="98" t="n">
        <f aca="false">IF($E10="",0,IF(H$6+6&lt;$E10,0,IF(H$6&gt;$F10,0,$D10*(IF(H$6+6&lt;$F10,H$6+6,$F10)-IF(H$6&gt;$E10,H$6,$E10)+1)/($F10-$E10+1))))</f>
        <v>0</v>
      </c>
      <c r="I10" s="98" t="n">
        <f aca="false">IF($E10="",0,IF(I$6+6&lt;$E10,0,IF(I$6&gt;$F10,0,$D10*(IF(I$6+6&lt;$F10,I$6+6,$F10)-IF(I$6&gt;$E10,I$6,$E10)+1)/($F10-$E10+1))))</f>
        <v>0</v>
      </c>
      <c r="J10" s="98" t="n">
        <f aca="false">IF($E10="",0,IF(J$6+6&lt;$E10,0,IF(J$6&gt;$F10,0,$D10*(IF(J$6+6&lt;$F10,J$6+6,$F10)-IF(J$6&gt;$E10,J$6,$E10)+1)/($F10-$E10+1))))</f>
        <v>0.7</v>
      </c>
      <c r="K10" s="98" t="n">
        <f aca="false">IF($E10="",0,IF(K$6+6&lt;$E10,0,IF(K$6&gt;$F10,0,$D10*(IF(K$6+6&lt;$F10,K$6+6,$F10)-IF(K$6&gt;$E10,K$6,$E10)+1)/($F10-$E10+1))))</f>
        <v>0.3</v>
      </c>
      <c r="L10" s="98" t="n">
        <f aca="false">IF($E10="",0,IF(L$6+6&lt;$E10,0,IF(L$6&gt;$F10,0,$D10*(IF(L$6+6&lt;$F10,L$6+6,$F10)-IF(L$6&gt;$E10,L$6,$E10)+1)/($F10-$E10+1))))</f>
        <v>0</v>
      </c>
      <c r="M10" s="98" t="n">
        <f aca="false">IF($E10="",0,IF(M$6+6&lt;$E10,0,IF(M$6&gt;$F10,0,$D10*(IF(M$6+6&lt;$F10,M$6+6,$F10)-IF(M$6&gt;$E10,M$6,$E10)+1)/($F10-$E10+1))))</f>
        <v>0</v>
      </c>
      <c r="N10" s="98" t="n">
        <f aca="false">IF($E10="",0,IF(N$6+6&lt;$E10,0,IF(N$6&gt;$F10,0,$D10*(IF(N$6+6&lt;$F10,N$6+6,$F10)-IF(N$6&gt;$E10,N$6,$E10)+1)/($F10-$E10+1))))</f>
        <v>0</v>
      </c>
      <c r="O10" s="98" t="n">
        <f aca="false">IF($E10="",0,IF(O$6+6&lt;$E10,0,IF(O$6&gt;$F10,0,$D10*(IF(O$6+6&lt;$F10,O$6+6,$F10)-IF(O$6&gt;$E10,O$6,$E10)+1)/($F10-$E10+1))))</f>
        <v>0</v>
      </c>
      <c r="P10" s="98" t="n">
        <f aca="false">IF($E10="",0,IF(P$6+6&lt;$E10,0,IF(P$6&gt;$F10,0,$D10*(IF(P$6+6&lt;$F10,P$6+6,$F10)-IF(P$6&gt;$E10,P$6,$E10)+1)/($F10-$E10+1))))</f>
        <v>0</v>
      </c>
      <c r="Q10" s="98" t="n">
        <f aca="false">IF($E10="",0,IF(Q$6+6&lt;$E10,0,IF(Q$6&gt;$F10,0,$D10*(IF(Q$6+6&lt;$F10,Q$6+6,$F10)-IF(Q$6&gt;$E10,Q$6,$E10)+1)/($F10-$E10+1))))</f>
        <v>0</v>
      </c>
      <c r="R10" s="98" t="n">
        <f aca="false">IF($E10="",0,IF(R$6+6&lt;$E10,0,IF(R$6&gt;$F10,0,$D10*(IF(R$6+6&lt;$F10,R$6+6,$F10)-IF(R$6&gt;$E10,R$6,$E10)+1)/($F10-$E10+1))))</f>
        <v>0</v>
      </c>
      <c r="S10" s="98" t="n">
        <f aca="false">IF($E10="",0,IF(S$6+6&lt;$E10,0,IF(S$6&gt;$F10,0,$D10*(IF(S$6+6&lt;$F10,S$6+6,$F10)-IF(S$6&gt;$E10,S$6,$E10)+1)/($F10-$E10+1))))</f>
        <v>0</v>
      </c>
      <c r="T10" s="98" t="n">
        <f aca="false">IF($E10="",0,IF(T$6+6&lt;$E10,0,IF(T$6&gt;$F10,0,$D10*(IF(T$6+6&lt;$F10,T$6+6,$F10)-IF(T$6&gt;$E10,T$6,$E10)+1)/($F10-$E10+1))))</f>
        <v>0</v>
      </c>
      <c r="U10" s="98" t="n">
        <f aca="false">IF($E10="",0,IF(U$6+6&lt;$E10,0,IF(U$6&gt;$F10,0,$D10*(IF(U$6+6&lt;$F10,U$6+6,$F10)-IF(U$6&gt;$E10,U$6,$E10)+1)/($F10-$E10+1))))</f>
        <v>0</v>
      </c>
      <c r="V10" s="98" t="n">
        <f aca="false">IF($E10="",0,IF(V$6+6&lt;$E10,0,IF(V$6&gt;$F10,0,$D10*(IF(V$6+6&lt;$F10,V$6+6,$F10)-IF(V$6&gt;$E10,V$6,$E10)+1)/($F10-$E10+1))))</f>
        <v>0</v>
      </c>
      <c r="W10" s="98" t="n">
        <f aca="false">IF($E10="",0,IF(W$6+6&lt;$E10,0,IF(W$6&gt;$F10,0,$D10*(IF(W$6+6&lt;$F10,W$6+6,$F10)-IF(W$6&gt;$E10,W$6,$E10)+1)/($F10-$E10+1))))</f>
        <v>0</v>
      </c>
      <c r="X10" s="98" t="n">
        <f aca="false">IF($E10="",0,IF(X$6+6&lt;$E10,0,IF(X$6&gt;$F10,0,$D10*(IF(X$6+6&lt;$F10,X$6+6,$F10)-IF(X$6&gt;$E10,X$6,$E10)+1)/($F10-$E10+1))))</f>
        <v>0</v>
      </c>
      <c r="Y10" s="98" t="n">
        <f aca="false">IF($E10="",0,IF(Y$6+6&lt;$E10,0,IF(Y$6&gt;$F10,0,$D10*(IF(Y$6+6&lt;$F10,Y$6+6,$F10)-IF(Y$6&gt;$E10,Y$6,$E10)+1)/($F10-$E10+1))))</f>
        <v>0</v>
      </c>
      <c r="Z10" s="98" t="n">
        <f aca="false">IF($E10="",0,IF(Z$6+6&lt;$E10,0,IF(Z$6&gt;$F10,0,$D10*(IF(Z$6+6&lt;$F10,Z$6+6,$F10)-IF(Z$6&gt;$E10,Z$6,$E10)+1)/($F10-$E10+1))))</f>
        <v>0</v>
      </c>
      <c r="AA10" s="98" t="n">
        <f aca="false">IF($E10="",0,IF(AA$6+6&lt;$E10,0,IF(AA$6&gt;$F10,0,$D10*(IF(AA$6+6&lt;$F10,AA$6+6,$F10)-IF(AA$6&gt;$E10,AA$6,$E10)+1)/($F10-$E10+1))))</f>
        <v>0</v>
      </c>
      <c r="AB10" s="98" t="n">
        <f aca="false">IF($E10="",0,IF(AB$6+6&lt;$E10,0,IF(AB$6&gt;$F10,0,$D10*(IF(AB$6+6&lt;$F10,AB$6+6,$F10)-IF(AB$6&gt;$E10,AB$6,$E10)+1)/($F10-$E10+1))))</f>
        <v>0</v>
      </c>
      <c r="AC10" s="98" t="n">
        <f aca="false">IF($E10="",0,IF(AC$6+6&lt;$E10,0,IF(AC$6&gt;$F10,0,$D10*(IF(AC$6+6&lt;$F10,AC$6+6,$F10)-IF(AC$6&gt;$E10,AC$6,$E10)+1)/($F10-$E10+1))))</f>
        <v>0</v>
      </c>
      <c r="AD10" s="98" t="n">
        <f aca="false">IF($E10="",0,IF(AD$6+6&lt;$E10,0,IF(AD$6&gt;$F10,0,$D10*(IF(AD$6+6&lt;$F10,AD$6+6,$F10)-IF(AD$6&gt;$E10,AD$6,$E10)+1)/($F10-$E10+1))))</f>
        <v>0</v>
      </c>
      <c r="AE10" s="98" t="n">
        <f aca="false">IF($E10="",0,IF(AE$6+6&lt;$E10,0,IF(AE$6&gt;$F10,0,$D10*(IF(AE$6+6&lt;$F10,AE$6+6,$F10)-IF(AE$6&gt;$E10,AE$6,$E10)+1)/($F10-$E10+1))))</f>
        <v>0</v>
      </c>
      <c r="AF10" s="98" t="n">
        <f aca="false">IF($E10="",0,IF(AF$6+6&lt;$E10,0,IF(AF$6&gt;$F10,0,$D10*(IF(AF$6+6&lt;$F10,AF$6+6,$F10)-IF(AF$6&gt;$E10,AF$6,$E10)+1)/($F10-$E10+1))))</f>
        <v>0</v>
      </c>
      <c r="AG10" s="98" t="n">
        <f aca="false">IF($E10="",0,IF(AG$6+6&lt;$E10,0,IF(AG$6&gt;$F10,0,$D10*(IF(AG$6+6&lt;$F10,AG$6+6,$F10)-IF(AG$6&gt;$E10,AG$6,$E10)+1)/($F10-$E10+1))))</f>
        <v>0</v>
      </c>
      <c r="AH10" s="98" t="n">
        <f aca="false">IF($E10="",0,IF(AH$6+6&lt;$E10,0,IF(AH$6&gt;$F10,0,$D10*(IF(AH$6+6&lt;$F10,AH$6+6,$F10)-IF(AH$6&gt;$E10,AH$6,$E10)+1)/($F10-$E10+1))))</f>
        <v>0</v>
      </c>
      <c r="AI10" s="98" t="n">
        <f aca="false">IF($E10="",0,IF(AI$6+6&lt;$E10,0,IF(AI$6&gt;$F10,0,$D10*(IF(AI$6+6&lt;$F10,AI$6+6,$F10)-IF(AI$6&gt;$E10,AI$6,$E10)+1)/($F10-$E10+1))))</f>
        <v>0</v>
      </c>
      <c r="AJ10" s="98" t="n">
        <f aca="false">IF($E10="",0,IF(AJ$6+6&lt;$E10,0,IF(AJ$6&gt;$F10,0,$D10*(IF(AJ$6+6&lt;$F10,AJ$6+6,$F10)-IF(AJ$6&gt;$E10,AJ$6,$E10)+1)/($F10-$E10+1))))</f>
        <v>0</v>
      </c>
      <c r="AK10" s="98" t="n">
        <f aca="false">IF($E10="",0,IF(AK$6+6&lt;$E10,0,IF(AK$6&gt;$F10,0,$D10*(IF(AK$6+6&lt;$F10,AK$6+6,$F10)-IF(AK$6&gt;$E10,AK$6,$E10)+1)/($F10-$E10+1))))</f>
        <v>0</v>
      </c>
      <c r="AL10" s="98" t="n">
        <f aca="false">IF($E10="",0,IF(AL$6+6&lt;$E10,0,IF(AL$6&gt;$F10,0,$D10*(IF(AL$6+6&lt;$F10,AL$6+6,$F10)-IF(AL$6&gt;$E10,AL$6,$E10)+1)/($F10-$E10+1))))</f>
        <v>0</v>
      </c>
      <c r="AM10" s="98" t="n">
        <f aca="false">IF($E10="",0,IF(AM$6+6&lt;$E10,0,IF(AM$6&gt;$F10,0,$D10*(IF(AM$6+6&lt;$F10,AM$6+6,$F10)-IF(AM$6&gt;$E10,AM$6,$E10)+1)/($F10-$E10+1))))</f>
        <v>0</v>
      </c>
      <c r="AN10" s="98" t="n">
        <f aca="false">IF($E10="",0,IF(AN$6+6&lt;$E10,0,IF(AN$6&gt;$F10,0,$D10*(IF(AN$6+6&lt;$F10,AN$6+6,$F10)-IF(AN$6&gt;$E10,AN$6,$E10)+1)/($F10-$E10+1))))</f>
        <v>0</v>
      </c>
      <c r="AO10" s="98" t="n">
        <f aca="false">IF($E10="",0,IF(AO$6+6&lt;$E10,0,IF(AO$6&gt;$F10,0,$D10*(IF(AO$6+6&lt;$F10,AO$6+6,$F10)-IF(AO$6&gt;$E10,AO$6,$E10)+1)/($F10-$E10+1))))</f>
        <v>0</v>
      </c>
      <c r="AP10" s="98" t="n">
        <f aca="false">IF($E10="",0,IF(AP$6+6&lt;$E10,0,IF(AP$6&gt;$F10,0,$D10*(IF(AP$6+6&lt;$F10,AP$6+6,$F10)-IF(AP$6&gt;$E10,AP$6,$E10)+1)/($F10-$E10+1))))</f>
        <v>0</v>
      </c>
      <c r="AQ10" s="98" t="n">
        <f aca="false">IF($E10="",0,IF(AQ$6+6&lt;$E10,0,IF(AQ$6&gt;$F10,0,$D10*(IF(AQ$6+6&lt;$F10,AQ$6+6,$F10)-IF(AQ$6&gt;$E10,AQ$6,$E10)+1)/($F10-$E10+1))))</f>
        <v>0</v>
      </c>
      <c r="AR10" s="98" t="n">
        <f aca="false">IF($E10="",0,IF(AR$6+6&lt;$E10,0,IF(AR$6&gt;$F10,0,$D10*(IF(AR$6+6&lt;$F10,AR$6+6,$F10)-IF(AR$6&gt;$E10,AR$6,$E10)+1)/($F10-$E10+1))))</f>
        <v>0</v>
      </c>
      <c r="AS10" s="98" t="n">
        <f aca="false">IF($E10="",0,IF(AS$6+6&lt;$E10,0,IF(AS$6&gt;$F10,0,$D10*(IF(AS$6+6&lt;$F10,AS$6+6,$F10)-IF(AS$6&gt;$E10,AS$6,$E10)+1)/($F10-$E10+1))))</f>
        <v>0</v>
      </c>
      <c r="AT10" s="98" t="n">
        <f aca="false">IF($E10="",0,IF(AT$6+6&lt;$E10,0,IF(AT$6&gt;$F10,0,$D10*(IF(AT$6+6&lt;$F10,AT$6+6,$F10)-IF(AT$6&gt;$E10,AT$6,$E10)+1)/($F10-$E10+1))))</f>
        <v>0</v>
      </c>
      <c r="AU10" s="98" t="n">
        <f aca="false">IF($E10="",0,IF(AU$6+6&lt;$E10,0,IF(AU$6&gt;$F10,0,$D10*(IF(AU$6+6&lt;$F10,AU$6+6,$F10)-IF(AU$6&gt;$E10,AU$6,$E10)+1)/($F10-$E10+1))))</f>
        <v>0</v>
      </c>
      <c r="AV10" s="98" t="n">
        <f aca="false">IF($E10="",0,IF(AV$6+6&lt;$E10,0,IF(AV$6&gt;$F10,0,$D10*(IF(AV$6+6&lt;$F10,AV$6+6,$F10)-IF(AV$6&gt;$E10,AV$6,$E10)+1)/($F10-$E10+1))))</f>
        <v>0</v>
      </c>
      <c r="AW10" s="98" t="n">
        <f aca="false">IF($E10="",0,IF(AW$6+6&lt;$E10,0,IF(AW$6&gt;$F10,0,$D10*(IF(AW$6+6&lt;$F10,AW$6+6,$F10)-IF(AW$6&gt;$E10,AW$6,$E10)+1)/($F10-$E10+1))))</f>
        <v>0</v>
      </c>
      <c r="AX10" s="98" t="n">
        <f aca="false">IF($E10="",0,IF(AX$6+6&lt;$E10,0,IF(AX$6&gt;$F10,0,$D10*(IF(AX$6+6&lt;$F10,AX$6+6,$F10)-IF(AX$6&gt;$E10,AX$6,$E10)+1)/($F10-$E10+1))))</f>
        <v>0</v>
      </c>
      <c r="AY10" s="98" t="n">
        <f aca="false">IF($E10="",0,IF(AY$6+6&lt;$E10,0,IF(AY$6&gt;$F10,0,$D10*(IF(AY$6+6&lt;$F10,AY$6+6,$F10)-IF(AY$6&gt;$E10,AY$6,$E10)+1)/($F10-$E10+1))))</f>
        <v>0</v>
      </c>
      <c r="AZ10" s="98" t="n">
        <f aca="false">IF($E10="",0,IF(AZ$6+6&lt;$E10,0,IF(AZ$6&gt;$F10,0,$D10*(IF(AZ$6+6&lt;$F10,AZ$6+6,$F10)-IF(AZ$6&gt;$E10,AZ$6,$E10)+1)/($F10-$E10+1))))</f>
        <v>0</v>
      </c>
      <c r="BA10" s="98" t="n">
        <f aca="false">IF($E10="",0,IF(BA$6+6&lt;$E10,0,IF(BA$6&gt;$F10,0,$D10*(IF(BA$6+6&lt;$F10,BA$6+6,$F10)-IF(BA$6&gt;$E10,BA$6,$E10)+1)/($F10-$E10+1))))</f>
        <v>0</v>
      </c>
      <c r="BB10" s="98" t="n">
        <f aca="false">IF($E10="",0,IF(BB$6+6&lt;$E10,0,IF(BB$6&gt;$F10,0,$D10*(IF(BB$6+6&lt;$F10,BB$6+6,$F10)-IF(BB$6&gt;$E10,BB$6,$E10)+1)/($F10-$E10+1))))</f>
        <v>0</v>
      </c>
      <c r="BC10" s="98" t="n">
        <f aca="false">IF($E10="",0,IF(BC$6+6&lt;$E10,0,IF(BC$6&gt;$F10,0,$D10*(IF(BC$6+6&lt;$F10,BC$6+6,$F10)-IF(BC$6&gt;$E10,BC$6,$E10)+1)/($F10-$E10+1))))</f>
        <v>0</v>
      </c>
      <c r="BD10" s="98" t="n">
        <f aca="false">IF($E10="",0,IF(BD$6+6&lt;$E10,0,IF(BD$6&gt;$F10,0,$D10*(IF(BD$6+6&lt;$F10,BD$6+6,$F10)-IF(BD$6&gt;$E10,BD$6,$E10)+1)/($F10-$E10+1))))</f>
        <v>0</v>
      </c>
      <c r="BE10" s="98" t="n">
        <f aca="false">IF($E10="",0,IF(BE$6+6&lt;$E10,0,IF(BE$6&gt;$F10,0,$D10*(IF(BE$6+6&lt;$F10,BE$6+6,$F10)-IF(BE$6&gt;$E10,BE$6,$E10)+1)/($F10-$E10+1))))</f>
        <v>0</v>
      </c>
      <c r="BF10" s="98" t="n">
        <f aca="false">IF($E10="",0,IF(BF$6+6&lt;$E10,0,IF(BF$6&gt;$F10,0,$D10*(IF(BF$6+6&lt;$F10,BF$6+6,$F10)-IF(BF$6&gt;$E10,BF$6,$E10)+1)/($F10-$E10+1))))</f>
        <v>0</v>
      </c>
      <c r="BG10" s="98" t="n">
        <f aca="false">IF($E10="",0,IF(BG$6+6&lt;$E10,0,IF(BG$6&gt;$F10,0,$D10*(IF(BG$6+6&lt;$F10,BG$6+6,$F10)-IF(BG$6&gt;$E10,BG$6,$E10)+1)/($F10-$E10+1))))</f>
        <v>0</v>
      </c>
      <c r="BH10" s="98" t="n">
        <f aca="false">IF($E10="",0,IF(BH$6+6&lt;$E10,0,IF(BH$6&gt;$F10,0,$D10*(IF(BH$6+6&lt;$F10,BH$6+6,$F10)-IF(BH$6&gt;$E10,BH$6,$E10)+1)/($F10-$E10+1))))</f>
        <v>0</v>
      </c>
      <c r="BI10" s="98" t="n">
        <f aca="false">IF($E10="",0,IF(BI$6+6&lt;$E10,0,IF(BI$6&gt;$F10,0,$D10*(IF(BI$6+6&lt;$F10,BI$6+6,$F10)-IF(BI$6&gt;$E10,BI$6,$E10)+1)/($F10-$E10+1))))</f>
        <v>0</v>
      </c>
      <c r="BJ10" s="98" t="n">
        <f aca="false">IF($E10="",0,IF(BJ$6+6&lt;$E10,0,IF(BJ$6&gt;$F10,0,$D10*(IF(BJ$6+6&lt;$F10,BJ$6+6,$F10)-IF(BJ$6&gt;$E10,BJ$6,$E10)+1)/($F10-$E10+1))))</f>
        <v>0</v>
      </c>
      <c r="BK10" s="98" t="n">
        <f aca="false">IF($E10="",0,IF(BK$6+6&lt;$E10,0,IF(BK$6&gt;$F10,0,$D10*(IF(BK$6+6&lt;$F10,BK$6+6,$F10)-IF(BK$6&gt;$E10,BK$6,$E10)+1)/($F10-$E10+1))))</f>
        <v>0</v>
      </c>
      <c r="BL10" s="98" t="n">
        <f aca="false">IF($E10="",0,IF(BL$6+6&lt;$E10,0,IF(BL$6&gt;$F10,0,$D10*(IF(BL$6+6&lt;$F10,BL$6+6,$F10)-IF(BL$6&gt;$E10,BL$6,$E10)+1)/($F10-$E10+1))))</f>
        <v>0</v>
      </c>
      <c r="BM10" s="98" t="n">
        <f aca="false">IF($E10="",0,IF(BM$6+6&lt;$E10,0,IF(BM$6&gt;$F10,0,$D10*(IF(BM$6+6&lt;$F10,BM$6+6,$F10)-IF(BM$6&gt;$E10,BM$6,$E10)+1)/($F10-$E10+1))))</f>
        <v>0</v>
      </c>
      <c r="BN10" s="98" t="n">
        <f aca="false">IF($E10="",0,IF(BN$6+6&lt;$E10,0,IF(BN$6&gt;$F10,0,$D10*(IF(BN$6+6&lt;$F10,BN$6+6,$F10)-IF(BN$6&gt;$E10,BN$6,$E10)+1)/($F10-$E10+1))))</f>
        <v>0</v>
      </c>
      <c r="BO10" s="98" t="n">
        <f aca="false">IF($E10="",0,IF(BO$6+6&lt;$E10,0,IF(BO$6&gt;$F10,0,$D10*(IF(BO$6+6&lt;$F10,BO$6+6,$F10)-IF(BO$6&gt;$E10,BO$6,$E10)+1)/($F10-$E10+1))))</f>
        <v>0</v>
      </c>
      <c r="BP10" s="98" t="n">
        <f aca="false">IF($E10="",0,IF(BP$6+6&lt;$E10,0,IF(BP$6&gt;$F10,0,$D10*(IF(BP$6+6&lt;$F10,BP$6+6,$F10)-IF(BP$6&gt;$E10,BP$6,$E10)+1)/($F10-$E10+1))))</f>
        <v>0</v>
      </c>
      <c r="BQ10" s="98" t="n">
        <f aca="false">IF($E10="",0,IF(BQ$6+6&lt;$E10,0,IF(BQ$6&gt;$F10,0,$D10*(IF(BQ$6+6&lt;$F10,BQ$6+6,$F10)-IF(BQ$6&gt;$E10,BQ$6,$E10)+1)/($F10-$E10+1))))</f>
        <v>0</v>
      </c>
      <c r="BR10" s="98" t="n">
        <f aca="false">IF($E10="",0,IF(BR$6+6&lt;$E10,0,IF(BR$6&gt;$F10,0,$D10*(IF(BR$6+6&lt;$F10,BR$6+6,$F10)-IF(BR$6&gt;$E10,BR$6,$E10)+1)/($F10-$E10+1))))</f>
        <v>0</v>
      </c>
      <c r="BS10" s="98" t="n">
        <f aca="false">IF($E10="",0,IF(BS$6+6&lt;$E10,0,IF(BS$6&gt;$F10,0,$D10*(IF(BS$6+6&lt;$F10,BS$6+6,$F10)-IF(BS$6&gt;$E10,BS$6,$E10)+1)/($F10-$E10+1))))</f>
        <v>0</v>
      </c>
      <c r="BT10" s="98" t="n">
        <f aca="false">IF($E10="",0,IF(BT$6+6&lt;$E10,0,IF(BT$6&gt;$F10,0,$D10*(IF(BT$6+6&lt;$F10,BT$6+6,$F10)-IF(BT$6&gt;$E10,BT$6,$E10)+1)/($F10-$E10+1))))</f>
        <v>0</v>
      </c>
      <c r="BU10" s="98" t="n">
        <f aca="false">IF($E10="",0,IF(BU$6+6&lt;$E10,0,IF(BU$6&gt;$F10,0,$D10*(IF(BU$6+6&lt;$F10,BU$6+6,$F10)-IF(BU$6&gt;$E10,BU$6,$E10)+1)/($F10-$E10+1))))</f>
        <v>0</v>
      </c>
      <c r="BV10" s="98" t="n">
        <f aca="false">IF($E10="",0,IF(BV$6+6&lt;$E10,0,IF(BV$6&gt;$F10,0,$D10*(IF(BV$6+6&lt;$F10,BV$6+6,$F10)-IF(BV$6&gt;$E10,BV$6,$E10)+1)/($F10-$E10+1))))</f>
        <v>0</v>
      </c>
      <c r="BW10" s="98" t="n">
        <f aca="false">IF($E10="",0,IF(BW$6+6&lt;$E10,0,IF(BW$6&gt;$F10,0,$D10*(IF(BW$6+6&lt;$F10,BW$6+6,$F10)-IF(BW$6&gt;$E10,BW$6,$E10)+1)/($F10-$E10+1))))</f>
        <v>0</v>
      </c>
      <c r="BX10" s="98" t="n">
        <f aca="false">IF($E10="",0,IF(BX$6+6&lt;$E10,0,IF(BX$6&gt;$F10,0,$D10*(IF(BX$6+6&lt;$F10,BX$6+6,$F10)-IF(BX$6&gt;$E10,BX$6,$E10)+1)/($F10-$E10+1))))</f>
        <v>0</v>
      </c>
      <c r="BY10" s="98" t="n">
        <f aca="false">IF($E10="",0,IF(BY$6+6&lt;$E10,0,IF(BY$6&gt;$F10,0,$D10*(IF(BY$6+6&lt;$F10,BY$6+6,$F10)-IF(BY$6&gt;$E10,BY$6,$E10)+1)/($F10-$E10+1))))</f>
        <v>0</v>
      </c>
    </row>
    <row r="11" customFormat="false" ht="15" hidden="false" customHeight="false" outlineLevel="0" collapsed="false">
      <c r="A11" s="95"/>
      <c r="B11" s="95"/>
      <c r="C11" s="95" t="s">
        <v>634</v>
      </c>
      <c r="D11" s="96"/>
      <c r="E11" s="99"/>
      <c r="F11" s="99"/>
      <c r="G11" s="100"/>
      <c r="H11" s="101"/>
      <c r="I11" s="101"/>
      <c r="J11" s="101"/>
      <c r="K11" s="101"/>
      <c r="L11" s="101"/>
      <c r="M11" s="101"/>
      <c r="N11" s="101"/>
      <c r="O11" s="101"/>
      <c r="P11" s="101"/>
      <c r="Q11" s="101"/>
      <c r="R11" s="101"/>
      <c r="S11" s="101"/>
      <c r="T11" s="101"/>
      <c r="U11" s="101"/>
      <c r="V11" s="101"/>
      <c r="W11" s="101"/>
      <c r="X11" s="101"/>
      <c r="Y11" s="101"/>
      <c r="Z11" s="101"/>
      <c r="AA11" s="101"/>
      <c r="AB11" s="101"/>
      <c r="AC11" s="101"/>
      <c r="AD11" s="101"/>
      <c r="AE11" s="101"/>
      <c r="AF11" s="101"/>
      <c r="AG11" s="101"/>
      <c r="AH11" s="101"/>
      <c r="AI11" s="101"/>
      <c r="AJ11" s="101"/>
      <c r="AK11" s="101"/>
      <c r="AL11" s="101"/>
      <c r="AM11" s="101"/>
      <c r="AN11" s="101"/>
      <c r="AO11" s="101"/>
      <c r="AP11" s="101"/>
      <c r="AQ11" s="101"/>
      <c r="AR11" s="101"/>
      <c r="AS11" s="101"/>
      <c r="AT11" s="101"/>
      <c r="AU11" s="101"/>
      <c r="AV11" s="101"/>
      <c r="AW11" s="101"/>
      <c r="AX11" s="101"/>
      <c r="AY11" s="101"/>
      <c r="AZ11" s="101"/>
      <c r="BA11" s="101"/>
      <c r="BB11" s="101"/>
      <c r="BC11" s="101"/>
      <c r="BD11" s="101"/>
      <c r="BE11" s="101"/>
      <c r="BF11" s="101"/>
      <c r="BG11" s="101"/>
      <c r="BH11" s="101"/>
      <c r="BI11" s="101"/>
      <c r="BJ11" s="101"/>
      <c r="BK11" s="101"/>
      <c r="BL11" s="101"/>
      <c r="BM11" s="101"/>
      <c r="BN11" s="101"/>
      <c r="BO11" s="101"/>
      <c r="BP11" s="101"/>
      <c r="BQ11" s="101"/>
      <c r="BR11" s="101"/>
      <c r="BS11" s="101"/>
      <c r="BT11" s="101"/>
      <c r="BU11" s="101"/>
      <c r="BV11" s="101"/>
      <c r="BW11" s="101"/>
      <c r="BX11" s="101"/>
      <c r="BY11" s="101"/>
    </row>
    <row r="12" customFormat="false" ht="15" hidden="false" customHeight="false" outlineLevel="0" collapsed="false">
      <c r="A12" s="95" t="s">
        <v>204</v>
      </c>
      <c r="B12" s="95" t="s">
        <v>636</v>
      </c>
      <c r="C12" s="95" t="s">
        <v>633</v>
      </c>
      <c r="D12" s="96" t="n">
        <v>0.5</v>
      </c>
      <c r="E12" s="97" t="n">
        <v>46358</v>
      </c>
      <c r="F12" s="97" t="n">
        <v>46358</v>
      </c>
      <c r="G12" s="95" t="n">
        <v>1</v>
      </c>
      <c r="H12" s="98" t="n">
        <f aca="false">IF($E12="",0,IF(H$6+6&lt;$E12,0,IF(H$6&gt;$F12,0,$D12*(IF(H$6+6&lt;$F12,H$6+6,$F12)-IF(H$6&gt;$E12,H$6,$E12)+1)/($F12-$E12+1))))</f>
        <v>0</v>
      </c>
      <c r="I12" s="98" t="n">
        <f aca="false">IF($E12="",0,IF(I$6+6&lt;$E12,0,IF(I$6&gt;$F12,0,$D12*(IF(I$6+6&lt;$F12,I$6+6,$F12)-IF(I$6&gt;$E12,I$6,$E12)+1)/($F12-$E12+1))))</f>
        <v>0</v>
      </c>
      <c r="J12" s="98" t="n">
        <f aca="false">IF($E12="",0,IF(J$6+6&lt;$E12,0,IF(J$6&gt;$F12,0,$D12*(IF(J$6+6&lt;$F12,J$6+6,$F12)-IF(J$6&gt;$E12,J$6,$E12)+1)/($F12-$E12+1))))</f>
        <v>0</v>
      </c>
      <c r="K12" s="98" t="n">
        <f aca="false">IF($E12="",0,IF(K$6+6&lt;$E12,0,IF(K$6&gt;$F12,0,$D12*(IF(K$6+6&lt;$F12,K$6+6,$F12)-IF(K$6&gt;$E12,K$6,$E12)+1)/($F12-$E12+1))))</f>
        <v>0</v>
      </c>
      <c r="L12" s="98" t="n">
        <f aca="false">IF($E12="",0,IF(L$6+6&lt;$E12,0,IF(L$6&gt;$F12,0,$D12*(IF(L$6+6&lt;$F12,L$6+6,$F12)-IF(L$6&gt;$E12,L$6,$E12)+1)/($F12-$E12+1))))</f>
        <v>0</v>
      </c>
      <c r="M12" s="98" t="n">
        <f aca="false">IF($E12="",0,IF(M$6+6&lt;$E12,0,IF(M$6&gt;$F12,0,$D12*(IF(M$6+6&lt;$F12,M$6+6,$F12)-IF(M$6&gt;$E12,M$6,$E12)+1)/($F12-$E12+1))))</f>
        <v>0.5</v>
      </c>
      <c r="N12" s="98" t="n">
        <f aca="false">IF($E12="",0,IF(N$6+6&lt;$E12,0,IF(N$6&gt;$F12,0,$D12*(IF(N$6+6&lt;$F12,N$6+6,$F12)-IF(N$6&gt;$E12,N$6,$E12)+1)/($F12-$E12+1))))</f>
        <v>0</v>
      </c>
      <c r="O12" s="98" t="n">
        <f aca="false">IF($E12="",0,IF(O$6+6&lt;$E12,0,IF(O$6&gt;$F12,0,$D12*(IF(O$6+6&lt;$F12,O$6+6,$F12)-IF(O$6&gt;$E12,O$6,$E12)+1)/($F12-$E12+1))))</f>
        <v>0</v>
      </c>
      <c r="P12" s="98" t="n">
        <f aca="false">IF($E12="",0,IF(P$6+6&lt;$E12,0,IF(P$6&gt;$F12,0,$D12*(IF(P$6+6&lt;$F12,P$6+6,$F12)-IF(P$6&gt;$E12,P$6,$E12)+1)/($F12-$E12+1))))</f>
        <v>0</v>
      </c>
      <c r="Q12" s="98" t="n">
        <f aca="false">IF($E12="",0,IF(Q$6+6&lt;$E12,0,IF(Q$6&gt;$F12,0,$D12*(IF(Q$6+6&lt;$F12,Q$6+6,$F12)-IF(Q$6&gt;$E12,Q$6,$E12)+1)/($F12-$E12+1))))</f>
        <v>0</v>
      </c>
      <c r="R12" s="98" t="n">
        <f aca="false">IF($E12="",0,IF(R$6+6&lt;$E12,0,IF(R$6&gt;$F12,0,$D12*(IF(R$6+6&lt;$F12,R$6+6,$F12)-IF(R$6&gt;$E12,R$6,$E12)+1)/($F12-$E12+1))))</f>
        <v>0</v>
      </c>
      <c r="S12" s="98" t="n">
        <f aca="false">IF($E12="",0,IF(S$6+6&lt;$E12,0,IF(S$6&gt;$F12,0,$D12*(IF(S$6+6&lt;$F12,S$6+6,$F12)-IF(S$6&gt;$E12,S$6,$E12)+1)/($F12-$E12+1))))</f>
        <v>0</v>
      </c>
      <c r="T12" s="98" t="n">
        <f aca="false">IF($E12="",0,IF(T$6+6&lt;$E12,0,IF(T$6&gt;$F12,0,$D12*(IF(T$6+6&lt;$F12,T$6+6,$F12)-IF(T$6&gt;$E12,T$6,$E12)+1)/($F12-$E12+1))))</f>
        <v>0</v>
      </c>
      <c r="U12" s="98" t="n">
        <f aca="false">IF($E12="",0,IF(U$6+6&lt;$E12,0,IF(U$6&gt;$F12,0,$D12*(IF(U$6+6&lt;$F12,U$6+6,$F12)-IF(U$6&gt;$E12,U$6,$E12)+1)/($F12-$E12+1))))</f>
        <v>0</v>
      </c>
      <c r="V12" s="98" t="n">
        <f aca="false">IF($E12="",0,IF(V$6+6&lt;$E12,0,IF(V$6&gt;$F12,0,$D12*(IF(V$6+6&lt;$F12,V$6+6,$F12)-IF(V$6&gt;$E12,V$6,$E12)+1)/($F12-$E12+1))))</f>
        <v>0</v>
      </c>
      <c r="W12" s="98" t="n">
        <f aca="false">IF($E12="",0,IF(W$6+6&lt;$E12,0,IF(W$6&gt;$F12,0,$D12*(IF(W$6+6&lt;$F12,W$6+6,$F12)-IF(W$6&gt;$E12,W$6,$E12)+1)/($F12-$E12+1))))</f>
        <v>0</v>
      </c>
      <c r="X12" s="98" t="n">
        <f aca="false">IF($E12="",0,IF(X$6+6&lt;$E12,0,IF(X$6&gt;$F12,0,$D12*(IF(X$6+6&lt;$F12,X$6+6,$F12)-IF(X$6&gt;$E12,X$6,$E12)+1)/($F12-$E12+1))))</f>
        <v>0</v>
      </c>
      <c r="Y12" s="98" t="n">
        <f aca="false">IF($E12="",0,IF(Y$6+6&lt;$E12,0,IF(Y$6&gt;$F12,0,$D12*(IF(Y$6+6&lt;$F12,Y$6+6,$F12)-IF(Y$6&gt;$E12,Y$6,$E12)+1)/($F12-$E12+1))))</f>
        <v>0</v>
      </c>
      <c r="Z12" s="98" t="n">
        <f aca="false">IF($E12="",0,IF(Z$6+6&lt;$E12,0,IF(Z$6&gt;$F12,0,$D12*(IF(Z$6+6&lt;$F12,Z$6+6,$F12)-IF(Z$6&gt;$E12,Z$6,$E12)+1)/($F12-$E12+1))))</f>
        <v>0</v>
      </c>
      <c r="AA12" s="98" t="n">
        <f aca="false">IF($E12="",0,IF(AA$6+6&lt;$E12,0,IF(AA$6&gt;$F12,0,$D12*(IF(AA$6+6&lt;$F12,AA$6+6,$F12)-IF(AA$6&gt;$E12,AA$6,$E12)+1)/($F12-$E12+1))))</f>
        <v>0</v>
      </c>
      <c r="AB12" s="98" t="n">
        <f aca="false">IF($E12="",0,IF(AB$6+6&lt;$E12,0,IF(AB$6&gt;$F12,0,$D12*(IF(AB$6+6&lt;$F12,AB$6+6,$F12)-IF(AB$6&gt;$E12,AB$6,$E12)+1)/($F12-$E12+1))))</f>
        <v>0</v>
      </c>
      <c r="AC12" s="98" t="n">
        <f aca="false">IF($E12="",0,IF(AC$6+6&lt;$E12,0,IF(AC$6&gt;$F12,0,$D12*(IF(AC$6+6&lt;$F12,AC$6+6,$F12)-IF(AC$6&gt;$E12,AC$6,$E12)+1)/($F12-$E12+1))))</f>
        <v>0</v>
      </c>
      <c r="AD12" s="98" t="n">
        <f aca="false">IF($E12="",0,IF(AD$6+6&lt;$E12,0,IF(AD$6&gt;$F12,0,$D12*(IF(AD$6+6&lt;$F12,AD$6+6,$F12)-IF(AD$6&gt;$E12,AD$6,$E12)+1)/($F12-$E12+1))))</f>
        <v>0</v>
      </c>
      <c r="AE12" s="98" t="n">
        <f aca="false">IF($E12="",0,IF(AE$6+6&lt;$E12,0,IF(AE$6&gt;$F12,0,$D12*(IF(AE$6+6&lt;$F12,AE$6+6,$F12)-IF(AE$6&gt;$E12,AE$6,$E12)+1)/($F12-$E12+1))))</f>
        <v>0</v>
      </c>
      <c r="AF12" s="98" t="n">
        <f aca="false">IF($E12="",0,IF(AF$6+6&lt;$E12,0,IF(AF$6&gt;$F12,0,$D12*(IF(AF$6+6&lt;$F12,AF$6+6,$F12)-IF(AF$6&gt;$E12,AF$6,$E12)+1)/($F12-$E12+1))))</f>
        <v>0</v>
      </c>
      <c r="AG12" s="98" t="n">
        <f aca="false">IF($E12="",0,IF(AG$6+6&lt;$E12,0,IF(AG$6&gt;$F12,0,$D12*(IF(AG$6+6&lt;$F12,AG$6+6,$F12)-IF(AG$6&gt;$E12,AG$6,$E12)+1)/($F12-$E12+1))))</f>
        <v>0</v>
      </c>
      <c r="AH12" s="98" t="n">
        <f aca="false">IF($E12="",0,IF(AH$6+6&lt;$E12,0,IF(AH$6&gt;$F12,0,$D12*(IF(AH$6+6&lt;$F12,AH$6+6,$F12)-IF(AH$6&gt;$E12,AH$6,$E12)+1)/($F12-$E12+1))))</f>
        <v>0</v>
      </c>
      <c r="AI12" s="98" t="n">
        <f aca="false">IF($E12="",0,IF(AI$6+6&lt;$E12,0,IF(AI$6&gt;$F12,0,$D12*(IF(AI$6+6&lt;$F12,AI$6+6,$F12)-IF(AI$6&gt;$E12,AI$6,$E12)+1)/($F12-$E12+1))))</f>
        <v>0</v>
      </c>
      <c r="AJ12" s="98" t="n">
        <f aca="false">IF($E12="",0,IF(AJ$6+6&lt;$E12,0,IF(AJ$6&gt;$F12,0,$D12*(IF(AJ$6+6&lt;$F12,AJ$6+6,$F12)-IF(AJ$6&gt;$E12,AJ$6,$E12)+1)/($F12-$E12+1))))</f>
        <v>0</v>
      </c>
      <c r="AK12" s="98" t="n">
        <f aca="false">IF($E12="",0,IF(AK$6+6&lt;$E12,0,IF(AK$6&gt;$F12,0,$D12*(IF(AK$6+6&lt;$F12,AK$6+6,$F12)-IF(AK$6&gt;$E12,AK$6,$E12)+1)/($F12-$E12+1))))</f>
        <v>0</v>
      </c>
      <c r="AL12" s="98" t="n">
        <f aca="false">IF($E12="",0,IF(AL$6+6&lt;$E12,0,IF(AL$6&gt;$F12,0,$D12*(IF(AL$6+6&lt;$F12,AL$6+6,$F12)-IF(AL$6&gt;$E12,AL$6,$E12)+1)/($F12-$E12+1))))</f>
        <v>0</v>
      </c>
      <c r="AM12" s="98" t="n">
        <f aca="false">IF($E12="",0,IF(AM$6+6&lt;$E12,0,IF(AM$6&gt;$F12,0,$D12*(IF(AM$6+6&lt;$F12,AM$6+6,$F12)-IF(AM$6&gt;$E12,AM$6,$E12)+1)/($F12-$E12+1))))</f>
        <v>0</v>
      </c>
      <c r="AN12" s="98" t="n">
        <f aca="false">IF($E12="",0,IF(AN$6+6&lt;$E12,0,IF(AN$6&gt;$F12,0,$D12*(IF(AN$6+6&lt;$F12,AN$6+6,$F12)-IF(AN$6&gt;$E12,AN$6,$E12)+1)/($F12-$E12+1))))</f>
        <v>0</v>
      </c>
      <c r="AO12" s="98" t="n">
        <f aca="false">IF($E12="",0,IF(AO$6+6&lt;$E12,0,IF(AO$6&gt;$F12,0,$D12*(IF(AO$6+6&lt;$F12,AO$6+6,$F12)-IF(AO$6&gt;$E12,AO$6,$E12)+1)/($F12-$E12+1))))</f>
        <v>0</v>
      </c>
      <c r="AP12" s="98" t="n">
        <f aca="false">IF($E12="",0,IF(AP$6+6&lt;$E12,0,IF(AP$6&gt;$F12,0,$D12*(IF(AP$6+6&lt;$F12,AP$6+6,$F12)-IF(AP$6&gt;$E12,AP$6,$E12)+1)/($F12-$E12+1))))</f>
        <v>0</v>
      </c>
      <c r="AQ12" s="98" t="n">
        <f aca="false">IF($E12="",0,IF(AQ$6+6&lt;$E12,0,IF(AQ$6&gt;$F12,0,$D12*(IF(AQ$6+6&lt;$F12,AQ$6+6,$F12)-IF(AQ$6&gt;$E12,AQ$6,$E12)+1)/($F12-$E12+1))))</f>
        <v>0</v>
      </c>
      <c r="AR12" s="98" t="n">
        <f aca="false">IF($E12="",0,IF(AR$6+6&lt;$E12,0,IF(AR$6&gt;$F12,0,$D12*(IF(AR$6+6&lt;$F12,AR$6+6,$F12)-IF(AR$6&gt;$E12,AR$6,$E12)+1)/($F12-$E12+1))))</f>
        <v>0</v>
      </c>
      <c r="AS12" s="98" t="n">
        <f aca="false">IF($E12="",0,IF(AS$6+6&lt;$E12,0,IF(AS$6&gt;$F12,0,$D12*(IF(AS$6+6&lt;$F12,AS$6+6,$F12)-IF(AS$6&gt;$E12,AS$6,$E12)+1)/($F12-$E12+1))))</f>
        <v>0</v>
      </c>
      <c r="AT12" s="98" t="n">
        <f aca="false">IF($E12="",0,IF(AT$6+6&lt;$E12,0,IF(AT$6&gt;$F12,0,$D12*(IF(AT$6+6&lt;$F12,AT$6+6,$F12)-IF(AT$6&gt;$E12,AT$6,$E12)+1)/($F12-$E12+1))))</f>
        <v>0</v>
      </c>
      <c r="AU12" s="98" t="n">
        <f aca="false">IF($E12="",0,IF(AU$6+6&lt;$E12,0,IF(AU$6&gt;$F12,0,$D12*(IF(AU$6+6&lt;$F12,AU$6+6,$F12)-IF(AU$6&gt;$E12,AU$6,$E12)+1)/($F12-$E12+1))))</f>
        <v>0</v>
      </c>
      <c r="AV12" s="98" t="n">
        <f aca="false">IF($E12="",0,IF(AV$6+6&lt;$E12,0,IF(AV$6&gt;$F12,0,$D12*(IF(AV$6+6&lt;$F12,AV$6+6,$F12)-IF(AV$6&gt;$E12,AV$6,$E12)+1)/($F12-$E12+1))))</f>
        <v>0</v>
      </c>
      <c r="AW12" s="98" t="n">
        <f aca="false">IF($E12="",0,IF(AW$6+6&lt;$E12,0,IF(AW$6&gt;$F12,0,$D12*(IF(AW$6+6&lt;$F12,AW$6+6,$F12)-IF(AW$6&gt;$E12,AW$6,$E12)+1)/($F12-$E12+1))))</f>
        <v>0</v>
      </c>
      <c r="AX12" s="98" t="n">
        <f aca="false">IF($E12="",0,IF(AX$6+6&lt;$E12,0,IF(AX$6&gt;$F12,0,$D12*(IF(AX$6+6&lt;$F12,AX$6+6,$F12)-IF(AX$6&gt;$E12,AX$6,$E12)+1)/($F12-$E12+1))))</f>
        <v>0</v>
      </c>
      <c r="AY12" s="98" t="n">
        <f aca="false">IF($E12="",0,IF(AY$6+6&lt;$E12,0,IF(AY$6&gt;$F12,0,$D12*(IF(AY$6+6&lt;$F12,AY$6+6,$F12)-IF(AY$6&gt;$E12,AY$6,$E12)+1)/($F12-$E12+1))))</f>
        <v>0</v>
      </c>
      <c r="AZ12" s="98" t="n">
        <f aca="false">IF($E12="",0,IF(AZ$6+6&lt;$E12,0,IF(AZ$6&gt;$F12,0,$D12*(IF(AZ$6+6&lt;$F12,AZ$6+6,$F12)-IF(AZ$6&gt;$E12,AZ$6,$E12)+1)/($F12-$E12+1))))</f>
        <v>0</v>
      </c>
      <c r="BA12" s="98" t="n">
        <f aca="false">IF($E12="",0,IF(BA$6+6&lt;$E12,0,IF(BA$6&gt;$F12,0,$D12*(IF(BA$6+6&lt;$F12,BA$6+6,$F12)-IF(BA$6&gt;$E12,BA$6,$E12)+1)/($F12-$E12+1))))</f>
        <v>0</v>
      </c>
      <c r="BB12" s="98" t="n">
        <f aca="false">IF($E12="",0,IF(BB$6+6&lt;$E12,0,IF(BB$6&gt;$F12,0,$D12*(IF(BB$6+6&lt;$F12,BB$6+6,$F12)-IF(BB$6&gt;$E12,BB$6,$E12)+1)/($F12-$E12+1))))</f>
        <v>0</v>
      </c>
      <c r="BC12" s="98" t="n">
        <f aca="false">IF($E12="",0,IF(BC$6+6&lt;$E12,0,IF(BC$6&gt;$F12,0,$D12*(IF(BC$6+6&lt;$F12,BC$6+6,$F12)-IF(BC$6&gt;$E12,BC$6,$E12)+1)/($F12-$E12+1))))</f>
        <v>0</v>
      </c>
      <c r="BD12" s="98" t="n">
        <f aca="false">IF($E12="",0,IF(BD$6+6&lt;$E12,0,IF(BD$6&gt;$F12,0,$D12*(IF(BD$6+6&lt;$F12,BD$6+6,$F12)-IF(BD$6&gt;$E12,BD$6,$E12)+1)/($F12-$E12+1))))</f>
        <v>0</v>
      </c>
      <c r="BE12" s="98" t="n">
        <f aca="false">IF($E12="",0,IF(BE$6+6&lt;$E12,0,IF(BE$6&gt;$F12,0,$D12*(IF(BE$6+6&lt;$F12,BE$6+6,$F12)-IF(BE$6&gt;$E12,BE$6,$E12)+1)/($F12-$E12+1))))</f>
        <v>0</v>
      </c>
      <c r="BF12" s="98" t="n">
        <f aca="false">IF($E12="",0,IF(BF$6+6&lt;$E12,0,IF(BF$6&gt;$F12,0,$D12*(IF(BF$6+6&lt;$F12,BF$6+6,$F12)-IF(BF$6&gt;$E12,BF$6,$E12)+1)/($F12-$E12+1))))</f>
        <v>0</v>
      </c>
      <c r="BG12" s="98" t="n">
        <f aca="false">IF($E12="",0,IF(BG$6+6&lt;$E12,0,IF(BG$6&gt;$F12,0,$D12*(IF(BG$6+6&lt;$F12,BG$6+6,$F12)-IF(BG$6&gt;$E12,BG$6,$E12)+1)/($F12-$E12+1))))</f>
        <v>0</v>
      </c>
      <c r="BH12" s="98" t="n">
        <f aca="false">IF($E12="",0,IF(BH$6+6&lt;$E12,0,IF(BH$6&gt;$F12,0,$D12*(IF(BH$6+6&lt;$F12,BH$6+6,$F12)-IF(BH$6&gt;$E12,BH$6,$E12)+1)/($F12-$E12+1))))</f>
        <v>0</v>
      </c>
      <c r="BI12" s="98" t="n">
        <f aca="false">IF($E12="",0,IF(BI$6+6&lt;$E12,0,IF(BI$6&gt;$F12,0,$D12*(IF(BI$6+6&lt;$F12,BI$6+6,$F12)-IF(BI$6&gt;$E12,BI$6,$E12)+1)/($F12-$E12+1))))</f>
        <v>0</v>
      </c>
      <c r="BJ12" s="98" t="n">
        <f aca="false">IF($E12="",0,IF(BJ$6+6&lt;$E12,0,IF(BJ$6&gt;$F12,0,$D12*(IF(BJ$6+6&lt;$F12,BJ$6+6,$F12)-IF(BJ$6&gt;$E12,BJ$6,$E12)+1)/($F12-$E12+1))))</f>
        <v>0</v>
      </c>
      <c r="BK12" s="98" t="n">
        <f aca="false">IF($E12="",0,IF(BK$6+6&lt;$E12,0,IF(BK$6&gt;$F12,0,$D12*(IF(BK$6+6&lt;$F12,BK$6+6,$F12)-IF(BK$6&gt;$E12,BK$6,$E12)+1)/($F12-$E12+1))))</f>
        <v>0</v>
      </c>
      <c r="BL12" s="98" t="n">
        <f aca="false">IF($E12="",0,IF(BL$6+6&lt;$E12,0,IF(BL$6&gt;$F12,0,$D12*(IF(BL$6+6&lt;$F12,BL$6+6,$F12)-IF(BL$6&gt;$E12,BL$6,$E12)+1)/($F12-$E12+1))))</f>
        <v>0</v>
      </c>
      <c r="BM12" s="98" t="n">
        <f aca="false">IF($E12="",0,IF(BM$6+6&lt;$E12,0,IF(BM$6&gt;$F12,0,$D12*(IF(BM$6+6&lt;$F12,BM$6+6,$F12)-IF(BM$6&gt;$E12,BM$6,$E12)+1)/($F12-$E12+1))))</f>
        <v>0</v>
      </c>
      <c r="BN12" s="98" t="n">
        <f aca="false">IF($E12="",0,IF(BN$6+6&lt;$E12,0,IF(BN$6&gt;$F12,0,$D12*(IF(BN$6+6&lt;$F12,BN$6+6,$F12)-IF(BN$6&gt;$E12,BN$6,$E12)+1)/($F12-$E12+1))))</f>
        <v>0</v>
      </c>
      <c r="BO12" s="98" t="n">
        <f aca="false">IF($E12="",0,IF(BO$6+6&lt;$E12,0,IF(BO$6&gt;$F12,0,$D12*(IF(BO$6+6&lt;$F12,BO$6+6,$F12)-IF(BO$6&gt;$E12,BO$6,$E12)+1)/($F12-$E12+1))))</f>
        <v>0</v>
      </c>
      <c r="BP12" s="98" t="n">
        <f aca="false">IF($E12="",0,IF(BP$6+6&lt;$E12,0,IF(BP$6&gt;$F12,0,$D12*(IF(BP$6+6&lt;$F12,BP$6+6,$F12)-IF(BP$6&gt;$E12,BP$6,$E12)+1)/($F12-$E12+1))))</f>
        <v>0</v>
      </c>
      <c r="BQ12" s="98" t="n">
        <f aca="false">IF($E12="",0,IF(BQ$6+6&lt;$E12,0,IF(BQ$6&gt;$F12,0,$D12*(IF(BQ$6+6&lt;$F12,BQ$6+6,$F12)-IF(BQ$6&gt;$E12,BQ$6,$E12)+1)/($F12-$E12+1))))</f>
        <v>0</v>
      </c>
      <c r="BR12" s="98" t="n">
        <f aca="false">IF($E12="",0,IF(BR$6+6&lt;$E12,0,IF(BR$6&gt;$F12,0,$D12*(IF(BR$6+6&lt;$F12,BR$6+6,$F12)-IF(BR$6&gt;$E12,BR$6,$E12)+1)/($F12-$E12+1))))</f>
        <v>0</v>
      </c>
      <c r="BS12" s="98" t="n">
        <f aca="false">IF($E12="",0,IF(BS$6+6&lt;$E12,0,IF(BS$6&gt;$F12,0,$D12*(IF(BS$6+6&lt;$F12,BS$6+6,$F12)-IF(BS$6&gt;$E12,BS$6,$E12)+1)/($F12-$E12+1))))</f>
        <v>0</v>
      </c>
      <c r="BT12" s="98" t="n">
        <f aca="false">IF($E12="",0,IF(BT$6+6&lt;$E12,0,IF(BT$6&gt;$F12,0,$D12*(IF(BT$6+6&lt;$F12,BT$6+6,$F12)-IF(BT$6&gt;$E12,BT$6,$E12)+1)/($F12-$E12+1))))</f>
        <v>0</v>
      </c>
      <c r="BU12" s="98" t="n">
        <f aca="false">IF($E12="",0,IF(BU$6+6&lt;$E12,0,IF(BU$6&gt;$F12,0,$D12*(IF(BU$6+6&lt;$F12,BU$6+6,$F12)-IF(BU$6&gt;$E12,BU$6,$E12)+1)/($F12-$E12+1))))</f>
        <v>0</v>
      </c>
      <c r="BV12" s="98" t="n">
        <f aca="false">IF($E12="",0,IF(BV$6+6&lt;$E12,0,IF(BV$6&gt;$F12,0,$D12*(IF(BV$6+6&lt;$F12,BV$6+6,$F12)-IF(BV$6&gt;$E12,BV$6,$E12)+1)/($F12-$E12+1))))</f>
        <v>0</v>
      </c>
      <c r="BW12" s="98" t="n">
        <f aca="false">IF($E12="",0,IF(BW$6+6&lt;$E12,0,IF(BW$6&gt;$F12,0,$D12*(IF(BW$6+6&lt;$F12,BW$6+6,$F12)-IF(BW$6&gt;$E12,BW$6,$E12)+1)/($F12-$E12+1))))</f>
        <v>0</v>
      </c>
      <c r="BX12" s="98" t="n">
        <f aca="false">IF($E12="",0,IF(BX$6+6&lt;$E12,0,IF(BX$6&gt;$F12,0,$D12*(IF(BX$6+6&lt;$F12,BX$6+6,$F12)-IF(BX$6&gt;$E12,BX$6,$E12)+1)/($F12-$E12+1))))</f>
        <v>0</v>
      </c>
      <c r="BY12" s="98" t="n">
        <f aca="false">IF($E12="",0,IF(BY$6+6&lt;$E12,0,IF(BY$6&gt;$F12,0,$D12*(IF(BY$6+6&lt;$F12,BY$6+6,$F12)-IF(BY$6&gt;$E12,BY$6,$E12)+1)/($F12-$E12+1))))</f>
        <v>0</v>
      </c>
    </row>
    <row r="13" customFormat="false" ht="15" hidden="false" customHeight="false" outlineLevel="0" collapsed="false">
      <c r="A13" s="95"/>
      <c r="B13" s="95"/>
      <c r="C13" s="95" t="s">
        <v>634</v>
      </c>
      <c r="D13" s="96"/>
      <c r="E13" s="99"/>
      <c r="F13" s="99"/>
      <c r="G13" s="100"/>
      <c r="H13" s="101"/>
      <c r="I13" s="101"/>
      <c r="J13" s="101"/>
      <c r="K13" s="101"/>
      <c r="L13" s="101"/>
      <c r="M13" s="101"/>
      <c r="N13" s="101"/>
      <c r="O13" s="101"/>
      <c r="P13" s="101"/>
      <c r="Q13" s="101"/>
      <c r="R13" s="101"/>
      <c r="S13" s="101"/>
      <c r="T13" s="101"/>
      <c r="U13" s="101"/>
      <c r="V13" s="101"/>
      <c r="W13" s="101"/>
      <c r="X13" s="101"/>
      <c r="Y13" s="101"/>
      <c r="Z13" s="101"/>
      <c r="AA13" s="101"/>
      <c r="AB13" s="101"/>
      <c r="AC13" s="101"/>
      <c r="AD13" s="101"/>
      <c r="AE13" s="101"/>
      <c r="AF13" s="101"/>
      <c r="AG13" s="101"/>
      <c r="AH13" s="101"/>
      <c r="AI13" s="101"/>
      <c r="AJ13" s="101"/>
      <c r="AK13" s="101"/>
      <c r="AL13" s="101"/>
      <c r="AM13" s="101"/>
      <c r="AN13" s="101"/>
      <c r="AO13" s="101"/>
      <c r="AP13" s="101"/>
      <c r="AQ13" s="101"/>
      <c r="AR13" s="101"/>
      <c r="AS13" s="101"/>
      <c r="AT13" s="101"/>
      <c r="AU13" s="101"/>
      <c r="AV13" s="101"/>
      <c r="AW13" s="101"/>
      <c r="AX13" s="101"/>
      <c r="AY13" s="101"/>
      <c r="AZ13" s="101"/>
      <c r="BA13" s="101"/>
      <c r="BB13" s="101"/>
      <c r="BC13" s="101"/>
      <c r="BD13" s="101"/>
      <c r="BE13" s="101"/>
      <c r="BF13" s="101"/>
      <c r="BG13" s="101"/>
      <c r="BH13" s="101"/>
      <c r="BI13" s="101"/>
      <c r="BJ13" s="101"/>
      <c r="BK13" s="101"/>
      <c r="BL13" s="101"/>
      <c r="BM13" s="101"/>
      <c r="BN13" s="101"/>
      <c r="BO13" s="101"/>
      <c r="BP13" s="101"/>
      <c r="BQ13" s="101"/>
      <c r="BR13" s="101"/>
      <c r="BS13" s="101"/>
      <c r="BT13" s="101"/>
      <c r="BU13" s="101"/>
      <c r="BV13" s="101"/>
      <c r="BW13" s="101"/>
      <c r="BX13" s="101"/>
      <c r="BY13" s="101"/>
    </row>
    <row r="14" customFormat="false" ht="15" hidden="false" customHeight="false" outlineLevel="0" collapsed="false">
      <c r="A14" s="95" t="s">
        <v>220</v>
      </c>
      <c r="B14" s="95" t="s">
        <v>637</v>
      </c>
      <c r="C14" s="95" t="s">
        <v>633</v>
      </c>
      <c r="D14" s="96" t="n">
        <v>1</v>
      </c>
      <c r="E14" s="97" t="n">
        <v>46335</v>
      </c>
      <c r="F14" s="97" t="n">
        <v>46348</v>
      </c>
      <c r="G14" s="95" t="n">
        <v>13</v>
      </c>
      <c r="H14" s="98" t="n">
        <f aca="false">IF($E14="",0,IF(H$6+6&lt;$E14,0,IF(H$6&gt;$F14,0,$D14*(IF(H$6+6&lt;$F14,H$6+6,$F14)-IF(H$6&gt;$E14,H$6,$E14)+1)/($F14-$E14+1))))</f>
        <v>0</v>
      </c>
      <c r="I14" s="98" t="n">
        <f aca="false">IF($E14="",0,IF(I$6+6&lt;$E14,0,IF(I$6&gt;$F14,0,$D14*(IF(I$6+6&lt;$F14,I$6+6,$F14)-IF(I$6&gt;$E14,I$6,$E14)+1)/($F14-$E14+1))))</f>
        <v>0</v>
      </c>
      <c r="J14" s="98" t="n">
        <f aca="false">IF($E14="",0,IF(J$6+6&lt;$E14,0,IF(J$6&gt;$F14,0,$D14*(IF(J$6+6&lt;$F14,J$6+6,$F14)-IF(J$6&gt;$E14,J$6,$E14)+1)/($F14-$E14+1))))</f>
        <v>0.5</v>
      </c>
      <c r="K14" s="98" t="n">
        <f aca="false">IF($E14="",0,IF(K$6+6&lt;$E14,0,IF(K$6&gt;$F14,0,$D14*(IF(K$6+6&lt;$F14,K$6+6,$F14)-IF(K$6&gt;$E14,K$6,$E14)+1)/($F14-$E14+1))))</f>
        <v>0.5</v>
      </c>
      <c r="L14" s="98" t="n">
        <f aca="false">IF($E14="",0,IF(L$6+6&lt;$E14,0,IF(L$6&gt;$F14,0,$D14*(IF(L$6+6&lt;$F14,L$6+6,$F14)-IF(L$6&gt;$E14,L$6,$E14)+1)/($F14-$E14+1))))</f>
        <v>0</v>
      </c>
      <c r="M14" s="98" t="n">
        <f aca="false">IF($E14="",0,IF(M$6+6&lt;$E14,0,IF(M$6&gt;$F14,0,$D14*(IF(M$6+6&lt;$F14,M$6+6,$F14)-IF(M$6&gt;$E14,M$6,$E14)+1)/($F14-$E14+1))))</f>
        <v>0</v>
      </c>
      <c r="N14" s="98" t="n">
        <f aca="false">IF($E14="",0,IF(N$6+6&lt;$E14,0,IF(N$6&gt;$F14,0,$D14*(IF(N$6+6&lt;$F14,N$6+6,$F14)-IF(N$6&gt;$E14,N$6,$E14)+1)/($F14-$E14+1))))</f>
        <v>0</v>
      </c>
      <c r="O14" s="98" t="n">
        <f aca="false">IF($E14="",0,IF(O$6+6&lt;$E14,0,IF(O$6&gt;$F14,0,$D14*(IF(O$6+6&lt;$F14,O$6+6,$F14)-IF(O$6&gt;$E14,O$6,$E14)+1)/($F14-$E14+1))))</f>
        <v>0</v>
      </c>
      <c r="P14" s="98" t="n">
        <f aca="false">IF($E14="",0,IF(P$6+6&lt;$E14,0,IF(P$6&gt;$F14,0,$D14*(IF(P$6+6&lt;$F14,P$6+6,$F14)-IF(P$6&gt;$E14,P$6,$E14)+1)/($F14-$E14+1))))</f>
        <v>0</v>
      </c>
      <c r="Q14" s="98" t="n">
        <f aca="false">IF($E14="",0,IF(Q$6+6&lt;$E14,0,IF(Q$6&gt;$F14,0,$D14*(IF(Q$6+6&lt;$F14,Q$6+6,$F14)-IF(Q$6&gt;$E14,Q$6,$E14)+1)/($F14-$E14+1))))</f>
        <v>0</v>
      </c>
      <c r="R14" s="98" t="n">
        <f aca="false">IF($E14="",0,IF(R$6+6&lt;$E14,0,IF(R$6&gt;$F14,0,$D14*(IF(R$6+6&lt;$F14,R$6+6,$F14)-IF(R$6&gt;$E14,R$6,$E14)+1)/($F14-$E14+1))))</f>
        <v>0</v>
      </c>
      <c r="S14" s="98" t="n">
        <f aca="false">IF($E14="",0,IF(S$6+6&lt;$E14,0,IF(S$6&gt;$F14,0,$D14*(IF(S$6+6&lt;$F14,S$6+6,$F14)-IF(S$6&gt;$E14,S$6,$E14)+1)/($F14-$E14+1))))</f>
        <v>0</v>
      </c>
      <c r="T14" s="98" t="n">
        <f aca="false">IF($E14="",0,IF(T$6+6&lt;$E14,0,IF(T$6&gt;$F14,0,$D14*(IF(T$6+6&lt;$F14,T$6+6,$F14)-IF(T$6&gt;$E14,T$6,$E14)+1)/($F14-$E14+1))))</f>
        <v>0</v>
      </c>
      <c r="U14" s="98" t="n">
        <f aca="false">IF($E14="",0,IF(U$6+6&lt;$E14,0,IF(U$6&gt;$F14,0,$D14*(IF(U$6+6&lt;$F14,U$6+6,$F14)-IF(U$6&gt;$E14,U$6,$E14)+1)/($F14-$E14+1))))</f>
        <v>0</v>
      </c>
      <c r="V14" s="98" t="n">
        <f aca="false">IF($E14="",0,IF(V$6+6&lt;$E14,0,IF(V$6&gt;$F14,0,$D14*(IF(V$6+6&lt;$F14,V$6+6,$F14)-IF(V$6&gt;$E14,V$6,$E14)+1)/($F14-$E14+1))))</f>
        <v>0</v>
      </c>
      <c r="W14" s="98" t="n">
        <f aca="false">IF($E14="",0,IF(W$6+6&lt;$E14,0,IF(W$6&gt;$F14,0,$D14*(IF(W$6+6&lt;$F14,W$6+6,$F14)-IF(W$6&gt;$E14,W$6,$E14)+1)/($F14-$E14+1))))</f>
        <v>0</v>
      </c>
      <c r="X14" s="98" t="n">
        <f aca="false">IF($E14="",0,IF(X$6+6&lt;$E14,0,IF(X$6&gt;$F14,0,$D14*(IF(X$6+6&lt;$F14,X$6+6,$F14)-IF(X$6&gt;$E14,X$6,$E14)+1)/($F14-$E14+1))))</f>
        <v>0</v>
      </c>
      <c r="Y14" s="98" t="n">
        <f aca="false">IF($E14="",0,IF(Y$6+6&lt;$E14,0,IF(Y$6&gt;$F14,0,$D14*(IF(Y$6+6&lt;$F14,Y$6+6,$F14)-IF(Y$6&gt;$E14,Y$6,$E14)+1)/($F14-$E14+1))))</f>
        <v>0</v>
      </c>
      <c r="Z14" s="98" t="n">
        <f aca="false">IF($E14="",0,IF(Z$6+6&lt;$E14,0,IF(Z$6&gt;$F14,0,$D14*(IF(Z$6+6&lt;$F14,Z$6+6,$F14)-IF(Z$6&gt;$E14,Z$6,$E14)+1)/($F14-$E14+1))))</f>
        <v>0</v>
      </c>
      <c r="AA14" s="98" t="n">
        <f aca="false">IF($E14="",0,IF(AA$6+6&lt;$E14,0,IF(AA$6&gt;$F14,0,$D14*(IF(AA$6+6&lt;$F14,AA$6+6,$F14)-IF(AA$6&gt;$E14,AA$6,$E14)+1)/($F14-$E14+1))))</f>
        <v>0</v>
      </c>
      <c r="AB14" s="98" t="n">
        <f aca="false">IF($E14="",0,IF(AB$6+6&lt;$E14,0,IF(AB$6&gt;$F14,0,$D14*(IF(AB$6+6&lt;$F14,AB$6+6,$F14)-IF(AB$6&gt;$E14,AB$6,$E14)+1)/($F14-$E14+1))))</f>
        <v>0</v>
      </c>
      <c r="AC14" s="98" t="n">
        <f aca="false">IF($E14="",0,IF(AC$6+6&lt;$E14,0,IF(AC$6&gt;$F14,0,$D14*(IF(AC$6+6&lt;$F14,AC$6+6,$F14)-IF(AC$6&gt;$E14,AC$6,$E14)+1)/($F14-$E14+1))))</f>
        <v>0</v>
      </c>
      <c r="AD14" s="98" t="n">
        <f aca="false">IF($E14="",0,IF(AD$6+6&lt;$E14,0,IF(AD$6&gt;$F14,0,$D14*(IF(AD$6+6&lt;$F14,AD$6+6,$F14)-IF(AD$6&gt;$E14,AD$6,$E14)+1)/($F14-$E14+1))))</f>
        <v>0</v>
      </c>
      <c r="AE14" s="98" t="n">
        <f aca="false">IF($E14="",0,IF(AE$6+6&lt;$E14,0,IF(AE$6&gt;$F14,0,$D14*(IF(AE$6+6&lt;$F14,AE$6+6,$F14)-IF(AE$6&gt;$E14,AE$6,$E14)+1)/($F14-$E14+1))))</f>
        <v>0</v>
      </c>
      <c r="AF14" s="98" t="n">
        <f aca="false">IF($E14="",0,IF(AF$6+6&lt;$E14,0,IF(AF$6&gt;$F14,0,$D14*(IF(AF$6+6&lt;$F14,AF$6+6,$F14)-IF(AF$6&gt;$E14,AF$6,$E14)+1)/($F14-$E14+1))))</f>
        <v>0</v>
      </c>
      <c r="AG14" s="98" t="n">
        <f aca="false">IF($E14="",0,IF(AG$6+6&lt;$E14,0,IF(AG$6&gt;$F14,0,$D14*(IF(AG$6+6&lt;$F14,AG$6+6,$F14)-IF(AG$6&gt;$E14,AG$6,$E14)+1)/($F14-$E14+1))))</f>
        <v>0</v>
      </c>
      <c r="AH14" s="98" t="n">
        <f aca="false">IF($E14="",0,IF(AH$6+6&lt;$E14,0,IF(AH$6&gt;$F14,0,$D14*(IF(AH$6+6&lt;$F14,AH$6+6,$F14)-IF(AH$6&gt;$E14,AH$6,$E14)+1)/($F14-$E14+1))))</f>
        <v>0</v>
      </c>
      <c r="AI14" s="98" t="n">
        <f aca="false">IF($E14="",0,IF(AI$6+6&lt;$E14,0,IF(AI$6&gt;$F14,0,$D14*(IF(AI$6+6&lt;$F14,AI$6+6,$F14)-IF(AI$6&gt;$E14,AI$6,$E14)+1)/($F14-$E14+1))))</f>
        <v>0</v>
      </c>
      <c r="AJ14" s="98" t="n">
        <f aca="false">IF($E14="",0,IF(AJ$6+6&lt;$E14,0,IF(AJ$6&gt;$F14,0,$D14*(IF(AJ$6+6&lt;$F14,AJ$6+6,$F14)-IF(AJ$6&gt;$E14,AJ$6,$E14)+1)/($F14-$E14+1))))</f>
        <v>0</v>
      </c>
      <c r="AK14" s="98" t="n">
        <f aca="false">IF($E14="",0,IF(AK$6+6&lt;$E14,0,IF(AK$6&gt;$F14,0,$D14*(IF(AK$6+6&lt;$F14,AK$6+6,$F14)-IF(AK$6&gt;$E14,AK$6,$E14)+1)/($F14-$E14+1))))</f>
        <v>0</v>
      </c>
      <c r="AL14" s="98" t="n">
        <f aca="false">IF($E14="",0,IF(AL$6+6&lt;$E14,0,IF(AL$6&gt;$F14,0,$D14*(IF(AL$6+6&lt;$F14,AL$6+6,$F14)-IF(AL$6&gt;$E14,AL$6,$E14)+1)/($F14-$E14+1))))</f>
        <v>0</v>
      </c>
      <c r="AM14" s="98" t="n">
        <f aca="false">IF($E14="",0,IF(AM$6+6&lt;$E14,0,IF(AM$6&gt;$F14,0,$D14*(IF(AM$6+6&lt;$F14,AM$6+6,$F14)-IF(AM$6&gt;$E14,AM$6,$E14)+1)/($F14-$E14+1))))</f>
        <v>0</v>
      </c>
      <c r="AN14" s="98" t="n">
        <f aca="false">IF($E14="",0,IF(AN$6+6&lt;$E14,0,IF(AN$6&gt;$F14,0,$D14*(IF(AN$6+6&lt;$F14,AN$6+6,$F14)-IF(AN$6&gt;$E14,AN$6,$E14)+1)/($F14-$E14+1))))</f>
        <v>0</v>
      </c>
      <c r="AO14" s="98" t="n">
        <f aca="false">IF($E14="",0,IF(AO$6+6&lt;$E14,0,IF(AO$6&gt;$F14,0,$D14*(IF(AO$6+6&lt;$F14,AO$6+6,$F14)-IF(AO$6&gt;$E14,AO$6,$E14)+1)/($F14-$E14+1))))</f>
        <v>0</v>
      </c>
      <c r="AP14" s="98" t="n">
        <f aca="false">IF($E14="",0,IF(AP$6+6&lt;$E14,0,IF(AP$6&gt;$F14,0,$D14*(IF(AP$6+6&lt;$F14,AP$6+6,$F14)-IF(AP$6&gt;$E14,AP$6,$E14)+1)/($F14-$E14+1))))</f>
        <v>0</v>
      </c>
      <c r="AQ14" s="98" t="n">
        <f aca="false">IF($E14="",0,IF(AQ$6+6&lt;$E14,0,IF(AQ$6&gt;$F14,0,$D14*(IF(AQ$6+6&lt;$F14,AQ$6+6,$F14)-IF(AQ$6&gt;$E14,AQ$6,$E14)+1)/($F14-$E14+1))))</f>
        <v>0</v>
      </c>
      <c r="AR14" s="98" t="n">
        <f aca="false">IF($E14="",0,IF(AR$6+6&lt;$E14,0,IF(AR$6&gt;$F14,0,$D14*(IF(AR$6+6&lt;$F14,AR$6+6,$F14)-IF(AR$6&gt;$E14,AR$6,$E14)+1)/($F14-$E14+1))))</f>
        <v>0</v>
      </c>
      <c r="AS14" s="98" t="n">
        <f aca="false">IF($E14="",0,IF(AS$6+6&lt;$E14,0,IF(AS$6&gt;$F14,0,$D14*(IF(AS$6+6&lt;$F14,AS$6+6,$F14)-IF(AS$6&gt;$E14,AS$6,$E14)+1)/($F14-$E14+1))))</f>
        <v>0</v>
      </c>
      <c r="AT14" s="98" t="n">
        <f aca="false">IF($E14="",0,IF(AT$6+6&lt;$E14,0,IF(AT$6&gt;$F14,0,$D14*(IF(AT$6+6&lt;$F14,AT$6+6,$F14)-IF(AT$6&gt;$E14,AT$6,$E14)+1)/($F14-$E14+1))))</f>
        <v>0</v>
      </c>
      <c r="AU14" s="98" t="n">
        <f aca="false">IF($E14="",0,IF(AU$6+6&lt;$E14,0,IF(AU$6&gt;$F14,0,$D14*(IF(AU$6+6&lt;$F14,AU$6+6,$F14)-IF(AU$6&gt;$E14,AU$6,$E14)+1)/($F14-$E14+1))))</f>
        <v>0</v>
      </c>
      <c r="AV14" s="98" t="n">
        <f aca="false">IF($E14="",0,IF(AV$6+6&lt;$E14,0,IF(AV$6&gt;$F14,0,$D14*(IF(AV$6+6&lt;$F14,AV$6+6,$F14)-IF(AV$6&gt;$E14,AV$6,$E14)+1)/($F14-$E14+1))))</f>
        <v>0</v>
      </c>
      <c r="AW14" s="98" t="n">
        <f aca="false">IF($E14="",0,IF(AW$6+6&lt;$E14,0,IF(AW$6&gt;$F14,0,$D14*(IF(AW$6+6&lt;$F14,AW$6+6,$F14)-IF(AW$6&gt;$E14,AW$6,$E14)+1)/($F14-$E14+1))))</f>
        <v>0</v>
      </c>
      <c r="AX14" s="98" t="n">
        <f aca="false">IF($E14="",0,IF(AX$6+6&lt;$E14,0,IF(AX$6&gt;$F14,0,$D14*(IF(AX$6+6&lt;$F14,AX$6+6,$F14)-IF(AX$6&gt;$E14,AX$6,$E14)+1)/($F14-$E14+1))))</f>
        <v>0</v>
      </c>
      <c r="AY14" s="98" t="n">
        <f aca="false">IF($E14="",0,IF(AY$6+6&lt;$E14,0,IF(AY$6&gt;$F14,0,$D14*(IF(AY$6+6&lt;$F14,AY$6+6,$F14)-IF(AY$6&gt;$E14,AY$6,$E14)+1)/($F14-$E14+1))))</f>
        <v>0</v>
      </c>
      <c r="AZ14" s="98" t="n">
        <f aca="false">IF($E14="",0,IF(AZ$6+6&lt;$E14,0,IF(AZ$6&gt;$F14,0,$D14*(IF(AZ$6+6&lt;$F14,AZ$6+6,$F14)-IF(AZ$6&gt;$E14,AZ$6,$E14)+1)/($F14-$E14+1))))</f>
        <v>0</v>
      </c>
      <c r="BA14" s="98" t="n">
        <f aca="false">IF($E14="",0,IF(BA$6+6&lt;$E14,0,IF(BA$6&gt;$F14,0,$D14*(IF(BA$6+6&lt;$F14,BA$6+6,$F14)-IF(BA$6&gt;$E14,BA$6,$E14)+1)/($F14-$E14+1))))</f>
        <v>0</v>
      </c>
      <c r="BB14" s="98" t="n">
        <f aca="false">IF($E14="",0,IF(BB$6+6&lt;$E14,0,IF(BB$6&gt;$F14,0,$D14*(IF(BB$6+6&lt;$F14,BB$6+6,$F14)-IF(BB$6&gt;$E14,BB$6,$E14)+1)/($F14-$E14+1))))</f>
        <v>0</v>
      </c>
      <c r="BC14" s="98" t="n">
        <f aca="false">IF($E14="",0,IF(BC$6+6&lt;$E14,0,IF(BC$6&gt;$F14,0,$D14*(IF(BC$6+6&lt;$F14,BC$6+6,$F14)-IF(BC$6&gt;$E14,BC$6,$E14)+1)/($F14-$E14+1))))</f>
        <v>0</v>
      </c>
      <c r="BD14" s="98" t="n">
        <f aca="false">IF($E14="",0,IF(BD$6+6&lt;$E14,0,IF(BD$6&gt;$F14,0,$D14*(IF(BD$6+6&lt;$F14,BD$6+6,$F14)-IF(BD$6&gt;$E14,BD$6,$E14)+1)/($F14-$E14+1))))</f>
        <v>0</v>
      </c>
      <c r="BE14" s="98" t="n">
        <f aca="false">IF($E14="",0,IF(BE$6+6&lt;$E14,0,IF(BE$6&gt;$F14,0,$D14*(IF(BE$6+6&lt;$F14,BE$6+6,$F14)-IF(BE$6&gt;$E14,BE$6,$E14)+1)/($F14-$E14+1))))</f>
        <v>0</v>
      </c>
      <c r="BF14" s="98" t="n">
        <f aca="false">IF($E14="",0,IF(BF$6+6&lt;$E14,0,IF(BF$6&gt;$F14,0,$D14*(IF(BF$6+6&lt;$F14,BF$6+6,$F14)-IF(BF$6&gt;$E14,BF$6,$E14)+1)/($F14-$E14+1))))</f>
        <v>0</v>
      </c>
      <c r="BG14" s="98" t="n">
        <f aca="false">IF($E14="",0,IF(BG$6+6&lt;$E14,0,IF(BG$6&gt;$F14,0,$D14*(IF(BG$6+6&lt;$F14,BG$6+6,$F14)-IF(BG$6&gt;$E14,BG$6,$E14)+1)/($F14-$E14+1))))</f>
        <v>0</v>
      </c>
      <c r="BH14" s="98" t="n">
        <f aca="false">IF($E14="",0,IF(BH$6+6&lt;$E14,0,IF(BH$6&gt;$F14,0,$D14*(IF(BH$6+6&lt;$F14,BH$6+6,$F14)-IF(BH$6&gt;$E14,BH$6,$E14)+1)/($F14-$E14+1))))</f>
        <v>0</v>
      </c>
      <c r="BI14" s="98" t="n">
        <f aca="false">IF($E14="",0,IF(BI$6+6&lt;$E14,0,IF(BI$6&gt;$F14,0,$D14*(IF(BI$6+6&lt;$F14,BI$6+6,$F14)-IF(BI$6&gt;$E14,BI$6,$E14)+1)/($F14-$E14+1))))</f>
        <v>0</v>
      </c>
      <c r="BJ14" s="98" t="n">
        <f aca="false">IF($E14="",0,IF(BJ$6+6&lt;$E14,0,IF(BJ$6&gt;$F14,0,$D14*(IF(BJ$6+6&lt;$F14,BJ$6+6,$F14)-IF(BJ$6&gt;$E14,BJ$6,$E14)+1)/($F14-$E14+1))))</f>
        <v>0</v>
      </c>
      <c r="BK14" s="98" t="n">
        <f aca="false">IF($E14="",0,IF(BK$6+6&lt;$E14,0,IF(BK$6&gt;$F14,0,$D14*(IF(BK$6+6&lt;$F14,BK$6+6,$F14)-IF(BK$6&gt;$E14,BK$6,$E14)+1)/($F14-$E14+1))))</f>
        <v>0</v>
      </c>
      <c r="BL14" s="98" t="n">
        <f aca="false">IF($E14="",0,IF(BL$6+6&lt;$E14,0,IF(BL$6&gt;$F14,0,$D14*(IF(BL$6+6&lt;$F14,BL$6+6,$F14)-IF(BL$6&gt;$E14,BL$6,$E14)+1)/($F14-$E14+1))))</f>
        <v>0</v>
      </c>
      <c r="BM14" s="98" t="n">
        <f aca="false">IF($E14="",0,IF(BM$6+6&lt;$E14,0,IF(BM$6&gt;$F14,0,$D14*(IF(BM$6+6&lt;$F14,BM$6+6,$F14)-IF(BM$6&gt;$E14,BM$6,$E14)+1)/($F14-$E14+1))))</f>
        <v>0</v>
      </c>
      <c r="BN14" s="98" t="n">
        <f aca="false">IF($E14="",0,IF(BN$6+6&lt;$E14,0,IF(BN$6&gt;$F14,0,$D14*(IF(BN$6+6&lt;$F14,BN$6+6,$F14)-IF(BN$6&gt;$E14,BN$6,$E14)+1)/($F14-$E14+1))))</f>
        <v>0</v>
      </c>
      <c r="BO14" s="98" t="n">
        <f aca="false">IF($E14="",0,IF(BO$6+6&lt;$E14,0,IF(BO$6&gt;$F14,0,$D14*(IF(BO$6+6&lt;$F14,BO$6+6,$F14)-IF(BO$6&gt;$E14,BO$6,$E14)+1)/($F14-$E14+1))))</f>
        <v>0</v>
      </c>
      <c r="BP14" s="98" t="n">
        <f aca="false">IF($E14="",0,IF(BP$6+6&lt;$E14,0,IF(BP$6&gt;$F14,0,$D14*(IF(BP$6+6&lt;$F14,BP$6+6,$F14)-IF(BP$6&gt;$E14,BP$6,$E14)+1)/($F14-$E14+1))))</f>
        <v>0</v>
      </c>
      <c r="BQ14" s="98" t="n">
        <f aca="false">IF($E14="",0,IF(BQ$6+6&lt;$E14,0,IF(BQ$6&gt;$F14,0,$D14*(IF(BQ$6+6&lt;$F14,BQ$6+6,$F14)-IF(BQ$6&gt;$E14,BQ$6,$E14)+1)/($F14-$E14+1))))</f>
        <v>0</v>
      </c>
      <c r="BR14" s="98" t="n">
        <f aca="false">IF($E14="",0,IF(BR$6+6&lt;$E14,0,IF(BR$6&gt;$F14,0,$D14*(IF(BR$6+6&lt;$F14,BR$6+6,$F14)-IF(BR$6&gt;$E14,BR$6,$E14)+1)/($F14-$E14+1))))</f>
        <v>0</v>
      </c>
      <c r="BS14" s="98" t="n">
        <f aca="false">IF($E14="",0,IF(BS$6+6&lt;$E14,0,IF(BS$6&gt;$F14,0,$D14*(IF(BS$6+6&lt;$F14,BS$6+6,$F14)-IF(BS$6&gt;$E14,BS$6,$E14)+1)/($F14-$E14+1))))</f>
        <v>0</v>
      </c>
      <c r="BT14" s="98" t="n">
        <f aca="false">IF($E14="",0,IF(BT$6+6&lt;$E14,0,IF(BT$6&gt;$F14,0,$D14*(IF(BT$6+6&lt;$F14,BT$6+6,$F14)-IF(BT$6&gt;$E14,BT$6,$E14)+1)/($F14-$E14+1))))</f>
        <v>0</v>
      </c>
      <c r="BU14" s="98" t="n">
        <f aca="false">IF($E14="",0,IF(BU$6+6&lt;$E14,0,IF(BU$6&gt;$F14,0,$D14*(IF(BU$6+6&lt;$F14,BU$6+6,$F14)-IF(BU$6&gt;$E14,BU$6,$E14)+1)/($F14-$E14+1))))</f>
        <v>0</v>
      </c>
      <c r="BV14" s="98" t="n">
        <f aca="false">IF($E14="",0,IF(BV$6+6&lt;$E14,0,IF(BV$6&gt;$F14,0,$D14*(IF(BV$6+6&lt;$F14,BV$6+6,$F14)-IF(BV$6&gt;$E14,BV$6,$E14)+1)/($F14-$E14+1))))</f>
        <v>0</v>
      </c>
      <c r="BW14" s="98" t="n">
        <f aca="false">IF($E14="",0,IF(BW$6+6&lt;$E14,0,IF(BW$6&gt;$F14,0,$D14*(IF(BW$6+6&lt;$F14,BW$6+6,$F14)-IF(BW$6&gt;$E14,BW$6,$E14)+1)/($F14-$E14+1))))</f>
        <v>0</v>
      </c>
      <c r="BX14" s="98" t="n">
        <f aca="false">IF($E14="",0,IF(BX$6+6&lt;$E14,0,IF(BX$6&gt;$F14,0,$D14*(IF(BX$6+6&lt;$F14,BX$6+6,$F14)-IF(BX$6&gt;$E14,BX$6,$E14)+1)/($F14-$E14+1))))</f>
        <v>0</v>
      </c>
      <c r="BY14" s="98" t="n">
        <f aca="false">IF($E14="",0,IF(BY$6+6&lt;$E14,0,IF(BY$6&gt;$F14,0,$D14*(IF(BY$6+6&lt;$F14,BY$6+6,$F14)-IF(BY$6&gt;$E14,BY$6,$E14)+1)/($F14-$E14+1))))</f>
        <v>0</v>
      </c>
    </row>
    <row r="15" customFormat="false" ht="15" hidden="false" customHeight="false" outlineLevel="0" collapsed="false">
      <c r="A15" s="95"/>
      <c r="B15" s="95"/>
      <c r="C15" s="95" t="s">
        <v>634</v>
      </c>
      <c r="D15" s="96"/>
      <c r="E15" s="99"/>
      <c r="F15" s="99"/>
      <c r="G15" s="100"/>
      <c r="H15" s="101"/>
      <c r="I15" s="101"/>
      <c r="J15" s="101"/>
      <c r="K15" s="101"/>
      <c r="L15" s="101"/>
      <c r="M15" s="101"/>
      <c r="N15" s="101"/>
      <c r="O15" s="101"/>
      <c r="P15" s="101"/>
      <c r="Q15" s="101"/>
      <c r="R15" s="101"/>
      <c r="S15" s="101"/>
      <c r="T15" s="101"/>
      <c r="U15" s="101"/>
      <c r="V15" s="101"/>
      <c r="W15" s="101"/>
      <c r="X15" s="101"/>
      <c r="Y15" s="101"/>
      <c r="Z15" s="101"/>
      <c r="AA15" s="101"/>
      <c r="AB15" s="101"/>
      <c r="AC15" s="101"/>
      <c r="AD15" s="101"/>
      <c r="AE15" s="101"/>
      <c r="AF15" s="101"/>
      <c r="AG15" s="101"/>
      <c r="AH15" s="101"/>
      <c r="AI15" s="101"/>
      <c r="AJ15" s="101"/>
      <c r="AK15" s="101"/>
      <c r="AL15" s="101"/>
      <c r="AM15" s="101"/>
      <c r="AN15" s="101"/>
      <c r="AO15" s="101"/>
      <c r="AP15" s="101"/>
      <c r="AQ15" s="101"/>
      <c r="AR15" s="101"/>
      <c r="AS15" s="101"/>
      <c r="AT15" s="101"/>
      <c r="AU15" s="101"/>
      <c r="AV15" s="101"/>
      <c r="AW15" s="101"/>
      <c r="AX15" s="101"/>
      <c r="AY15" s="101"/>
      <c r="AZ15" s="101"/>
      <c r="BA15" s="101"/>
      <c r="BB15" s="101"/>
      <c r="BC15" s="101"/>
      <c r="BD15" s="101"/>
      <c r="BE15" s="101"/>
      <c r="BF15" s="101"/>
      <c r="BG15" s="101"/>
      <c r="BH15" s="101"/>
      <c r="BI15" s="101"/>
      <c r="BJ15" s="101"/>
      <c r="BK15" s="101"/>
      <c r="BL15" s="101"/>
      <c r="BM15" s="101"/>
      <c r="BN15" s="101"/>
      <c r="BO15" s="101"/>
      <c r="BP15" s="101"/>
      <c r="BQ15" s="101"/>
      <c r="BR15" s="101"/>
      <c r="BS15" s="101"/>
      <c r="BT15" s="101"/>
      <c r="BU15" s="101"/>
      <c r="BV15" s="101"/>
      <c r="BW15" s="101"/>
      <c r="BX15" s="101"/>
      <c r="BY15" s="101"/>
    </row>
    <row r="16" customFormat="false" ht="15" hidden="false" customHeight="false" outlineLevel="0" collapsed="false">
      <c r="A16" s="95" t="s">
        <v>236</v>
      </c>
      <c r="B16" s="95" t="s">
        <v>638</v>
      </c>
      <c r="C16" s="95" t="s">
        <v>633</v>
      </c>
      <c r="D16" s="96" t="n">
        <v>1</v>
      </c>
      <c r="E16" s="97" t="n">
        <v>46391</v>
      </c>
      <c r="F16" s="97" t="n">
        <v>46391</v>
      </c>
      <c r="G16" s="95" t="n">
        <v>1</v>
      </c>
      <c r="H16" s="98" t="n">
        <f aca="false">IF($E16="",0,IF(H$6+6&lt;$E16,0,IF(H$6&gt;$F16,0,$D16*(IF(H$6+6&lt;$F16,H$6+6,$F16)-IF(H$6&gt;$E16,H$6,$E16)+1)/($F16-$E16+1))))</f>
        <v>0</v>
      </c>
      <c r="I16" s="98" t="n">
        <f aca="false">IF($E16="",0,IF(I$6+6&lt;$E16,0,IF(I$6&gt;$F16,0,$D16*(IF(I$6+6&lt;$F16,I$6+6,$F16)-IF(I$6&gt;$E16,I$6,$E16)+1)/($F16-$E16+1))))</f>
        <v>0</v>
      </c>
      <c r="J16" s="98" t="n">
        <f aca="false">IF($E16="",0,IF(J$6+6&lt;$E16,0,IF(J$6&gt;$F16,0,$D16*(IF(J$6+6&lt;$F16,J$6+6,$F16)-IF(J$6&gt;$E16,J$6,$E16)+1)/($F16-$E16+1))))</f>
        <v>0</v>
      </c>
      <c r="K16" s="98" t="n">
        <f aca="false">IF($E16="",0,IF(K$6+6&lt;$E16,0,IF(K$6&gt;$F16,0,$D16*(IF(K$6+6&lt;$F16,K$6+6,$F16)-IF(K$6&gt;$E16,K$6,$E16)+1)/($F16-$E16+1))))</f>
        <v>0</v>
      </c>
      <c r="L16" s="98" t="n">
        <f aca="false">IF($E16="",0,IF(L$6+6&lt;$E16,0,IF(L$6&gt;$F16,0,$D16*(IF(L$6+6&lt;$F16,L$6+6,$F16)-IF(L$6&gt;$E16,L$6,$E16)+1)/($F16-$E16+1))))</f>
        <v>0</v>
      </c>
      <c r="M16" s="98" t="n">
        <f aca="false">IF($E16="",0,IF(M$6+6&lt;$E16,0,IF(M$6&gt;$F16,0,$D16*(IF(M$6+6&lt;$F16,M$6+6,$F16)-IF(M$6&gt;$E16,M$6,$E16)+1)/($F16-$E16+1))))</f>
        <v>0</v>
      </c>
      <c r="N16" s="98" t="n">
        <f aca="false">IF($E16="",0,IF(N$6+6&lt;$E16,0,IF(N$6&gt;$F16,0,$D16*(IF(N$6+6&lt;$F16,N$6+6,$F16)-IF(N$6&gt;$E16,N$6,$E16)+1)/($F16-$E16+1))))</f>
        <v>0</v>
      </c>
      <c r="O16" s="98" t="n">
        <f aca="false">IF($E16="",0,IF(O$6+6&lt;$E16,0,IF(O$6&gt;$F16,0,$D16*(IF(O$6+6&lt;$F16,O$6+6,$F16)-IF(O$6&gt;$E16,O$6,$E16)+1)/($F16-$E16+1))))</f>
        <v>0</v>
      </c>
      <c r="P16" s="98" t="n">
        <f aca="false">IF($E16="",0,IF(P$6+6&lt;$E16,0,IF(P$6&gt;$F16,0,$D16*(IF(P$6+6&lt;$F16,P$6+6,$F16)-IF(P$6&gt;$E16,P$6,$E16)+1)/($F16-$E16+1))))</f>
        <v>0</v>
      </c>
      <c r="Q16" s="98" t="n">
        <f aca="false">IF($E16="",0,IF(Q$6+6&lt;$E16,0,IF(Q$6&gt;$F16,0,$D16*(IF(Q$6+6&lt;$F16,Q$6+6,$F16)-IF(Q$6&gt;$E16,Q$6,$E16)+1)/($F16-$E16+1))))</f>
        <v>0</v>
      </c>
      <c r="R16" s="98" t="n">
        <f aca="false">IF($E16="",0,IF(R$6+6&lt;$E16,0,IF(R$6&gt;$F16,0,$D16*(IF(R$6+6&lt;$F16,R$6+6,$F16)-IF(R$6&gt;$E16,R$6,$E16)+1)/($F16-$E16+1))))</f>
        <v>1</v>
      </c>
      <c r="S16" s="98" t="n">
        <f aca="false">IF($E16="",0,IF(S$6+6&lt;$E16,0,IF(S$6&gt;$F16,0,$D16*(IF(S$6+6&lt;$F16,S$6+6,$F16)-IF(S$6&gt;$E16,S$6,$E16)+1)/($F16-$E16+1))))</f>
        <v>0</v>
      </c>
      <c r="T16" s="98" t="n">
        <f aca="false">IF($E16="",0,IF(T$6+6&lt;$E16,0,IF(T$6&gt;$F16,0,$D16*(IF(T$6+6&lt;$F16,T$6+6,$F16)-IF(T$6&gt;$E16,T$6,$E16)+1)/($F16-$E16+1))))</f>
        <v>0</v>
      </c>
      <c r="U16" s="98" t="n">
        <f aca="false">IF($E16="",0,IF(U$6+6&lt;$E16,0,IF(U$6&gt;$F16,0,$D16*(IF(U$6+6&lt;$F16,U$6+6,$F16)-IF(U$6&gt;$E16,U$6,$E16)+1)/($F16-$E16+1))))</f>
        <v>0</v>
      </c>
      <c r="V16" s="98" t="n">
        <f aca="false">IF($E16="",0,IF(V$6+6&lt;$E16,0,IF(V$6&gt;$F16,0,$D16*(IF(V$6+6&lt;$F16,V$6+6,$F16)-IF(V$6&gt;$E16,V$6,$E16)+1)/($F16-$E16+1))))</f>
        <v>0</v>
      </c>
      <c r="W16" s="98" t="n">
        <f aca="false">IF($E16="",0,IF(W$6+6&lt;$E16,0,IF(W$6&gt;$F16,0,$D16*(IF(W$6+6&lt;$F16,W$6+6,$F16)-IF(W$6&gt;$E16,W$6,$E16)+1)/($F16-$E16+1))))</f>
        <v>0</v>
      </c>
      <c r="X16" s="98" t="n">
        <f aca="false">IF($E16="",0,IF(X$6+6&lt;$E16,0,IF(X$6&gt;$F16,0,$D16*(IF(X$6+6&lt;$F16,X$6+6,$F16)-IF(X$6&gt;$E16,X$6,$E16)+1)/($F16-$E16+1))))</f>
        <v>0</v>
      </c>
      <c r="Y16" s="98" t="n">
        <f aca="false">IF($E16="",0,IF(Y$6+6&lt;$E16,0,IF(Y$6&gt;$F16,0,$D16*(IF(Y$6+6&lt;$F16,Y$6+6,$F16)-IF(Y$6&gt;$E16,Y$6,$E16)+1)/($F16-$E16+1))))</f>
        <v>0</v>
      </c>
      <c r="Z16" s="98" t="n">
        <f aca="false">IF($E16="",0,IF(Z$6+6&lt;$E16,0,IF(Z$6&gt;$F16,0,$D16*(IF(Z$6+6&lt;$F16,Z$6+6,$F16)-IF(Z$6&gt;$E16,Z$6,$E16)+1)/($F16-$E16+1))))</f>
        <v>0</v>
      </c>
      <c r="AA16" s="98" t="n">
        <f aca="false">IF($E16="",0,IF(AA$6+6&lt;$E16,0,IF(AA$6&gt;$F16,0,$D16*(IF(AA$6+6&lt;$F16,AA$6+6,$F16)-IF(AA$6&gt;$E16,AA$6,$E16)+1)/($F16-$E16+1))))</f>
        <v>0</v>
      </c>
      <c r="AB16" s="98" t="n">
        <f aca="false">IF($E16="",0,IF(AB$6+6&lt;$E16,0,IF(AB$6&gt;$F16,0,$D16*(IF(AB$6+6&lt;$F16,AB$6+6,$F16)-IF(AB$6&gt;$E16,AB$6,$E16)+1)/($F16-$E16+1))))</f>
        <v>0</v>
      </c>
      <c r="AC16" s="98" t="n">
        <f aca="false">IF($E16="",0,IF(AC$6+6&lt;$E16,0,IF(AC$6&gt;$F16,0,$D16*(IF(AC$6+6&lt;$F16,AC$6+6,$F16)-IF(AC$6&gt;$E16,AC$6,$E16)+1)/($F16-$E16+1))))</f>
        <v>0</v>
      </c>
      <c r="AD16" s="98" t="n">
        <f aca="false">IF($E16="",0,IF(AD$6+6&lt;$E16,0,IF(AD$6&gt;$F16,0,$D16*(IF(AD$6+6&lt;$F16,AD$6+6,$F16)-IF(AD$6&gt;$E16,AD$6,$E16)+1)/($F16-$E16+1))))</f>
        <v>0</v>
      </c>
      <c r="AE16" s="98" t="n">
        <f aca="false">IF($E16="",0,IF(AE$6+6&lt;$E16,0,IF(AE$6&gt;$F16,0,$D16*(IF(AE$6+6&lt;$F16,AE$6+6,$F16)-IF(AE$6&gt;$E16,AE$6,$E16)+1)/($F16-$E16+1))))</f>
        <v>0</v>
      </c>
      <c r="AF16" s="98" t="n">
        <f aca="false">IF($E16="",0,IF(AF$6+6&lt;$E16,0,IF(AF$6&gt;$F16,0,$D16*(IF(AF$6+6&lt;$F16,AF$6+6,$F16)-IF(AF$6&gt;$E16,AF$6,$E16)+1)/($F16-$E16+1))))</f>
        <v>0</v>
      </c>
      <c r="AG16" s="98" t="n">
        <f aca="false">IF($E16="",0,IF(AG$6+6&lt;$E16,0,IF(AG$6&gt;$F16,0,$D16*(IF(AG$6+6&lt;$F16,AG$6+6,$F16)-IF(AG$6&gt;$E16,AG$6,$E16)+1)/($F16-$E16+1))))</f>
        <v>0</v>
      </c>
      <c r="AH16" s="98" t="n">
        <f aca="false">IF($E16="",0,IF(AH$6+6&lt;$E16,0,IF(AH$6&gt;$F16,0,$D16*(IF(AH$6+6&lt;$F16,AH$6+6,$F16)-IF(AH$6&gt;$E16,AH$6,$E16)+1)/($F16-$E16+1))))</f>
        <v>0</v>
      </c>
      <c r="AI16" s="98" t="n">
        <f aca="false">IF($E16="",0,IF(AI$6+6&lt;$E16,0,IF(AI$6&gt;$F16,0,$D16*(IF(AI$6+6&lt;$F16,AI$6+6,$F16)-IF(AI$6&gt;$E16,AI$6,$E16)+1)/($F16-$E16+1))))</f>
        <v>0</v>
      </c>
      <c r="AJ16" s="98" t="n">
        <f aca="false">IF($E16="",0,IF(AJ$6+6&lt;$E16,0,IF(AJ$6&gt;$F16,0,$D16*(IF(AJ$6+6&lt;$F16,AJ$6+6,$F16)-IF(AJ$6&gt;$E16,AJ$6,$E16)+1)/($F16-$E16+1))))</f>
        <v>0</v>
      </c>
      <c r="AK16" s="98" t="n">
        <f aca="false">IF($E16="",0,IF(AK$6+6&lt;$E16,0,IF(AK$6&gt;$F16,0,$D16*(IF(AK$6+6&lt;$F16,AK$6+6,$F16)-IF(AK$6&gt;$E16,AK$6,$E16)+1)/($F16-$E16+1))))</f>
        <v>0</v>
      </c>
      <c r="AL16" s="98" t="n">
        <f aca="false">IF($E16="",0,IF(AL$6+6&lt;$E16,0,IF(AL$6&gt;$F16,0,$D16*(IF(AL$6+6&lt;$F16,AL$6+6,$F16)-IF(AL$6&gt;$E16,AL$6,$E16)+1)/($F16-$E16+1))))</f>
        <v>0</v>
      </c>
      <c r="AM16" s="98" t="n">
        <f aca="false">IF($E16="",0,IF(AM$6+6&lt;$E16,0,IF(AM$6&gt;$F16,0,$D16*(IF(AM$6+6&lt;$F16,AM$6+6,$F16)-IF(AM$6&gt;$E16,AM$6,$E16)+1)/($F16-$E16+1))))</f>
        <v>0</v>
      </c>
      <c r="AN16" s="98" t="n">
        <f aca="false">IF($E16="",0,IF(AN$6+6&lt;$E16,0,IF(AN$6&gt;$F16,0,$D16*(IF(AN$6+6&lt;$F16,AN$6+6,$F16)-IF(AN$6&gt;$E16,AN$6,$E16)+1)/($F16-$E16+1))))</f>
        <v>0</v>
      </c>
      <c r="AO16" s="98" t="n">
        <f aca="false">IF($E16="",0,IF(AO$6+6&lt;$E16,0,IF(AO$6&gt;$F16,0,$D16*(IF(AO$6+6&lt;$F16,AO$6+6,$F16)-IF(AO$6&gt;$E16,AO$6,$E16)+1)/($F16-$E16+1))))</f>
        <v>0</v>
      </c>
      <c r="AP16" s="98" t="n">
        <f aca="false">IF($E16="",0,IF(AP$6+6&lt;$E16,0,IF(AP$6&gt;$F16,0,$D16*(IF(AP$6+6&lt;$F16,AP$6+6,$F16)-IF(AP$6&gt;$E16,AP$6,$E16)+1)/($F16-$E16+1))))</f>
        <v>0</v>
      </c>
      <c r="AQ16" s="98" t="n">
        <f aca="false">IF($E16="",0,IF(AQ$6+6&lt;$E16,0,IF(AQ$6&gt;$F16,0,$D16*(IF(AQ$6+6&lt;$F16,AQ$6+6,$F16)-IF(AQ$6&gt;$E16,AQ$6,$E16)+1)/($F16-$E16+1))))</f>
        <v>0</v>
      </c>
      <c r="AR16" s="98" t="n">
        <f aca="false">IF($E16="",0,IF(AR$6+6&lt;$E16,0,IF(AR$6&gt;$F16,0,$D16*(IF(AR$6+6&lt;$F16,AR$6+6,$F16)-IF(AR$6&gt;$E16,AR$6,$E16)+1)/($F16-$E16+1))))</f>
        <v>0</v>
      </c>
      <c r="AS16" s="98" t="n">
        <f aca="false">IF($E16="",0,IF(AS$6+6&lt;$E16,0,IF(AS$6&gt;$F16,0,$D16*(IF(AS$6+6&lt;$F16,AS$6+6,$F16)-IF(AS$6&gt;$E16,AS$6,$E16)+1)/($F16-$E16+1))))</f>
        <v>0</v>
      </c>
      <c r="AT16" s="98" t="n">
        <f aca="false">IF($E16="",0,IF(AT$6+6&lt;$E16,0,IF(AT$6&gt;$F16,0,$D16*(IF(AT$6+6&lt;$F16,AT$6+6,$F16)-IF(AT$6&gt;$E16,AT$6,$E16)+1)/($F16-$E16+1))))</f>
        <v>0</v>
      </c>
      <c r="AU16" s="98" t="n">
        <f aca="false">IF($E16="",0,IF(AU$6+6&lt;$E16,0,IF(AU$6&gt;$F16,0,$D16*(IF(AU$6+6&lt;$F16,AU$6+6,$F16)-IF(AU$6&gt;$E16,AU$6,$E16)+1)/($F16-$E16+1))))</f>
        <v>0</v>
      </c>
      <c r="AV16" s="98" t="n">
        <f aca="false">IF($E16="",0,IF(AV$6+6&lt;$E16,0,IF(AV$6&gt;$F16,0,$D16*(IF(AV$6+6&lt;$F16,AV$6+6,$F16)-IF(AV$6&gt;$E16,AV$6,$E16)+1)/($F16-$E16+1))))</f>
        <v>0</v>
      </c>
      <c r="AW16" s="98" t="n">
        <f aca="false">IF($E16="",0,IF(AW$6+6&lt;$E16,0,IF(AW$6&gt;$F16,0,$D16*(IF(AW$6+6&lt;$F16,AW$6+6,$F16)-IF(AW$6&gt;$E16,AW$6,$E16)+1)/($F16-$E16+1))))</f>
        <v>0</v>
      </c>
      <c r="AX16" s="98" t="n">
        <f aca="false">IF($E16="",0,IF(AX$6+6&lt;$E16,0,IF(AX$6&gt;$F16,0,$D16*(IF(AX$6+6&lt;$F16,AX$6+6,$F16)-IF(AX$6&gt;$E16,AX$6,$E16)+1)/($F16-$E16+1))))</f>
        <v>0</v>
      </c>
      <c r="AY16" s="98" t="n">
        <f aca="false">IF($E16="",0,IF(AY$6+6&lt;$E16,0,IF(AY$6&gt;$F16,0,$D16*(IF(AY$6+6&lt;$F16,AY$6+6,$F16)-IF(AY$6&gt;$E16,AY$6,$E16)+1)/($F16-$E16+1))))</f>
        <v>0</v>
      </c>
      <c r="AZ16" s="98" t="n">
        <f aca="false">IF($E16="",0,IF(AZ$6+6&lt;$E16,0,IF(AZ$6&gt;$F16,0,$D16*(IF(AZ$6+6&lt;$F16,AZ$6+6,$F16)-IF(AZ$6&gt;$E16,AZ$6,$E16)+1)/($F16-$E16+1))))</f>
        <v>0</v>
      </c>
      <c r="BA16" s="98" t="n">
        <f aca="false">IF($E16="",0,IF(BA$6+6&lt;$E16,0,IF(BA$6&gt;$F16,0,$D16*(IF(BA$6+6&lt;$F16,BA$6+6,$F16)-IF(BA$6&gt;$E16,BA$6,$E16)+1)/($F16-$E16+1))))</f>
        <v>0</v>
      </c>
      <c r="BB16" s="98" t="n">
        <f aca="false">IF($E16="",0,IF(BB$6+6&lt;$E16,0,IF(BB$6&gt;$F16,0,$D16*(IF(BB$6+6&lt;$F16,BB$6+6,$F16)-IF(BB$6&gt;$E16,BB$6,$E16)+1)/($F16-$E16+1))))</f>
        <v>0</v>
      </c>
      <c r="BC16" s="98" t="n">
        <f aca="false">IF($E16="",0,IF(BC$6+6&lt;$E16,0,IF(BC$6&gt;$F16,0,$D16*(IF(BC$6+6&lt;$F16,BC$6+6,$F16)-IF(BC$6&gt;$E16,BC$6,$E16)+1)/($F16-$E16+1))))</f>
        <v>0</v>
      </c>
      <c r="BD16" s="98" t="n">
        <f aca="false">IF($E16="",0,IF(BD$6+6&lt;$E16,0,IF(BD$6&gt;$F16,0,$D16*(IF(BD$6+6&lt;$F16,BD$6+6,$F16)-IF(BD$6&gt;$E16,BD$6,$E16)+1)/($F16-$E16+1))))</f>
        <v>0</v>
      </c>
      <c r="BE16" s="98" t="n">
        <f aca="false">IF($E16="",0,IF(BE$6+6&lt;$E16,0,IF(BE$6&gt;$F16,0,$D16*(IF(BE$6+6&lt;$F16,BE$6+6,$F16)-IF(BE$6&gt;$E16,BE$6,$E16)+1)/($F16-$E16+1))))</f>
        <v>0</v>
      </c>
      <c r="BF16" s="98" t="n">
        <f aca="false">IF($E16="",0,IF(BF$6+6&lt;$E16,0,IF(BF$6&gt;$F16,0,$D16*(IF(BF$6+6&lt;$F16,BF$6+6,$F16)-IF(BF$6&gt;$E16,BF$6,$E16)+1)/($F16-$E16+1))))</f>
        <v>0</v>
      </c>
      <c r="BG16" s="98" t="n">
        <f aca="false">IF($E16="",0,IF(BG$6+6&lt;$E16,0,IF(BG$6&gt;$F16,0,$D16*(IF(BG$6+6&lt;$F16,BG$6+6,$F16)-IF(BG$6&gt;$E16,BG$6,$E16)+1)/($F16-$E16+1))))</f>
        <v>0</v>
      </c>
      <c r="BH16" s="98" t="n">
        <f aca="false">IF($E16="",0,IF(BH$6+6&lt;$E16,0,IF(BH$6&gt;$F16,0,$D16*(IF(BH$6+6&lt;$F16,BH$6+6,$F16)-IF(BH$6&gt;$E16,BH$6,$E16)+1)/($F16-$E16+1))))</f>
        <v>0</v>
      </c>
      <c r="BI16" s="98" t="n">
        <f aca="false">IF($E16="",0,IF(BI$6+6&lt;$E16,0,IF(BI$6&gt;$F16,0,$D16*(IF(BI$6+6&lt;$F16,BI$6+6,$F16)-IF(BI$6&gt;$E16,BI$6,$E16)+1)/($F16-$E16+1))))</f>
        <v>0</v>
      </c>
      <c r="BJ16" s="98" t="n">
        <f aca="false">IF($E16="",0,IF(BJ$6+6&lt;$E16,0,IF(BJ$6&gt;$F16,0,$D16*(IF(BJ$6+6&lt;$F16,BJ$6+6,$F16)-IF(BJ$6&gt;$E16,BJ$6,$E16)+1)/($F16-$E16+1))))</f>
        <v>0</v>
      </c>
      <c r="BK16" s="98" t="n">
        <f aca="false">IF($E16="",0,IF(BK$6+6&lt;$E16,0,IF(BK$6&gt;$F16,0,$D16*(IF(BK$6+6&lt;$F16,BK$6+6,$F16)-IF(BK$6&gt;$E16,BK$6,$E16)+1)/($F16-$E16+1))))</f>
        <v>0</v>
      </c>
      <c r="BL16" s="98" t="n">
        <f aca="false">IF($E16="",0,IF(BL$6+6&lt;$E16,0,IF(BL$6&gt;$F16,0,$D16*(IF(BL$6+6&lt;$F16,BL$6+6,$F16)-IF(BL$6&gt;$E16,BL$6,$E16)+1)/($F16-$E16+1))))</f>
        <v>0</v>
      </c>
      <c r="BM16" s="98" t="n">
        <f aca="false">IF($E16="",0,IF(BM$6+6&lt;$E16,0,IF(BM$6&gt;$F16,0,$D16*(IF(BM$6+6&lt;$F16,BM$6+6,$F16)-IF(BM$6&gt;$E16,BM$6,$E16)+1)/($F16-$E16+1))))</f>
        <v>0</v>
      </c>
      <c r="BN16" s="98" t="n">
        <f aca="false">IF($E16="",0,IF(BN$6+6&lt;$E16,0,IF(BN$6&gt;$F16,0,$D16*(IF(BN$6+6&lt;$F16,BN$6+6,$F16)-IF(BN$6&gt;$E16,BN$6,$E16)+1)/($F16-$E16+1))))</f>
        <v>0</v>
      </c>
      <c r="BO16" s="98" t="n">
        <f aca="false">IF($E16="",0,IF(BO$6+6&lt;$E16,0,IF(BO$6&gt;$F16,0,$D16*(IF(BO$6+6&lt;$F16,BO$6+6,$F16)-IF(BO$6&gt;$E16,BO$6,$E16)+1)/($F16-$E16+1))))</f>
        <v>0</v>
      </c>
      <c r="BP16" s="98" t="n">
        <f aca="false">IF($E16="",0,IF(BP$6+6&lt;$E16,0,IF(BP$6&gt;$F16,0,$D16*(IF(BP$6+6&lt;$F16,BP$6+6,$F16)-IF(BP$6&gt;$E16,BP$6,$E16)+1)/($F16-$E16+1))))</f>
        <v>0</v>
      </c>
      <c r="BQ16" s="98" t="n">
        <f aca="false">IF($E16="",0,IF(BQ$6+6&lt;$E16,0,IF(BQ$6&gt;$F16,0,$D16*(IF(BQ$6+6&lt;$F16,BQ$6+6,$F16)-IF(BQ$6&gt;$E16,BQ$6,$E16)+1)/($F16-$E16+1))))</f>
        <v>0</v>
      </c>
      <c r="BR16" s="98" t="n">
        <f aca="false">IF($E16="",0,IF(BR$6+6&lt;$E16,0,IF(BR$6&gt;$F16,0,$D16*(IF(BR$6+6&lt;$F16,BR$6+6,$F16)-IF(BR$6&gt;$E16,BR$6,$E16)+1)/($F16-$E16+1))))</f>
        <v>0</v>
      </c>
      <c r="BS16" s="98" t="n">
        <f aca="false">IF($E16="",0,IF(BS$6+6&lt;$E16,0,IF(BS$6&gt;$F16,0,$D16*(IF(BS$6+6&lt;$F16,BS$6+6,$F16)-IF(BS$6&gt;$E16,BS$6,$E16)+1)/($F16-$E16+1))))</f>
        <v>0</v>
      </c>
      <c r="BT16" s="98" t="n">
        <f aca="false">IF($E16="",0,IF(BT$6+6&lt;$E16,0,IF(BT$6&gt;$F16,0,$D16*(IF(BT$6+6&lt;$F16,BT$6+6,$F16)-IF(BT$6&gt;$E16,BT$6,$E16)+1)/($F16-$E16+1))))</f>
        <v>0</v>
      </c>
      <c r="BU16" s="98" t="n">
        <f aca="false">IF($E16="",0,IF(BU$6+6&lt;$E16,0,IF(BU$6&gt;$F16,0,$D16*(IF(BU$6+6&lt;$F16,BU$6+6,$F16)-IF(BU$6&gt;$E16,BU$6,$E16)+1)/($F16-$E16+1))))</f>
        <v>0</v>
      </c>
      <c r="BV16" s="98" t="n">
        <f aca="false">IF($E16="",0,IF(BV$6+6&lt;$E16,0,IF(BV$6&gt;$F16,0,$D16*(IF(BV$6+6&lt;$F16,BV$6+6,$F16)-IF(BV$6&gt;$E16,BV$6,$E16)+1)/($F16-$E16+1))))</f>
        <v>0</v>
      </c>
      <c r="BW16" s="98" t="n">
        <f aca="false">IF($E16="",0,IF(BW$6+6&lt;$E16,0,IF(BW$6&gt;$F16,0,$D16*(IF(BW$6+6&lt;$F16,BW$6+6,$F16)-IF(BW$6&gt;$E16,BW$6,$E16)+1)/($F16-$E16+1))))</f>
        <v>0</v>
      </c>
      <c r="BX16" s="98" t="n">
        <f aca="false">IF($E16="",0,IF(BX$6+6&lt;$E16,0,IF(BX$6&gt;$F16,0,$D16*(IF(BX$6+6&lt;$F16,BX$6+6,$F16)-IF(BX$6&gt;$E16,BX$6,$E16)+1)/($F16-$E16+1))))</f>
        <v>0</v>
      </c>
      <c r="BY16" s="98" t="n">
        <f aca="false">IF($E16="",0,IF(BY$6+6&lt;$E16,0,IF(BY$6&gt;$F16,0,$D16*(IF(BY$6+6&lt;$F16,BY$6+6,$F16)-IF(BY$6&gt;$E16,BY$6,$E16)+1)/($F16-$E16+1))))</f>
        <v>0</v>
      </c>
    </row>
    <row r="17" customFormat="false" ht="15" hidden="false" customHeight="false" outlineLevel="0" collapsed="false">
      <c r="A17" s="95"/>
      <c r="B17" s="95"/>
      <c r="C17" s="95" t="s">
        <v>634</v>
      </c>
      <c r="D17" s="96"/>
      <c r="E17" s="99"/>
      <c r="F17" s="99"/>
      <c r="G17" s="100"/>
      <c r="H17" s="101"/>
      <c r="I17" s="101"/>
      <c r="J17" s="101"/>
      <c r="K17" s="101"/>
      <c r="L17" s="101"/>
      <c r="M17" s="101"/>
      <c r="N17" s="101"/>
      <c r="O17" s="101"/>
      <c r="P17" s="101"/>
      <c r="Q17" s="101"/>
      <c r="R17" s="101"/>
      <c r="S17" s="101"/>
      <c r="T17" s="101"/>
      <c r="U17" s="101"/>
      <c r="V17" s="101"/>
      <c r="W17" s="101"/>
      <c r="X17" s="101"/>
      <c r="Y17" s="101"/>
      <c r="Z17" s="101"/>
      <c r="AA17" s="101"/>
      <c r="AB17" s="101"/>
      <c r="AC17" s="101"/>
      <c r="AD17" s="101"/>
      <c r="AE17" s="101"/>
      <c r="AF17" s="101"/>
      <c r="AG17" s="101"/>
      <c r="AH17" s="101"/>
      <c r="AI17" s="101"/>
      <c r="AJ17" s="101"/>
      <c r="AK17" s="101"/>
      <c r="AL17" s="101"/>
      <c r="AM17" s="101"/>
      <c r="AN17" s="101"/>
      <c r="AO17" s="101"/>
      <c r="AP17" s="101"/>
      <c r="AQ17" s="101"/>
      <c r="AR17" s="101"/>
      <c r="AS17" s="101"/>
      <c r="AT17" s="101"/>
      <c r="AU17" s="101"/>
      <c r="AV17" s="101"/>
      <c r="AW17" s="101"/>
      <c r="AX17" s="101"/>
      <c r="AY17" s="101"/>
      <c r="AZ17" s="101"/>
      <c r="BA17" s="101"/>
      <c r="BB17" s="101"/>
      <c r="BC17" s="101"/>
      <c r="BD17" s="101"/>
      <c r="BE17" s="101"/>
      <c r="BF17" s="101"/>
      <c r="BG17" s="101"/>
      <c r="BH17" s="101"/>
      <c r="BI17" s="101"/>
      <c r="BJ17" s="101"/>
      <c r="BK17" s="101"/>
      <c r="BL17" s="101"/>
      <c r="BM17" s="101"/>
      <c r="BN17" s="101"/>
      <c r="BO17" s="101"/>
      <c r="BP17" s="101"/>
      <c r="BQ17" s="101"/>
      <c r="BR17" s="101"/>
      <c r="BS17" s="101"/>
      <c r="BT17" s="101"/>
      <c r="BU17" s="101"/>
      <c r="BV17" s="101"/>
      <c r="BW17" s="101"/>
      <c r="BX17" s="101"/>
      <c r="BY17" s="101"/>
    </row>
    <row r="18" customFormat="false" ht="15" hidden="false" customHeight="false" outlineLevel="0" collapsed="false">
      <c r="A18" s="95" t="s">
        <v>256</v>
      </c>
      <c r="B18" s="95" t="s">
        <v>639</v>
      </c>
      <c r="C18" s="95" t="s">
        <v>633</v>
      </c>
      <c r="D18" s="96" t="n">
        <v>0</v>
      </c>
      <c r="E18" s="97"/>
      <c r="F18" s="97"/>
      <c r="G18" s="95"/>
      <c r="H18" s="98" t="n">
        <f aca="false">IF($E18="",0,IF(H$6+6&lt;$E18,0,IF(H$6&gt;$F18,0,$D18*(IF(H$6+6&lt;$F18,H$6+6,$F18)-IF(H$6&gt;$E18,H$6,$E18)+1)/($F18-$E18+1))))</f>
        <v>0</v>
      </c>
      <c r="I18" s="98" t="n">
        <f aca="false">IF($E18="",0,IF(I$6+6&lt;$E18,0,IF(I$6&gt;$F18,0,$D18*(IF(I$6+6&lt;$F18,I$6+6,$F18)-IF(I$6&gt;$E18,I$6,$E18)+1)/($F18-$E18+1))))</f>
        <v>0</v>
      </c>
      <c r="J18" s="98" t="n">
        <f aca="false">IF($E18="",0,IF(J$6+6&lt;$E18,0,IF(J$6&gt;$F18,0,$D18*(IF(J$6+6&lt;$F18,J$6+6,$F18)-IF(J$6&gt;$E18,J$6,$E18)+1)/($F18-$E18+1))))</f>
        <v>0</v>
      </c>
      <c r="K18" s="98" t="n">
        <f aca="false">IF($E18="",0,IF(K$6+6&lt;$E18,0,IF(K$6&gt;$F18,0,$D18*(IF(K$6+6&lt;$F18,K$6+6,$F18)-IF(K$6&gt;$E18,K$6,$E18)+1)/($F18-$E18+1))))</f>
        <v>0</v>
      </c>
      <c r="L18" s="98" t="n">
        <f aca="false">IF($E18="",0,IF(L$6+6&lt;$E18,0,IF(L$6&gt;$F18,0,$D18*(IF(L$6+6&lt;$F18,L$6+6,$F18)-IF(L$6&gt;$E18,L$6,$E18)+1)/($F18-$E18+1))))</f>
        <v>0</v>
      </c>
      <c r="M18" s="98" t="n">
        <f aca="false">IF($E18="",0,IF(M$6+6&lt;$E18,0,IF(M$6&gt;$F18,0,$D18*(IF(M$6+6&lt;$F18,M$6+6,$F18)-IF(M$6&gt;$E18,M$6,$E18)+1)/($F18-$E18+1))))</f>
        <v>0</v>
      </c>
      <c r="N18" s="98" t="n">
        <f aca="false">IF($E18="",0,IF(N$6+6&lt;$E18,0,IF(N$6&gt;$F18,0,$D18*(IF(N$6+6&lt;$F18,N$6+6,$F18)-IF(N$6&gt;$E18,N$6,$E18)+1)/($F18-$E18+1))))</f>
        <v>0</v>
      </c>
      <c r="O18" s="98" t="n">
        <f aca="false">IF($E18="",0,IF(O$6+6&lt;$E18,0,IF(O$6&gt;$F18,0,$D18*(IF(O$6+6&lt;$F18,O$6+6,$F18)-IF(O$6&gt;$E18,O$6,$E18)+1)/($F18-$E18+1))))</f>
        <v>0</v>
      </c>
      <c r="P18" s="98" t="n">
        <f aca="false">IF($E18="",0,IF(P$6+6&lt;$E18,0,IF(P$6&gt;$F18,0,$D18*(IF(P$6+6&lt;$F18,P$6+6,$F18)-IF(P$6&gt;$E18,P$6,$E18)+1)/($F18-$E18+1))))</f>
        <v>0</v>
      </c>
      <c r="Q18" s="98" t="n">
        <f aca="false">IF($E18="",0,IF(Q$6+6&lt;$E18,0,IF(Q$6&gt;$F18,0,$D18*(IF(Q$6+6&lt;$F18,Q$6+6,$F18)-IF(Q$6&gt;$E18,Q$6,$E18)+1)/($F18-$E18+1))))</f>
        <v>0</v>
      </c>
      <c r="R18" s="98" t="n">
        <f aca="false">IF($E18="",0,IF(R$6+6&lt;$E18,0,IF(R$6&gt;$F18,0,$D18*(IF(R$6+6&lt;$F18,R$6+6,$F18)-IF(R$6&gt;$E18,R$6,$E18)+1)/($F18-$E18+1))))</f>
        <v>0</v>
      </c>
      <c r="S18" s="98" t="n">
        <f aca="false">IF($E18="",0,IF(S$6+6&lt;$E18,0,IF(S$6&gt;$F18,0,$D18*(IF(S$6+6&lt;$F18,S$6+6,$F18)-IF(S$6&gt;$E18,S$6,$E18)+1)/($F18-$E18+1))))</f>
        <v>0</v>
      </c>
      <c r="T18" s="98" t="n">
        <f aca="false">IF($E18="",0,IF(T$6+6&lt;$E18,0,IF(T$6&gt;$F18,0,$D18*(IF(T$6+6&lt;$F18,T$6+6,$F18)-IF(T$6&gt;$E18,T$6,$E18)+1)/($F18-$E18+1))))</f>
        <v>0</v>
      </c>
      <c r="U18" s="98" t="n">
        <f aca="false">IF($E18="",0,IF(U$6+6&lt;$E18,0,IF(U$6&gt;$F18,0,$D18*(IF(U$6+6&lt;$F18,U$6+6,$F18)-IF(U$6&gt;$E18,U$6,$E18)+1)/($F18-$E18+1))))</f>
        <v>0</v>
      </c>
      <c r="V18" s="98" t="n">
        <f aca="false">IF($E18="",0,IF(V$6+6&lt;$E18,0,IF(V$6&gt;$F18,0,$D18*(IF(V$6+6&lt;$F18,V$6+6,$F18)-IF(V$6&gt;$E18,V$6,$E18)+1)/($F18-$E18+1))))</f>
        <v>0</v>
      </c>
      <c r="W18" s="98" t="n">
        <f aca="false">IF($E18="",0,IF(W$6+6&lt;$E18,0,IF(W$6&gt;$F18,0,$D18*(IF(W$6+6&lt;$F18,W$6+6,$F18)-IF(W$6&gt;$E18,W$6,$E18)+1)/($F18-$E18+1))))</f>
        <v>0</v>
      </c>
      <c r="X18" s="98" t="n">
        <f aca="false">IF($E18="",0,IF(X$6+6&lt;$E18,0,IF(X$6&gt;$F18,0,$D18*(IF(X$6+6&lt;$F18,X$6+6,$F18)-IF(X$6&gt;$E18,X$6,$E18)+1)/($F18-$E18+1))))</f>
        <v>0</v>
      </c>
      <c r="Y18" s="98" t="n">
        <f aca="false">IF($E18="",0,IF(Y$6+6&lt;$E18,0,IF(Y$6&gt;$F18,0,$D18*(IF(Y$6+6&lt;$F18,Y$6+6,$F18)-IF(Y$6&gt;$E18,Y$6,$E18)+1)/($F18-$E18+1))))</f>
        <v>0</v>
      </c>
      <c r="Z18" s="98" t="n">
        <f aca="false">IF($E18="",0,IF(Z$6+6&lt;$E18,0,IF(Z$6&gt;$F18,0,$D18*(IF(Z$6+6&lt;$F18,Z$6+6,$F18)-IF(Z$6&gt;$E18,Z$6,$E18)+1)/($F18-$E18+1))))</f>
        <v>0</v>
      </c>
      <c r="AA18" s="98" t="n">
        <f aca="false">IF($E18="",0,IF(AA$6+6&lt;$E18,0,IF(AA$6&gt;$F18,0,$D18*(IF(AA$6+6&lt;$F18,AA$6+6,$F18)-IF(AA$6&gt;$E18,AA$6,$E18)+1)/($F18-$E18+1))))</f>
        <v>0</v>
      </c>
      <c r="AB18" s="98" t="n">
        <f aca="false">IF($E18="",0,IF(AB$6+6&lt;$E18,0,IF(AB$6&gt;$F18,0,$D18*(IF(AB$6+6&lt;$F18,AB$6+6,$F18)-IF(AB$6&gt;$E18,AB$6,$E18)+1)/($F18-$E18+1))))</f>
        <v>0</v>
      </c>
      <c r="AC18" s="98" t="n">
        <f aca="false">IF($E18="",0,IF(AC$6+6&lt;$E18,0,IF(AC$6&gt;$F18,0,$D18*(IF(AC$6+6&lt;$F18,AC$6+6,$F18)-IF(AC$6&gt;$E18,AC$6,$E18)+1)/($F18-$E18+1))))</f>
        <v>0</v>
      </c>
      <c r="AD18" s="98" t="n">
        <f aca="false">IF($E18="",0,IF(AD$6+6&lt;$E18,0,IF(AD$6&gt;$F18,0,$D18*(IF(AD$6+6&lt;$F18,AD$6+6,$F18)-IF(AD$6&gt;$E18,AD$6,$E18)+1)/($F18-$E18+1))))</f>
        <v>0</v>
      </c>
      <c r="AE18" s="98" t="n">
        <f aca="false">IF($E18="",0,IF(AE$6+6&lt;$E18,0,IF(AE$6&gt;$F18,0,$D18*(IF(AE$6+6&lt;$F18,AE$6+6,$F18)-IF(AE$6&gt;$E18,AE$6,$E18)+1)/($F18-$E18+1))))</f>
        <v>0</v>
      </c>
      <c r="AF18" s="98" t="n">
        <f aca="false">IF($E18="",0,IF(AF$6+6&lt;$E18,0,IF(AF$6&gt;$F18,0,$D18*(IF(AF$6+6&lt;$F18,AF$6+6,$F18)-IF(AF$6&gt;$E18,AF$6,$E18)+1)/($F18-$E18+1))))</f>
        <v>0</v>
      </c>
      <c r="AG18" s="98" t="n">
        <f aca="false">IF($E18="",0,IF(AG$6+6&lt;$E18,0,IF(AG$6&gt;$F18,0,$D18*(IF(AG$6+6&lt;$F18,AG$6+6,$F18)-IF(AG$6&gt;$E18,AG$6,$E18)+1)/($F18-$E18+1))))</f>
        <v>0</v>
      </c>
      <c r="AH18" s="98" t="n">
        <f aca="false">IF($E18="",0,IF(AH$6+6&lt;$E18,0,IF(AH$6&gt;$F18,0,$D18*(IF(AH$6+6&lt;$F18,AH$6+6,$F18)-IF(AH$6&gt;$E18,AH$6,$E18)+1)/($F18-$E18+1))))</f>
        <v>0</v>
      </c>
      <c r="AI18" s="98" t="n">
        <f aca="false">IF($E18="",0,IF(AI$6+6&lt;$E18,0,IF(AI$6&gt;$F18,0,$D18*(IF(AI$6+6&lt;$F18,AI$6+6,$F18)-IF(AI$6&gt;$E18,AI$6,$E18)+1)/($F18-$E18+1))))</f>
        <v>0</v>
      </c>
      <c r="AJ18" s="98" t="n">
        <f aca="false">IF($E18="",0,IF(AJ$6+6&lt;$E18,0,IF(AJ$6&gt;$F18,0,$D18*(IF(AJ$6+6&lt;$F18,AJ$6+6,$F18)-IF(AJ$6&gt;$E18,AJ$6,$E18)+1)/($F18-$E18+1))))</f>
        <v>0</v>
      </c>
      <c r="AK18" s="98" t="n">
        <f aca="false">IF($E18="",0,IF(AK$6+6&lt;$E18,0,IF(AK$6&gt;$F18,0,$D18*(IF(AK$6+6&lt;$F18,AK$6+6,$F18)-IF(AK$6&gt;$E18,AK$6,$E18)+1)/($F18-$E18+1))))</f>
        <v>0</v>
      </c>
      <c r="AL18" s="98" t="n">
        <f aca="false">IF($E18="",0,IF(AL$6+6&lt;$E18,0,IF(AL$6&gt;$F18,0,$D18*(IF(AL$6+6&lt;$F18,AL$6+6,$F18)-IF(AL$6&gt;$E18,AL$6,$E18)+1)/($F18-$E18+1))))</f>
        <v>0</v>
      </c>
      <c r="AM18" s="98" t="n">
        <f aca="false">IF($E18="",0,IF(AM$6+6&lt;$E18,0,IF(AM$6&gt;$F18,0,$D18*(IF(AM$6+6&lt;$F18,AM$6+6,$F18)-IF(AM$6&gt;$E18,AM$6,$E18)+1)/($F18-$E18+1))))</f>
        <v>0</v>
      </c>
      <c r="AN18" s="98" t="n">
        <f aca="false">IF($E18="",0,IF(AN$6+6&lt;$E18,0,IF(AN$6&gt;$F18,0,$D18*(IF(AN$6+6&lt;$F18,AN$6+6,$F18)-IF(AN$6&gt;$E18,AN$6,$E18)+1)/($F18-$E18+1))))</f>
        <v>0</v>
      </c>
      <c r="AO18" s="98" t="n">
        <f aca="false">IF($E18="",0,IF(AO$6+6&lt;$E18,0,IF(AO$6&gt;$F18,0,$D18*(IF(AO$6+6&lt;$F18,AO$6+6,$F18)-IF(AO$6&gt;$E18,AO$6,$E18)+1)/($F18-$E18+1))))</f>
        <v>0</v>
      </c>
      <c r="AP18" s="98" t="n">
        <f aca="false">IF($E18="",0,IF(AP$6+6&lt;$E18,0,IF(AP$6&gt;$F18,0,$D18*(IF(AP$6+6&lt;$F18,AP$6+6,$F18)-IF(AP$6&gt;$E18,AP$6,$E18)+1)/($F18-$E18+1))))</f>
        <v>0</v>
      </c>
      <c r="AQ18" s="98" t="n">
        <f aca="false">IF($E18="",0,IF(AQ$6+6&lt;$E18,0,IF(AQ$6&gt;$F18,0,$D18*(IF(AQ$6+6&lt;$F18,AQ$6+6,$F18)-IF(AQ$6&gt;$E18,AQ$6,$E18)+1)/($F18-$E18+1))))</f>
        <v>0</v>
      </c>
      <c r="AR18" s="98" t="n">
        <f aca="false">IF($E18="",0,IF(AR$6+6&lt;$E18,0,IF(AR$6&gt;$F18,0,$D18*(IF(AR$6+6&lt;$F18,AR$6+6,$F18)-IF(AR$6&gt;$E18,AR$6,$E18)+1)/($F18-$E18+1))))</f>
        <v>0</v>
      </c>
      <c r="AS18" s="98" t="n">
        <f aca="false">IF($E18="",0,IF(AS$6+6&lt;$E18,0,IF(AS$6&gt;$F18,0,$D18*(IF(AS$6+6&lt;$F18,AS$6+6,$F18)-IF(AS$6&gt;$E18,AS$6,$E18)+1)/($F18-$E18+1))))</f>
        <v>0</v>
      </c>
      <c r="AT18" s="98" t="n">
        <f aca="false">IF($E18="",0,IF(AT$6+6&lt;$E18,0,IF(AT$6&gt;$F18,0,$D18*(IF(AT$6+6&lt;$F18,AT$6+6,$F18)-IF(AT$6&gt;$E18,AT$6,$E18)+1)/($F18-$E18+1))))</f>
        <v>0</v>
      </c>
      <c r="AU18" s="98" t="n">
        <f aca="false">IF($E18="",0,IF(AU$6+6&lt;$E18,0,IF(AU$6&gt;$F18,0,$D18*(IF(AU$6+6&lt;$F18,AU$6+6,$F18)-IF(AU$6&gt;$E18,AU$6,$E18)+1)/($F18-$E18+1))))</f>
        <v>0</v>
      </c>
      <c r="AV18" s="98" t="n">
        <f aca="false">IF($E18="",0,IF(AV$6+6&lt;$E18,0,IF(AV$6&gt;$F18,0,$D18*(IF(AV$6+6&lt;$F18,AV$6+6,$F18)-IF(AV$6&gt;$E18,AV$6,$E18)+1)/($F18-$E18+1))))</f>
        <v>0</v>
      </c>
      <c r="AW18" s="98" t="n">
        <f aca="false">IF($E18="",0,IF(AW$6+6&lt;$E18,0,IF(AW$6&gt;$F18,0,$D18*(IF(AW$6+6&lt;$F18,AW$6+6,$F18)-IF(AW$6&gt;$E18,AW$6,$E18)+1)/($F18-$E18+1))))</f>
        <v>0</v>
      </c>
      <c r="AX18" s="98" t="n">
        <f aca="false">IF($E18="",0,IF(AX$6+6&lt;$E18,0,IF(AX$6&gt;$F18,0,$D18*(IF(AX$6+6&lt;$F18,AX$6+6,$F18)-IF(AX$6&gt;$E18,AX$6,$E18)+1)/($F18-$E18+1))))</f>
        <v>0</v>
      </c>
      <c r="AY18" s="98" t="n">
        <f aca="false">IF($E18="",0,IF(AY$6+6&lt;$E18,0,IF(AY$6&gt;$F18,0,$D18*(IF(AY$6+6&lt;$F18,AY$6+6,$F18)-IF(AY$6&gt;$E18,AY$6,$E18)+1)/($F18-$E18+1))))</f>
        <v>0</v>
      </c>
      <c r="AZ18" s="98" t="n">
        <f aca="false">IF($E18="",0,IF(AZ$6+6&lt;$E18,0,IF(AZ$6&gt;$F18,0,$D18*(IF(AZ$6+6&lt;$F18,AZ$6+6,$F18)-IF(AZ$6&gt;$E18,AZ$6,$E18)+1)/($F18-$E18+1))))</f>
        <v>0</v>
      </c>
      <c r="BA18" s="98" t="n">
        <f aca="false">IF($E18="",0,IF(BA$6+6&lt;$E18,0,IF(BA$6&gt;$F18,0,$D18*(IF(BA$6+6&lt;$F18,BA$6+6,$F18)-IF(BA$6&gt;$E18,BA$6,$E18)+1)/($F18-$E18+1))))</f>
        <v>0</v>
      </c>
      <c r="BB18" s="98" t="n">
        <f aca="false">IF($E18="",0,IF(BB$6+6&lt;$E18,0,IF(BB$6&gt;$F18,0,$D18*(IF(BB$6+6&lt;$F18,BB$6+6,$F18)-IF(BB$6&gt;$E18,BB$6,$E18)+1)/($F18-$E18+1))))</f>
        <v>0</v>
      </c>
      <c r="BC18" s="98" t="n">
        <f aca="false">IF($E18="",0,IF(BC$6+6&lt;$E18,0,IF(BC$6&gt;$F18,0,$D18*(IF(BC$6+6&lt;$F18,BC$6+6,$F18)-IF(BC$6&gt;$E18,BC$6,$E18)+1)/($F18-$E18+1))))</f>
        <v>0</v>
      </c>
      <c r="BD18" s="98" t="n">
        <f aca="false">IF($E18="",0,IF(BD$6+6&lt;$E18,0,IF(BD$6&gt;$F18,0,$D18*(IF(BD$6+6&lt;$F18,BD$6+6,$F18)-IF(BD$6&gt;$E18,BD$6,$E18)+1)/($F18-$E18+1))))</f>
        <v>0</v>
      </c>
      <c r="BE18" s="98" t="n">
        <f aca="false">IF($E18="",0,IF(BE$6+6&lt;$E18,0,IF(BE$6&gt;$F18,0,$D18*(IF(BE$6+6&lt;$F18,BE$6+6,$F18)-IF(BE$6&gt;$E18,BE$6,$E18)+1)/($F18-$E18+1))))</f>
        <v>0</v>
      </c>
      <c r="BF18" s="98" t="n">
        <f aca="false">IF($E18="",0,IF(BF$6+6&lt;$E18,0,IF(BF$6&gt;$F18,0,$D18*(IF(BF$6+6&lt;$F18,BF$6+6,$F18)-IF(BF$6&gt;$E18,BF$6,$E18)+1)/($F18-$E18+1))))</f>
        <v>0</v>
      </c>
      <c r="BG18" s="98" t="n">
        <f aca="false">IF($E18="",0,IF(BG$6+6&lt;$E18,0,IF(BG$6&gt;$F18,0,$D18*(IF(BG$6+6&lt;$F18,BG$6+6,$F18)-IF(BG$6&gt;$E18,BG$6,$E18)+1)/($F18-$E18+1))))</f>
        <v>0</v>
      </c>
      <c r="BH18" s="98" t="n">
        <f aca="false">IF($E18="",0,IF(BH$6+6&lt;$E18,0,IF(BH$6&gt;$F18,0,$D18*(IF(BH$6+6&lt;$F18,BH$6+6,$F18)-IF(BH$6&gt;$E18,BH$6,$E18)+1)/($F18-$E18+1))))</f>
        <v>0</v>
      </c>
      <c r="BI18" s="98" t="n">
        <f aca="false">IF($E18="",0,IF(BI$6+6&lt;$E18,0,IF(BI$6&gt;$F18,0,$D18*(IF(BI$6+6&lt;$F18,BI$6+6,$F18)-IF(BI$6&gt;$E18,BI$6,$E18)+1)/($F18-$E18+1))))</f>
        <v>0</v>
      </c>
      <c r="BJ18" s="98" t="n">
        <f aca="false">IF($E18="",0,IF(BJ$6+6&lt;$E18,0,IF(BJ$6&gt;$F18,0,$D18*(IF(BJ$6+6&lt;$F18,BJ$6+6,$F18)-IF(BJ$6&gt;$E18,BJ$6,$E18)+1)/($F18-$E18+1))))</f>
        <v>0</v>
      </c>
      <c r="BK18" s="98" t="n">
        <f aca="false">IF($E18="",0,IF(BK$6+6&lt;$E18,0,IF(BK$6&gt;$F18,0,$D18*(IF(BK$6+6&lt;$F18,BK$6+6,$F18)-IF(BK$6&gt;$E18,BK$6,$E18)+1)/($F18-$E18+1))))</f>
        <v>0</v>
      </c>
      <c r="BL18" s="98" t="n">
        <f aca="false">IF($E18="",0,IF(BL$6+6&lt;$E18,0,IF(BL$6&gt;$F18,0,$D18*(IF(BL$6+6&lt;$F18,BL$6+6,$F18)-IF(BL$6&gt;$E18,BL$6,$E18)+1)/($F18-$E18+1))))</f>
        <v>0</v>
      </c>
      <c r="BM18" s="98" t="n">
        <f aca="false">IF($E18="",0,IF(BM$6+6&lt;$E18,0,IF(BM$6&gt;$F18,0,$D18*(IF(BM$6+6&lt;$F18,BM$6+6,$F18)-IF(BM$6&gt;$E18,BM$6,$E18)+1)/($F18-$E18+1))))</f>
        <v>0</v>
      </c>
      <c r="BN18" s="98" t="n">
        <f aca="false">IF($E18="",0,IF(BN$6+6&lt;$E18,0,IF(BN$6&gt;$F18,0,$D18*(IF(BN$6+6&lt;$F18,BN$6+6,$F18)-IF(BN$6&gt;$E18,BN$6,$E18)+1)/($F18-$E18+1))))</f>
        <v>0</v>
      </c>
      <c r="BO18" s="98" t="n">
        <f aca="false">IF($E18="",0,IF(BO$6+6&lt;$E18,0,IF(BO$6&gt;$F18,0,$D18*(IF(BO$6+6&lt;$F18,BO$6+6,$F18)-IF(BO$6&gt;$E18,BO$6,$E18)+1)/($F18-$E18+1))))</f>
        <v>0</v>
      </c>
      <c r="BP18" s="98" t="n">
        <f aca="false">IF($E18="",0,IF(BP$6+6&lt;$E18,0,IF(BP$6&gt;$F18,0,$D18*(IF(BP$6+6&lt;$F18,BP$6+6,$F18)-IF(BP$6&gt;$E18,BP$6,$E18)+1)/($F18-$E18+1))))</f>
        <v>0</v>
      </c>
      <c r="BQ18" s="98" t="n">
        <f aca="false">IF($E18="",0,IF(BQ$6+6&lt;$E18,0,IF(BQ$6&gt;$F18,0,$D18*(IF(BQ$6+6&lt;$F18,BQ$6+6,$F18)-IF(BQ$6&gt;$E18,BQ$6,$E18)+1)/($F18-$E18+1))))</f>
        <v>0</v>
      </c>
      <c r="BR18" s="98" t="n">
        <f aca="false">IF($E18="",0,IF(BR$6+6&lt;$E18,0,IF(BR$6&gt;$F18,0,$D18*(IF(BR$6+6&lt;$F18,BR$6+6,$F18)-IF(BR$6&gt;$E18,BR$6,$E18)+1)/($F18-$E18+1))))</f>
        <v>0</v>
      </c>
      <c r="BS18" s="98" t="n">
        <f aca="false">IF($E18="",0,IF(BS$6+6&lt;$E18,0,IF(BS$6&gt;$F18,0,$D18*(IF(BS$6+6&lt;$F18,BS$6+6,$F18)-IF(BS$6&gt;$E18,BS$6,$E18)+1)/($F18-$E18+1))))</f>
        <v>0</v>
      </c>
      <c r="BT18" s="98" t="n">
        <f aca="false">IF($E18="",0,IF(BT$6+6&lt;$E18,0,IF(BT$6&gt;$F18,0,$D18*(IF(BT$6+6&lt;$F18,BT$6+6,$F18)-IF(BT$6&gt;$E18,BT$6,$E18)+1)/($F18-$E18+1))))</f>
        <v>0</v>
      </c>
      <c r="BU18" s="98" t="n">
        <f aca="false">IF($E18="",0,IF(BU$6+6&lt;$E18,0,IF(BU$6&gt;$F18,0,$D18*(IF(BU$6+6&lt;$F18,BU$6+6,$F18)-IF(BU$6&gt;$E18,BU$6,$E18)+1)/($F18-$E18+1))))</f>
        <v>0</v>
      </c>
      <c r="BV18" s="98" t="n">
        <f aca="false">IF($E18="",0,IF(BV$6+6&lt;$E18,0,IF(BV$6&gt;$F18,0,$D18*(IF(BV$6+6&lt;$F18,BV$6+6,$F18)-IF(BV$6&gt;$E18,BV$6,$E18)+1)/($F18-$E18+1))))</f>
        <v>0</v>
      </c>
      <c r="BW18" s="98" t="n">
        <f aca="false">IF($E18="",0,IF(BW$6+6&lt;$E18,0,IF(BW$6&gt;$F18,0,$D18*(IF(BW$6+6&lt;$F18,BW$6+6,$F18)-IF(BW$6&gt;$E18,BW$6,$E18)+1)/($F18-$E18+1))))</f>
        <v>0</v>
      </c>
      <c r="BX18" s="98" t="n">
        <f aca="false">IF($E18="",0,IF(BX$6+6&lt;$E18,0,IF(BX$6&gt;$F18,0,$D18*(IF(BX$6+6&lt;$F18,BX$6+6,$F18)-IF(BX$6&gt;$E18,BX$6,$E18)+1)/($F18-$E18+1))))</f>
        <v>0</v>
      </c>
      <c r="BY18" s="98" t="n">
        <f aca="false">IF($E18="",0,IF(BY$6+6&lt;$E18,0,IF(BY$6&gt;$F18,0,$D18*(IF(BY$6+6&lt;$F18,BY$6+6,$F18)-IF(BY$6&gt;$E18,BY$6,$E18)+1)/($F18-$E18+1))))</f>
        <v>0</v>
      </c>
    </row>
    <row r="19" customFormat="false" ht="15" hidden="false" customHeight="false" outlineLevel="0" collapsed="false">
      <c r="A19" s="95"/>
      <c r="B19" s="95"/>
      <c r="C19" s="95" t="s">
        <v>634</v>
      </c>
      <c r="D19" s="96"/>
      <c r="E19" s="99"/>
      <c r="F19" s="99"/>
      <c r="G19" s="100"/>
      <c r="H19" s="101"/>
      <c r="I19" s="101"/>
      <c r="J19" s="101"/>
      <c r="K19" s="101"/>
      <c r="L19" s="101"/>
      <c r="M19" s="101"/>
      <c r="N19" s="101"/>
      <c r="O19" s="101"/>
      <c r="P19" s="101"/>
      <c r="Q19" s="101"/>
      <c r="R19" s="101"/>
      <c r="S19" s="101"/>
      <c r="T19" s="101"/>
      <c r="U19" s="101"/>
      <c r="V19" s="101"/>
      <c r="W19" s="101"/>
      <c r="X19" s="101"/>
      <c r="Y19" s="101"/>
      <c r="Z19" s="101"/>
      <c r="AA19" s="101"/>
      <c r="AB19" s="101"/>
      <c r="AC19" s="101"/>
      <c r="AD19" s="101"/>
      <c r="AE19" s="101"/>
      <c r="AF19" s="101"/>
      <c r="AG19" s="101"/>
      <c r="AH19" s="101"/>
      <c r="AI19" s="101"/>
      <c r="AJ19" s="101"/>
      <c r="AK19" s="101"/>
      <c r="AL19" s="101"/>
      <c r="AM19" s="101"/>
      <c r="AN19" s="101"/>
      <c r="AO19" s="101"/>
      <c r="AP19" s="101"/>
      <c r="AQ19" s="101"/>
      <c r="AR19" s="101"/>
      <c r="AS19" s="101"/>
      <c r="AT19" s="101"/>
      <c r="AU19" s="101"/>
      <c r="AV19" s="101"/>
      <c r="AW19" s="101"/>
      <c r="AX19" s="101"/>
      <c r="AY19" s="101"/>
      <c r="AZ19" s="101"/>
      <c r="BA19" s="101"/>
      <c r="BB19" s="101"/>
      <c r="BC19" s="101"/>
      <c r="BD19" s="101"/>
      <c r="BE19" s="101"/>
      <c r="BF19" s="101"/>
      <c r="BG19" s="101"/>
      <c r="BH19" s="101"/>
      <c r="BI19" s="101"/>
      <c r="BJ19" s="101"/>
      <c r="BK19" s="101"/>
      <c r="BL19" s="101"/>
      <c r="BM19" s="101"/>
      <c r="BN19" s="101"/>
      <c r="BO19" s="101"/>
      <c r="BP19" s="101"/>
      <c r="BQ19" s="101"/>
      <c r="BR19" s="101"/>
      <c r="BS19" s="101"/>
      <c r="BT19" s="101"/>
      <c r="BU19" s="101"/>
      <c r="BV19" s="101"/>
      <c r="BW19" s="101"/>
      <c r="BX19" s="101"/>
      <c r="BY19" s="101"/>
    </row>
    <row r="20" customFormat="false" ht="15" hidden="false" customHeight="false" outlineLevel="0" collapsed="false">
      <c r="A20" s="95" t="s">
        <v>640</v>
      </c>
      <c r="B20" s="95" t="s">
        <v>641</v>
      </c>
      <c r="C20" s="95" t="s">
        <v>633</v>
      </c>
      <c r="D20" s="96" t="n">
        <v>1</v>
      </c>
      <c r="E20" s="97" t="n">
        <v>46391</v>
      </c>
      <c r="F20" s="97" t="n">
        <v>46436</v>
      </c>
      <c r="G20" s="95" t="n">
        <v>45</v>
      </c>
      <c r="H20" s="98" t="n">
        <f aca="false">IF($E20="",0,IF(H$6+6&lt;$E20,0,IF(H$6&gt;$F20,0,$D20*(IF(H$6+6&lt;$F20,H$6+6,$F20)-IF(H$6&gt;$E20,H$6,$E20)+1)/($F20-$E20+1))))</f>
        <v>0</v>
      </c>
      <c r="I20" s="98" t="n">
        <f aca="false">IF($E20="",0,IF(I$6+6&lt;$E20,0,IF(I$6&gt;$F20,0,$D20*(IF(I$6+6&lt;$F20,I$6+6,$F20)-IF(I$6&gt;$E20,I$6,$E20)+1)/($F20-$E20+1))))</f>
        <v>0</v>
      </c>
      <c r="J20" s="98" t="n">
        <f aca="false">IF($E20="",0,IF(J$6+6&lt;$E20,0,IF(J$6&gt;$F20,0,$D20*(IF(J$6+6&lt;$F20,J$6+6,$F20)-IF(J$6&gt;$E20,J$6,$E20)+1)/($F20-$E20+1))))</f>
        <v>0</v>
      </c>
      <c r="K20" s="98" t="n">
        <f aca="false">IF($E20="",0,IF(K$6+6&lt;$E20,0,IF(K$6&gt;$F20,0,$D20*(IF(K$6+6&lt;$F20,K$6+6,$F20)-IF(K$6&gt;$E20,K$6,$E20)+1)/($F20-$E20+1))))</f>
        <v>0</v>
      </c>
      <c r="L20" s="98" t="n">
        <f aca="false">IF($E20="",0,IF(L$6+6&lt;$E20,0,IF(L$6&gt;$F20,0,$D20*(IF(L$6+6&lt;$F20,L$6+6,$F20)-IF(L$6&gt;$E20,L$6,$E20)+1)/($F20-$E20+1))))</f>
        <v>0</v>
      </c>
      <c r="M20" s="98" t="n">
        <f aca="false">IF($E20="",0,IF(M$6+6&lt;$E20,0,IF(M$6&gt;$F20,0,$D20*(IF(M$6+6&lt;$F20,M$6+6,$F20)-IF(M$6&gt;$E20,M$6,$E20)+1)/($F20-$E20+1))))</f>
        <v>0</v>
      </c>
      <c r="N20" s="98" t="n">
        <f aca="false">IF($E20="",0,IF(N$6+6&lt;$E20,0,IF(N$6&gt;$F20,0,$D20*(IF(N$6+6&lt;$F20,N$6+6,$F20)-IF(N$6&gt;$E20,N$6,$E20)+1)/($F20-$E20+1))))</f>
        <v>0</v>
      </c>
      <c r="O20" s="98" t="n">
        <f aca="false">IF($E20="",0,IF(O$6+6&lt;$E20,0,IF(O$6&gt;$F20,0,$D20*(IF(O$6+6&lt;$F20,O$6+6,$F20)-IF(O$6&gt;$E20,O$6,$E20)+1)/($F20-$E20+1))))</f>
        <v>0</v>
      </c>
      <c r="P20" s="98" t="n">
        <f aca="false">IF($E20="",0,IF(P$6+6&lt;$E20,0,IF(P$6&gt;$F20,0,$D20*(IF(P$6+6&lt;$F20,P$6+6,$F20)-IF(P$6&gt;$E20,P$6,$E20)+1)/($F20-$E20+1))))</f>
        <v>0</v>
      </c>
      <c r="Q20" s="98" t="n">
        <f aca="false">IF($E20="",0,IF(Q$6+6&lt;$E20,0,IF(Q$6&gt;$F20,0,$D20*(IF(Q$6+6&lt;$F20,Q$6+6,$F20)-IF(Q$6&gt;$E20,Q$6,$E20)+1)/($F20-$E20+1))))</f>
        <v>0</v>
      </c>
      <c r="R20" s="98" t="n">
        <f aca="false">IF($E20="",0,IF(R$6+6&lt;$E20,0,IF(R$6&gt;$F20,0,$D20*(IF(R$6+6&lt;$F20,R$6+6,$F20)-IF(R$6&gt;$E20,R$6,$E20)+1)/($F20-$E20+1))))</f>
        <v>0.152173913043478</v>
      </c>
      <c r="S20" s="98" t="n">
        <f aca="false">IF($E20="",0,IF(S$6+6&lt;$E20,0,IF(S$6&gt;$F20,0,$D20*(IF(S$6+6&lt;$F20,S$6+6,$F20)-IF(S$6&gt;$E20,S$6,$E20)+1)/($F20-$E20+1))))</f>
        <v>0.152173913043478</v>
      </c>
      <c r="T20" s="98" t="n">
        <f aca="false">IF($E20="",0,IF(T$6+6&lt;$E20,0,IF(T$6&gt;$F20,0,$D20*(IF(T$6+6&lt;$F20,T$6+6,$F20)-IF(T$6&gt;$E20,T$6,$E20)+1)/($F20-$E20+1))))</f>
        <v>0.152173913043478</v>
      </c>
      <c r="U20" s="98" t="n">
        <f aca="false">IF($E20="",0,IF(U$6+6&lt;$E20,0,IF(U$6&gt;$F20,0,$D20*(IF(U$6+6&lt;$F20,U$6+6,$F20)-IF(U$6&gt;$E20,U$6,$E20)+1)/($F20-$E20+1))))</f>
        <v>0.152173913043478</v>
      </c>
      <c r="V20" s="98" t="n">
        <f aca="false">IF($E20="",0,IF(V$6+6&lt;$E20,0,IF(V$6&gt;$F20,0,$D20*(IF(V$6+6&lt;$F20,V$6+6,$F20)-IF(V$6&gt;$E20,V$6,$E20)+1)/($F20-$E20+1))))</f>
        <v>0.152173913043478</v>
      </c>
      <c r="W20" s="98" t="n">
        <f aca="false">IF($E20="",0,IF(W$6+6&lt;$E20,0,IF(W$6&gt;$F20,0,$D20*(IF(W$6+6&lt;$F20,W$6+6,$F20)-IF(W$6&gt;$E20,W$6,$E20)+1)/($F20-$E20+1))))</f>
        <v>0.152173913043478</v>
      </c>
      <c r="X20" s="98" t="n">
        <f aca="false">IF($E20="",0,IF(X$6+6&lt;$E20,0,IF(X$6&gt;$F20,0,$D20*(IF(X$6+6&lt;$F20,X$6+6,$F20)-IF(X$6&gt;$E20,X$6,$E20)+1)/($F20-$E20+1))))</f>
        <v>0.0869565217391304</v>
      </c>
      <c r="Y20" s="98" t="n">
        <f aca="false">IF($E20="",0,IF(Y$6+6&lt;$E20,0,IF(Y$6&gt;$F20,0,$D20*(IF(Y$6+6&lt;$F20,Y$6+6,$F20)-IF(Y$6&gt;$E20,Y$6,$E20)+1)/($F20-$E20+1))))</f>
        <v>0</v>
      </c>
      <c r="Z20" s="98" t="n">
        <f aca="false">IF($E20="",0,IF(Z$6+6&lt;$E20,0,IF(Z$6&gt;$F20,0,$D20*(IF(Z$6+6&lt;$F20,Z$6+6,$F20)-IF(Z$6&gt;$E20,Z$6,$E20)+1)/($F20-$E20+1))))</f>
        <v>0</v>
      </c>
      <c r="AA20" s="98" t="n">
        <f aca="false">IF($E20="",0,IF(AA$6+6&lt;$E20,0,IF(AA$6&gt;$F20,0,$D20*(IF(AA$6+6&lt;$F20,AA$6+6,$F20)-IF(AA$6&gt;$E20,AA$6,$E20)+1)/($F20-$E20+1))))</f>
        <v>0</v>
      </c>
      <c r="AB20" s="98" t="n">
        <f aca="false">IF($E20="",0,IF(AB$6+6&lt;$E20,0,IF(AB$6&gt;$F20,0,$D20*(IF(AB$6+6&lt;$F20,AB$6+6,$F20)-IF(AB$6&gt;$E20,AB$6,$E20)+1)/($F20-$E20+1))))</f>
        <v>0</v>
      </c>
      <c r="AC20" s="98" t="n">
        <f aca="false">IF($E20="",0,IF(AC$6+6&lt;$E20,0,IF(AC$6&gt;$F20,0,$D20*(IF(AC$6+6&lt;$F20,AC$6+6,$F20)-IF(AC$6&gt;$E20,AC$6,$E20)+1)/($F20-$E20+1))))</f>
        <v>0</v>
      </c>
      <c r="AD20" s="98" t="n">
        <f aca="false">IF($E20="",0,IF(AD$6+6&lt;$E20,0,IF(AD$6&gt;$F20,0,$D20*(IF(AD$6+6&lt;$F20,AD$6+6,$F20)-IF(AD$6&gt;$E20,AD$6,$E20)+1)/($F20-$E20+1))))</f>
        <v>0</v>
      </c>
      <c r="AE20" s="98" t="n">
        <f aca="false">IF($E20="",0,IF(AE$6+6&lt;$E20,0,IF(AE$6&gt;$F20,0,$D20*(IF(AE$6+6&lt;$F20,AE$6+6,$F20)-IF(AE$6&gt;$E20,AE$6,$E20)+1)/($F20-$E20+1))))</f>
        <v>0</v>
      </c>
      <c r="AF20" s="98" t="n">
        <f aca="false">IF($E20="",0,IF(AF$6+6&lt;$E20,0,IF(AF$6&gt;$F20,0,$D20*(IF(AF$6+6&lt;$F20,AF$6+6,$F20)-IF(AF$6&gt;$E20,AF$6,$E20)+1)/($F20-$E20+1))))</f>
        <v>0</v>
      </c>
      <c r="AG20" s="98" t="n">
        <f aca="false">IF($E20="",0,IF(AG$6+6&lt;$E20,0,IF(AG$6&gt;$F20,0,$D20*(IF(AG$6+6&lt;$F20,AG$6+6,$F20)-IF(AG$6&gt;$E20,AG$6,$E20)+1)/($F20-$E20+1))))</f>
        <v>0</v>
      </c>
      <c r="AH20" s="98" t="n">
        <f aca="false">IF($E20="",0,IF(AH$6+6&lt;$E20,0,IF(AH$6&gt;$F20,0,$D20*(IF(AH$6+6&lt;$F20,AH$6+6,$F20)-IF(AH$6&gt;$E20,AH$6,$E20)+1)/($F20-$E20+1))))</f>
        <v>0</v>
      </c>
      <c r="AI20" s="98" t="n">
        <f aca="false">IF($E20="",0,IF(AI$6+6&lt;$E20,0,IF(AI$6&gt;$F20,0,$D20*(IF(AI$6+6&lt;$F20,AI$6+6,$F20)-IF(AI$6&gt;$E20,AI$6,$E20)+1)/($F20-$E20+1))))</f>
        <v>0</v>
      </c>
      <c r="AJ20" s="98" t="n">
        <f aca="false">IF($E20="",0,IF(AJ$6+6&lt;$E20,0,IF(AJ$6&gt;$F20,0,$D20*(IF(AJ$6+6&lt;$F20,AJ$6+6,$F20)-IF(AJ$6&gt;$E20,AJ$6,$E20)+1)/($F20-$E20+1))))</f>
        <v>0</v>
      </c>
      <c r="AK20" s="98" t="n">
        <f aca="false">IF($E20="",0,IF(AK$6+6&lt;$E20,0,IF(AK$6&gt;$F20,0,$D20*(IF(AK$6+6&lt;$F20,AK$6+6,$F20)-IF(AK$6&gt;$E20,AK$6,$E20)+1)/($F20-$E20+1))))</f>
        <v>0</v>
      </c>
      <c r="AL20" s="98" t="n">
        <f aca="false">IF($E20="",0,IF(AL$6+6&lt;$E20,0,IF(AL$6&gt;$F20,0,$D20*(IF(AL$6+6&lt;$F20,AL$6+6,$F20)-IF(AL$6&gt;$E20,AL$6,$E20)+1)/($F20-$E20+1))))</f>
        <v>0</v>
      </c>
      <c r="AM20" s="98" t="n">
        <f aca="false">IF($E20="",0,IF(AM$6+6&lt;$E20,0,IF(AM$6&gt;$F20,0,$D20*(IF(AM$6+6&lt;$F20,AM$6+6,$F20)-IF(AM$6&gt;$E20,AM$6,$E20)+1)/($F20-$E20+1))))</f>
        <v>0</v>
      </c>
      <c r="AN20" s="98" t="n">
        <f aca="false">IF($E20="",0,IF(AN$6+6&lt;$E20,0,IF(AN$6&gt;$F20,0,$D20*(IF(AN$6+6&lt;$F20,AN$6+6,$F20)-IF(AN$6&gt;$E20,AN$6,$E20)+1)/($F20-$E20+1))))</f>
        <v>0</v>
      </c>
      <c r="AO20" s="98" t="n">
        <f aca="false">IF($E20="",0,IF(AO$6+6&lt;$E20,0,IF(AO$6&gt;$F20,0,$D20*(IF(AO$6+6&lt;$F20,AO$6+6,$F20)-IF(AO$6&gt;$E20,AO$6,$E20)+1)/($F20-$E20+1))))</f>
        <v>0</v>
      </c>
      <c r="AP20" s="98" t="n">
        <f aca="false">IF($E20="",0,IF(AP$6+6&lt;$E20,0,IF(AP$6&gt;$F20,0,$D20*(IF(AP$6+6&lt;$F20,AP$6+6,$F20)-IF(AP$6&gt;$E20,AP$6,$E20)+1)/($F20-$E20+1))))</f>
        <v>0</v>
      </c>
      <c r="AQ20" s="98" t="n">
        <f aca="false">IF($E20="",0,IF(AQ$6+6&lt;$E20,0,IF(AQ$6&gt;$F20,0,$D20*(IF(AQ$6+6&lt;$F20,AQ$6+6,$F20)-IF(AQ$6&gt;$E20,AQ$6,$E20)+1)/($F20-$E20+1))))</f>
        <v>0</v>
      </c>
      <c r="AR20" s="98" t="n">
        <f aca="false">IF($E20="",0,IF(AR$6+6&lt;$E20,0,IF(AR$6&gt;$F20,0,$D20*(IF(AR$6+6&lt;$F20,AR$6+6,$F20)-IF(AR$6&gt;$E20,AR$6,$E20)+1)/($F20-$E20+1))))</f>
        <v>0</v>
      </c>
      <c r="AS20" s="98" t="n">
        <f aca="false">IF($E20="",0,IF(AS$6+6&lt;$E20,0,IF(AS$6&gt;$F20,0,$D20*(IF(AS$6+6&lt;$F20,AS$6+6,$F20)-IF(AS$6&gt;$E20,AS$6,$E20)+1)/($F20-$E20+1))))</f>
        <v>0</v>
      </c>
      <c r="AT20" s="98" t="n">
        <f aca="false">IF($E20="",0,IF(AT$6+6&lt;$E20,0,IF(AT$6&gt;$F20,0,$D20*(IF(AT$6+6&lt;$F20,AT$6+6,$F20)-IF(AT$6&gt;$E20,AT$6,$E20)+1)/($F20-$E20+1))))</f>
        <v>0</v>
      </c>
      <c r="AU20" s="98" t="n">
        <f aca="false">IF($E20="",0,IF(AU$6+6&lt;$E20,0,IF(AU$6&gt;$F20,0,$D20*(IF(AU$6+6&lt;$F20,AU$6+6,$F20)-IF(AU$6&gt;$E20,AU$6,$E20)+1)/($F20-$E20+1))))</f>
        <v>0</v>
      </c>
      <c r="AV20" s="98" t="n">
        <f aca="false">IF($E20="",0,IF(AV$6+6&lt;$E20,0,IF(AV$6&gt;$F20,0,$D20*(IF(AV$6+6&lt;$F20,AV$6+6,$F20)-IF(AV$6&gt;$E20,AV$6,$E20)+1)/($F20-$E20+1))))</f>
        <v>0</v>
      </c>
      <c r="AW20" s="98" t="n">
        <f aca="false">IF($E20="",0,IF(AW$6+6&lt;$E20,0,IF(AW$6&gt;$F20,0,$D20*(IF(AW$6+6&lt;$F20,AW$6+6,$F20)-IF(AW$6&gt;$E20,AW$6,$E20)+1)/($F20-$E20+1))))</f>
        <v>0</v>
      </c>
      <c r="AX20" s="98" t="n">
        <f aca="false">IF($E20="",0,IF(AX$6+6&lt;$E20,0,IF(AX$6&gt;$F20,0,$D20*(IF(AX$6+6&lt;$F20,AX$6+6,$F20)-IF(AX$6&gt;$E20,AX$6,$E20)+1)/($F20-$E20+1))))</f>
        <v>0</v>
      </c>
      <c r="AY20" s="98" t="n">
        <f aca="false">IF($E20="",0,IF(AY$6+6&lt;$E20,0,IF(AY$6&gt;$F20,0,$D20*(IF(AY$6+6&lt;$F20,AY$6+6,$F20)-IF(AY$6&gt;$E20,AY$6,$E20)+1)/($F20-$E20+1))))</f>
        <v>0</v>
      </c>
      <c r="AZ20" s="98" t="n">
        <f aca="false">IF($E20="",0,IF(AZ$6+6&lt;$E20,0,IF(AZ$6&gt;$F20,0,$D20*(IF(AZ$6+6&lt;$F20,AZ$6+6,$F20)-IF(AZ$6&gt;$E20,AZ$6,$E20)+1)/($F20-$E20+1))))</f>
        <v>0</v>
      </c>
      <c r="BA20" s="98" t="n">
        <f aca="false">IF($E20="",0,IF(BA$6+6&lt;$E20,0,IF(BA$6&gt;$F20,0,$D20*(IF(BA$6+6&lt;$F20,BA$6+6,$F20)-IF(BA$6&gt;$E20,BA$6,$E20)+1)/($F20-$E20+1))))</f>
        <v>0</v>
      </c>
      <c r="BB20" s="98" t="n">
        <f aca="false">IF($E20="",0,IF(BB$6+6&lt;$E20,0,IF(BB$6&gt;$F20,0,$D20*(IF(BB$6+6&lt;$F20,BB$6+6,$F20)-IF(BB$6&gt;$E20,BB$6,$E20)+1)/($F20-$E20+1))))</f>
        <v>0</v>
      </c>
      <c r="BC20" s="98" t="n">
        <f aca="false">IF($E20="",0,IF(BC$6+6&lt;$E20,0,IF(BC$6&gt;$F20,0,$D20*(IF(BC$6+6&lt;$F20,BC$6+6,$F20)-IF(BC$6&gt;$E20,BC$6,$E20)+1)/($F20-$E20+1))))</f>
        <v>0</v>
      </c>
      <c r="BD20" s="98" t="n">
        <f aca="false">IF($E20="",0,IF(BD$6+6&lt;$E20,0,IF(BD$6&gt;$F20,0,$D20*(IF(BD$6+6&lt;$F20,BD$6+6,$F20)-IF(BD$6&gt;$E20,BD$6,$E20)+1)/($F20-$E20+1))))</f>
        <v>0</v>
      </c>
      <c r="BE20" s="98" t="n">
        <f aca="false">IF($E20="",0,IF(BE$6+6&lt;$E20,0,IF(BE$6&gt;$F20,0,$D20*(IF(BE$6+6&lt;$F20,BE$6+6,$F20)-IF(BE$6&gt;$E20,BE$6,$E20)+1)/($F20-$E20+1))))</f>
        <v>0</v>
      </c>
      <c r="BF20" s="98" t="n">
        <f aca="false">IF($E20="",0,IF(BF$6+6&lt;$E20,0,IF(BF$6&gt;$F20,0,$D20*(IF(BF$6+6&lt;$F20,BF$6+6,$F20)-IF(BF$6&gt;$E20,BF$6,$E20)+1)/($F20-$E20+1))))</f>
        <v>0</v>
      </c>
      <c r="BG20" s="98" t="n">
        <f aca="false">IF($E20="",0,IF(BG$6+6&lt;$E20,0,IF(BG$6&gt;$F20,0,$D20*(IF(BG$6+6&lt;$F20,BG$6+6,$F20)-IF(BG$6&gt;$E20,BG$6,$E20)+1)/($F20-$E20+1))))</f>
        <v>0</v>
      </c>
      <c r="BH20" s="98" t="n">
        <f aca="false">IF($E20="",0,IF(BH$6+6&lt;$E20,0,IF(BH$6&gt;$F20,0,$D20*(IF(BH$6+6&lt;$F20,BH$6+6,$F20)-IF(BH$6&gt;$E20,BH$6,$E20)+1)/($F20-$E20+1))))</f>
        <v>0</v>
      </c>
      <c r="BI20" s="98" t="n">
        <f aca="false">IF($E20="",0,IF(BI$6+6&lt;$E20,0,IF(BI$6&gt;$F20,0,$D20*(IF(BI$6+6&lt;$F20,BI$6+6,$F20)-IF(BI$6&gt;$E20,BI$6,$E20)+1)/($F20-$E20+1))))</f>
        <v>0</v>
      </c>
      <c r="BJ20" s="98" t="n">
        <f aca="false">IF($E20="",0,IF(BJ$6+6&lt;$E20,0,IF(BJ$6&gt;$F20,0,$D20*(IF(BJ$6+6&lt;$F20,BJ$6+6,$F20)-IF(BJ$6&gt;$E20,BJ$6,$E20)+1)/($F20-$E20+1))))</f>
        <v>0</v>
      </c>
      <c r="BK20" s="98" t="n">
        <f aca="false">IF($E20="",0,IF(BK$6+6&lt;$E20,0,IF(BK$6&gt;$F20,0,$D20*(IF(BK$6+6&lt;$F20,BK$6+6,$F20)-IF(BK$6&gt;$E20,BK$6,$E20)+1)/($F20-$E20+1))))</f>
        <v>0</v>
      </c>
      <c r="BL20" s="98" t="n">
        <f aca="false">IF($E20="",0,IF(BL$6+6&lt;$E20,0,IF(BL$6&gt;$F20,0,$D20*(IF(BL$6+6&lt;$F20,BL$6+6,$F20)-IF(BL$6&gt;$E20,BL$6,$E20)+1)/($F20-$E20+1))))</f>
        <v>0</v>
      </c>
      <c r="BM20" s="98" t="n">
        <f aca="false">IF($E20="",0,IF(BM$6+6&lt;$E20,0,IF(BM$6&gt;$F20,0,$D20*(IF(BM$6+6&lt;$F20,BM$6+6,$F20)-IF(BM$6&gt;$E20,BM$6,$E20)+1)/($F20-$E20+1))))</f>
        <v>0</v>
      </c>
      <c r="BN20" s="98" t="n">
        <f aca="false">IF($E20="",0,IF(BN$6+6&lt;$E20,0,IF(BN$6&gt;$F20,0,$D20*(IF(BN$6+6&lt;$F20,BN$6+6,$F20)-IF(BN$6&gt;$E20,BN$6,$E20)+1)/($F20-$E20+1))))</f>
        <v>0</v>
      </c>
      <c r="BO20" s="98" t="n">
        <f aca="false">IF($E20="",0,IF(BO$6+6&lt;$E20,0,IF(BO$6&gt;$F20,0,$D20*(IF(BO$6+6&lt;$F20,BO$6+6,$F20)-IF(BO$6&gt;$E20,BO$6,$E20)+1)/($F20-$E20+1))))</f>
        <v>0</v>
      </c>
      <c r="BP20" s="98" t="n">
        <f aca="false">IF($E20="",0,IF(BP$6+6&lt;$E20,0,IF(BP$6&gt;$F20,0,$D20*(IF(BP$6+6&lt;$F20,BP$6+6,$F20)-IF(BP$6&gt;$E20,BP$6,$E20)+1)/($F20-$E20+1))))</f>
        <v>0</v>
      </c>
      <c r="BQ20" s="98" t="n">
        <f aca="false">IF($E20="",0,IF(BQ$6+6&lt;$E20,0,IF(BQ$6&gt;$F20,0,$D20*(IF(BQ$6+6&lt;$F20,BQ$6+6,$F20)-IF(BQ$6&gt;$E20,BQ$6,$E20)+1)/($F20-$E20+1))))</f>
        <v>0</v>
      </c>
      <c r="BR20" s="98" t="n">
        <f aca="false">IF($E20="",0,IF(BR$6+6&lt;$E20,0,IF(BR$6&gt;$F20,0,$D20*(IF(BR$6+6&lt;$F20,BR$6+6,$F20)-IF(BR$6&gt;$E20,BR$6,$E20)+1)/($F20-$E20+1))))</f>
        <v>0</v>
      </c>
      <c r="BS20" s="98" t="n">
        <f aca="false">IF($E20="",0,IF(BS$6+6&lt;$E20,0,IF(BS$6&gt;$F20,0,$D20*(IF(BS$6+6&lt;$F20,BS$6+6,$F20)-IF(BS$6&gt;$E20,BS$6,$E20)+1)/($F20-$E20+1))))</f>
        <v>0</v>
      </c>
      <c r="BT20" s="98" t="n">
        <f aca="false">IF($E20="",0,IF(BT$6+6&lt;$E20,0,IF(BT$6&gt;$F20,0,$D20*(IF(BT$6+6&lt;$F20,BT$6+6,$F20)-IF(BT$6&gt;$E20,BT$6,$E20)+1)/($F20-$E20+1))))</f>
        <v>0</v>
      </c>
      <c r="BU20" s="98" t="n">
        <f aca="false">IF($E20="",0,IF(BU$6+6&lt;$E20,0,IF(BU$6&gt;$F20,0,$D20*(IF(BU$6+6&lt;$F20,BU$6+6,$F20)-IF(BU$6&gt;$E20,BU$6,$E20)+1)/($F20-$E20+1))))</f>
        <v>0</v>
      </c>
      <c r="BV20" s="98" t="n">
        <f aca="false">IF($E20="",0,IF(BV$6+6&lt;$E20,0,IF(BV$6&gt;$F20,0,$D20*(IF(BV$6+6&lt;$F20,BV$6+6,$F20)-IF(BV$6&gt;$E20,BV$6,$E20)+1)/($F20-$E20+1))))</f>
        <v>0</v>
      </c>
      <c r="BW20" s="98" t="n">
        <f aca="false">IF($E20="",0,IF(BW$6+6&lt;$E20,0,IF(BW$6&gt;$F20,0,$D20*(IF(BW$6+6&lt;$F20,BW$6+6,$F20)-IF(BW$6&gt;$E20,BW$6,$E20)+1)/($F20-$E20+1))))</f>
        <v>0</v>
      </c>
      <c r="BX20" s="98" t="n">
        <f aca="false">IF($E20="",0,IF(BX$6+6&lt;$E20,0,IF(BX$6&gt;$F20,0,$D20*(IF(BX$6+6&lt;$F20,BX$6+6,$F20)-IF(BX$6&gt;$E20,BX$6,$E20)+1)/($F20-$E20+1))))</f>
        <v>0</v>
      </c>
      <c r="BY20" s="98" t="n">
        <f aca="false">IF($E20="",0,IF(BY$6+6&lt;$E20,0,IF(BY$6&gt;$F20,0,$D20*(IF(BY$6+6&lt;$F20,BY$6+6,$F20)-IF(BY$6&gt;$E20,BY$6,$E20)+1)/($F20-$E20+1))))</f>
        <v>0</v>
      </c>
    </row>
    <row r="21" customFormat="false" ht="15" hidden="false" customHeight="false" outlineLevel="0" collapsed="false">
      <c r="A21" s="95"/>
      <c r="B21" s="95"/>
      <c r="C21" s="95" t="s">
        <v>634</v>
      </c>
      <c r="D21" s="96"/>
      <c r="E21" s="99"/>
      <c r="F21" s="99"/>
      <c r="G21" s="100"/>
      <c r="H21" s="101"/>
      <c r="I21" s="101"/>
      <c r="J21" s="101"/>
      <c r="K21" s="101"/>
      <c r="L21" s="101"/>
      <c r="M21" s="101"/>
      <c r="N21" s="101"/>
      <c r="O21" s="101"/>
      <c r="P21" s="101"/>
      <c r="Q21" s="101"/>
      <c r="R21" s="101"/>
      <c r="S21" s="101"/>
      <c r="T21" s="101"/>
      <c r="U21" s="101"/>
      <c r="V21" s="101"/>
      <c r="W21" s="101"/>
      <c r="X21" s="101"/>
      <c r="Y21" s="101"/>
      <c r="Z21" s="101"/>
      <c r="AA21" s="101"/>
      <c r="AB21" s="101"/>
      <c r="AC21" s="101"/>
      <c r="AD21" s="101"/>
      <c r="AE21" s="101"/>
      <c r="AF21" s="101"/>
      <c r="AG21" s="101"/>
      <c r="AH21" s="101"/>
      <c r="AI21" s="101"/>
      <c r="AJ21" s="101"/>
      <c r="AK21" s="101"/>
      <c r="AL21" s="101"/>
      <c r="AM21" s="101"/>
      <c r="AN21" s="101"/>
      <c r="AO21" s="101"/>
      <c r="AP21" s="101"/>
      <c r="AQ21" s="101"/>
      <c r="AR21" s="101"/>
      <c r="AS21" s="101"/>
      <c r="AT21" s="101"/>
      <c r="AU21" s="101"/>
      <c r="AV21" s="101"/>
      <c r="AW21" s="101"/>
      <c r="AX21" s="101"/>
      <c r="AY21" s="101"/>
      <c r="AZ21" s="101"/>
      <c r="BA21" s="101"/>
      <c r="BB21" s="101"/>
      <c r="BC21" s="101"/>
      <c r="BD21" s="101"/>
      <c r="BE21" s="101"/>
      <c r="BF21" s="101"/>
      <c r="BG21" s="101"/>
      <c r="BH21" s="101"/>
      <c r="BI21" s="101"/>
      <c r="BJ21" s="101"/>
      <c r="BK21" s="101"/>
      <c r="BL21" s="101"/>
      <c r="BM21" s="101"/>
      <c r="BN21" s="101"/>
      <c r="BO21" s="101"/>
      <c r="BP21" s="101"/>
      <c r="BQ21" s="101"/>
      <c r="BR21" s="101"/>
      <c r="BS21" s="101"/>
      <c r="BT21" s="101"/>
      <c r="BU21" s="101"/>
      <c r="BV21" s="101"/>
      <c r="BW21" s="101"/>
      <c r="BX21" s="101"/>
      <c r="BY21" s="101"/>
    </row>
    <row r="22" customFormat="false" ht="15" hidden="false" customHeight="false" outlineLevel="0" collapsed="false">
      <c r="A22" s="93"/>
      <c r="B22" s="94" t="s">
        <v>286</v>
      </c>
      <c r="C22" s="93"/>
      <c r="D22" s="93"/>
      <c r="E22" s="93"/>
      <c r="F22" s="93"/>
      <c r="G22" s="93"/>
      <c r="H22" s="93"/>
      <c r="I22" s="93"/>
      <c r="J22" s="93"/>
      <c r="K22" s="93"/>
      <c r="L22" s="93"/>
      <c r="M22" s="93"/>
      <c r="N22" s="93"/>
      <c r="O22" s="93"/>
      <c r="P22" s="93"/>
      <c r="Q22" s="93"/>
      <c r="R22" s="93"/>
      <c r="S22" s="93"/>
      <c r="T22" s="93"/>
      <c r="U22" s="93"/>
      <c r="V22" s="93"/>
      <c r="W22" s="93"/>
      <c r="X22" s="93"/>
      <c r="Y22" s="93"/>
      <c r="Z22" s="93"/>
      <c r="AA22" s="93"/>
      <c r="AB22" s="93"/>
      <c r="AC22" s="93"/>
      <c r="AD22" s="93"/>
      <c r="AE22" s="93"/>
      <c r="AF22" s="93"/>
      <c r="AG22" s="93"/>
      <c r="AH22" s="93"/>
      <c r="AI22" s="93"/>
      <c r="AJ22" s="93"/>
      <c r="AK22" s="93"/>
      <c r="AL22" s="93"/>
      <c r="AM22" s="93"/>
      <c r="AN22" s="93"/>
      <c r="AO22" s="93"/>
      <c r="AP22" s="93"/>
      <c r="AQ22" s="93"/>
      <c r="AR22" s="93"/>
      <c r="AS22" s="93"/>
      <c r="AT22" s="93"/>
      <c r="AU22" s="93"/>
      <c r="AV22" s="93"/>
      <c r="AW22" s="93"/>
      <c r="AX22" s="93"/>
      <c r="AY22" s="93"/>
      <c r="AZ22" s="93"/>
      <c r="BA22" s="93"/>
      <c r="BB22" s="93"/>
      <c r="BC22" s="93"/>
      <c r="BD22" s="93"/>
      <c r="BE22" s="93"/>
      <c r="BF22" s="93"/>
      <c r="BG22" s="93"/>
      <c r="BH22" s="93"/>
      <c r="BI22" s="93"/>
      <c r="BJ22" s="93"/>
      <c r="BK22" s="93"/>
      <c r="BL22" s="93"/>
      <c r="BM22" s="93"/>
      <c r="BN22" s="93"/>
      <c r="BO22" s="93"/>
      <c r="BP22" s="93"/>
      <c r="BQ22" s="93"/>
      <c r="BR22" s="93"/>
      <c r="BS22" s="93"/>
      <c r="BT22" s="93"/>
      <c r="BU22" s="93"/>
      <c r="BV22" s="93"/>
      <c r="BW22" s="93"/>
      <c r="BX22" s="93"/>
      <c r="BY22" s="93"/>
    </row>
    <row r="23" customFormat="false" ht="15" hidden="false" customHeight="false" outlineLevel="0" collapsed="false">
      <c r="A23" s="95" t="s">
        <v>287</v>
      </c>
      <c r="B23" s="95" t="s">
        <v>642</v>
      </c>
      <c r="C23" s="95" t="s">
        <v>633</v>
      </c>
      <c r="D23" s="96" t="n">
        <v>20</v>
      </c>
      <c r="E23" s="97" t="n">
        <v>46361</v>
      </c>
      <c r="F23" s="97" t="n">
        <v>46378</v>
      </c>
      <c r="G23" s="95" t="n">
        <v>17</v>
      </c>
      <c r="H23" s="98" t="n">
        <f aca="false">IF($E23="",0,IF(H$6+6&lt;$E23,0,IF(H$6&gt;$F23,0,$D23*(IF(H$6+6&lt;$F23,H$6+6,$F23)-IF(H$6&gt;$E23,H$6,$E23)+1)/($F23-$E23+1))))</f>
        <v>0</v>
      </c>
      <c r="I23" s="98" t="n">
        <f aca="false">IF($E23="",0,IF(I$6+6&lt;$E23,0,IF(I$6&gt;$F23,0,$D23*(IF(I$6+6&lt;$F23,I$6+6,$F23)-IF(I$6&gt;$E23,I$6,$E23)+1)/($F23-$E23+1))))</f>
        <v>0</v>
      </c>
      <c r="J23" s="98" t="n">
        <f aca="false">IF($E23="",0,IF(J$6+6&lt;$E23,0,IF(J$6&gt;$F23,0,$D23*(IF(J$6+6&lt;$F23,J$6+6,$F23)-IF(J$6&gt;$E23,J$6,$E23)+1)/($F23-$E23+1))))</f>
        <v>0</v>
      </c>
      <c r="K23" s="98" t="n">
        <f aca="false">IF($E23="",0,IF(K$6+6&lt;$E23,0,IF(K$6&gt;$F23,0,$D23*(IF(K$6+6&lt;$F23,K$6+6,$F23)-IF(K$6&gt;$E23,K$6,$E23)+1)/($F23-$E23+1))))</f>
        <v>0</v>
      </c>
      <c r="L23" s="98" t="n">
        <f aca="false">IF($E23="",0,IF(L$6+6&lt;$E23,0,IF(L$6&gt;$F23,0,$D23*(IF(L$6+6&lt;$F23,L$6+6,$F23)-IF(L$6&gt;$E23,L$6,$E23)+1)/($F23-$E23+1))))</f>
        <v>0</v>
      </c>
      <c r="M23" s="98" t="n">
        <f aca="false">IF($E23="",0,IF(M$6+6&lt;$E23,0,IF(M$6&gt;$F23,0,$D23*(IF(M$6+6&lt;$F23,M$6+6,$F23)-IF(M$6&gt;$E23,M$6,$E23)+1)/($F23-$E23+1))))</f>
        <v>2.22222222222222</v>
      </c>
      <c r="N23" s="98" t="n">
        <f aca="false">IF($E23="",0,IF(N$6+6&lt;$E23,0,IF(N$6&gt;$F23,0,$D23*(IF(N$6+6&lt;$F23,N$6+6,$F23)-IF(N$6&gt;$E23,N$6,$E23)+1)/($F23-$E23+1))))</f>
        <v>7.77777777777778</v>
      </c>
      <c r="O23" s="98" t="n">
        <f aca="false">IF($E23="",0,IF(O$6+6&lt;$E23,0,IF(O$6&gt;$F23,0,$D23*(IF(O$6+6&lt;$F23,O$6+6,$F23)-IF(O$6&gt;$E23,O$6,$E23)+1)/($F23-$E23+1))))</f>
        <v>7.77777777777778</v>
      </c>
      <c r="P23" s="98" t="n">
        <f aca="false">IF($E23="",0,IF(P$6+6&lt;$E23,0,IF(P$6&gt;$F23,0,$D23*(IF(P$6+6&lt;$F23,P$6+6,$F23)-IF(P$6&gt;$E23,P$6,$E23)+1)/($F23-$E23+1))))</f>
        <v>2.22222222222222</v>
      </c>
      <c r="Q23" s="98" t="n">
        <f aca="false">IF($E23="",0,IF(Q$6+6&lt;$E23,0,IF(Q$6&gt;$F23,0,$D23*(IF(Q$6+6&lt;$F23,Q$6+6,$F23)-IF(Q$6&gt;$E23,Q$6,$E23)+1)/($F23-$E23+1))))</f>
        <v>0</v>
      </c>
      <c r="R23" s="98" t="n">
        <f aca="false">IF($E23="",0,IF(R$6+6&lt;$E23,0,IF(R$6&gt;$F23,0,$D23*(IF(R$6+6&lt;$F23,R$6+6,$F23)-IF(R$6&gt;$E23,R$6,$E23)+1)/($F23-$E23+1))))</f>
        <v>0</v>
      </c>
      <c r="S23" s="98" t="n">
        <f aca="false">IF($E23="",0,IF(S$6+6&lt;$E23,0,IF(S$6&gt;$F23,0,$D23*(IF(S$6+6&lt;$F23,S$6+6,$F23)-IF(S$6&gt;$E23,S$6,$E23)+1)/($F23-$E23+1))))</f>
        <v>0</v>
      </c>
      <c r="T23" s="98" t="n">
        <f aca="false">IF($E23="",0,IF(T$6+6&lt;$E23,0,IF(T$6&gt;$F23,0,$D23*(IF(T$6+6&lt;$F23,T$6+6,$F23)-IF(T$6&gt;$E23,T$6,$E23)+1)/($F23-$E23+1))))</f>
        <v>0</v>
      </c>
      <c r="U23" s="98" t="n">
        <f aca="false">IF($E23="",0,IF(U$6+6&lt;$E23,0,IF(U$6&gt;$F23,0,$D23*(IF(U$6+6&lt;$F23,U$6+6,$F23)-IF(U$6&gt;$E23,U$6,$E23)+1)/($F23-$E23+1))))</f>
        <v>0</v>
      </c>
      <c r="V23" s="98" t="n">
        <f aca="false">IF($E23="",0,IF(V$6+6&lt;$E23,0,IF(V$6&gt;$F23,0,$D23*(IF(V$6+6&lt;$F23,V$6+6,$F23)-IF(V$6&gt;$E23,V$6,$E23)+1)/($F23-$E23+1))))</f>
        <v>0</v>
      </c>
      <c r="W23" s="98" t="n">
        <f aca="false">IF($E23="",0,IF(W$6+6&lt;$E23,0,IF(W$6&gt;$F23,0,$D23*(IF(W$6+6&lt;$F23,W$6+6,$F23)-IF(W$6&gt;$E23,W$6,$E23)+1)/($F23-$E23+1))))</f>
        <v>0</v>
      </c>
      <c r="X23" s="98" t="n">
        <f aca="false">IF($E23="",0,IF(X$6+6&lt;$E23,0,IF(X$6&gt;$F23,0,$D23*(IF(X$6+6&lt;$F23,X$6+6,$F23)-IF(X$6&gt;$E23,X$6,$E23)+1)/($F23-$E23+1))))</f>
        <v>0</v>
      </c>
      <c r="Y23" s="98" t="n">
        <f aca="false">IF($E23="",0,IF(Y$6+6&lt;$E23,0,IF(Y$6&gt;$F23,0,$D23*(IF(Y$6+6&lt;$F23,Y$6+6,$F23)-IF(Y$6&gt;$E23,Y$6,$E23)+1)/($F23-$E23+1))))</f>
        <v>0</v>
      </c>
      <c r="Z23" s="98" t="n">
        <f aca="false">IF($E23="",0,IF(Z$6+6&lt;$E23,0,IF(Z$6&gt;$F23,0,$D23*(IF(Z$6+6&lt;$F23,Z$6+6,$F23)-IF(Z$6&gt;$E23,Z$6,$E23)+1)/($F23-$E23+1))))</f>
        <v>0</v>
      </c>
      <c r="AA23" s="98" t="n">
        <f aca="false">IF($E23="",0,IF(AA$6+6&lt;$E23,0,IF(AA$6&gt;$F23,0,$D23*(IF(AA$6+6&lt;$F23,AA$6+6,$F23)-IF(AA$6&gt;$E23,AA$6,$E23)+1)/($F23-$E23+1))))</f>
        <v>0</v>
      </c>
      <c r="AB23" s="98" t="n">
        <f aca="false">IF($E23="",0,IF(AB$6+6&lt;$E23,0,IF(AB$6&gt;$F23,0,$D23*(IF(AB$6+6&lt;$F23,AB$6+6,$F23)-IF(AB$6&gt;$E23,AB$6,$E23)+1)/($F23-$E23+1))))</f>
        <v>0</v>
      </c>
      <c r="AC23" s="98" t="n">
        <f aca="false">IF($E23="",0,IF(AC$6+6&lt;$E23,0,IF(AC$6&gt;$F23,0,$D23*(IF(AC$6+6&lt;$F23,AC$6+6,$F23)-IF(AC$6&gt;$E23,AC$6,$E23)+1)/($F23-$E23+1))))</f>
        <v>0</v>
      </c>
      <c r="AD23" s="98" t="n">
        <f aca="false">IF($E23="",0,IF(AD$6+6&lt;$E23,0,IF(AD$6&gt;$F23,0,$D23*(IF(AD$6+6&lt;$F23,AD$6+6,$F23)-IF(AD$6&gt;$E23,AD$6,$E23)+1)/($F23-$E23+1))))</f>
        <v>0</v>
      </c>
      <c r="AE23" s="98" t="n">
        <f aca="false">IF($E23="",0,IF(AE$6+6&lt;$E23,0,IF(AE$6&gt;$F23,0,$D23*(IF(AE$6+6&lt;$F23,AE$6+6,$F23)-IF(AE$6&gt;$E23,AE$6,$E23)+1)/($F23-$E23+1))))</f>
        <v>0</v>
      </c>
      <c r="AF23" s="98" t="n">
        <f aca="false">IF($E23="",0,IF(AF$6+6&lt;$E23,0,IF(AF$6&gt;$F23,0,$D23*(IF(AF$6+6&lt;$F23,AF$6+6,$F23)-IF(AF$6&gt;$E23,AF$6,$E23)+1)/($F23-$E23+1))))</f>
        <v>0</v>
      </c>
      <c r="AG23" s="98" t="n">
        <f aca="false">IF($E23="",0,IF(AG$6+6&lt;$E23,0,IF(AG$6&gt;$F23,0,$D23*(IF(AG$6+6&lt;$F23,AG$6+6,$F23)-IF(AG$6&gt;$E23,AG$6,$E23)+1)/($F23-$E23+1))))</f>
        <v>0</v>
      </c>
      <c r="AH23" s="98" t="n">
        <f aca="false">IF($E23="",0,IF(AH$6+6&lt;$E23,0,IF(AH$6&gt;$F23,0,$D23*(IF(AH$6+6&lt;$F23,AH$6+6,$F23)-IF(AH$6&gt;$E23,AH$6,$E23)+1)/($F23-$E23+1))))</f>
        <v>0</v>
      </c>
      <c r="AI23" s="98" t="n">
        <f aca="false">IF($E23="",0,IF(AI$6+6&lt;$E23,0,IF(AI$6&gt;$F23,0,$D23*(IF(AI$6+6&lt;$F23,AI$6+6,$F23)-IF(AI$6&gt;$E23,AI$6,$E23)+1)/($F23-$E23+1))))</f>
        <v>0</v>
      </c>
      <c r="AJ23" s="98" t="n">
        <f aca="false">IF($E23="",0,IF(AJ$6+6&lt;$E23,0,IF(AJ$6&gt;$F23,0,$D23*(IF(AJ$6+6&lt;$F23,AJ$6+6,$F23)-IF(AJ$6&gt;$E23,AJ$6,$E23)+1)/($F23-$E23+1))))</f>
        <v>0</v>
      </c>
      <c r="AK23" s="98" t="n">
        <f aca="false">IF($E23="",0,IF(AK$6+6&lt;$E23,0,IF(AK$6&gt;$F23,0,$D23*(IF(AK$6+6&lt;$F23,AK$6+6,$F23)-IF(AK$6&gt;$E23,AK$6,$E23)+1)/($F23-$E23+1))))</f>
        <v>0</v>
      </c>
      <c r="AL23" s="98" t="n">
        <f aca="false">IF($E23="",0,IF(AL$6+6&lt;$E23,0,IF(AL$6&gt;$F23,0,$D23*(IF(AL$6+6&lt;$F23,AL$6+6,$F23)-IF(AL$6&gt;$E23,AL$6,$E23)+1)/($F23-$E23+1))))</f>
        <v>0</v>
      </c>
      <c r="AM23" s="98" t="n">
        <f aca="false">IF($E23="",0,IF(AM$6+6&lt;$E23,0,IF(AM$6&gt;$F23,0,$D23*(IF(AM$6+6&lt;$F23,AM$6+6,$F23)-IF(AM$6&gt;$E23,AM$6,$E23)+1)/($F23-$E23+1))))</f>
        <v>0</v>
      </c>
      <c r="AN23" s="98" t="n">
        <f aca="false">IF($E23="",0,IF(AN$6+6&lt;$E23,0,IF(AN$6&gt;$F23,0,$D23*(IF(AN$6+6&lt;$F23,AN$6+6,$F23)-IF(AN$6&gt;$E23,AN$6,$E23)+1)/($F23-$E23+1))))</f>
        <v>0</v>
      </c>
      <c r="AO23" s="98" t="n">
        <f aca="false">IF($E23="",0,IF(AO$6+6&lt;$E23,0,IF(AO$6&gt;$F23,0,$D23*(IF(AO$6+6&lt;$F23,AO$6+6,$F23)-IF(AO$6&gt;$E23,AO$6,$E23)+1)/($F23-$E23+1))))</f>
        <v>0</v>
      </c>
      <c r="AP23" s="98" t="n">
        <f aca="false">IF($E23="",0,IF(AP$6+6&lt;$E23,0,IF(AP$6&gt;$F23,0,$D23*(IF(AP$6+6&lt;$F23,AP$6+6,$F23)-IF(AP$6&gt;$E23,AP$6,$E23)+1)/($F23-$E23+1))))</f>
        <v>0</v>
      </c>
      <c r="AQ23" s="98" t="n">
        <f aca="false">IF($E23="",0,IF(AQ$6+6&lt;$E23,0,IF(AQ$6&gt;$F23,0,$D23*(IF(AQ$6+6&lt;$F23,AQ$6+6,$F23)-IF(AQ$6&gt;$E23,AQ$6,$E23)+1)/($F23-$E23+1))))</f>
        <v>0</v>
      </c>
      <c r="AR23" s="98" t="n">
        <f aca="false">IF($E23="",0,IF(AR$6+6&lt;$E23,0,IF(AR$6&gt;$F23,0,$D23*(IF(AR$6+6&lt;$F23,AR$6+6,$F23)-IF(AR$6&gt;$E23,AR$6,$E23)+1)/($F23-$E23+1))))</f>
        <v>0</v>
      </c>
      <c r="AS23" s="98" t="n">
        <f aca="false">IF($E23="",0,IF(AS$6+6&lt;$E23,0,IF(AS$6&gt;$F23,0,$D23*(IF(AS$6+6&lt;$F23,AS$6+6,$F23)-IF(AS$6&gt;$E23,AS$6,$E23)+1)/($F23-$E23+1))))</f>
        <v>0</v>
      </c>
      <c r="AT23" s="98" t="n">
        <f aca="false">IF($E23="",0,IF(AT$6+6&lt;$E23,0,IF(AT$6&gt;$F23,0,$D23*(IF(AT$6+6&lt;$F23,AT$6+6,$F23)-IF(AT$6&gt;$E23,AT$6,$E23)+1)/($F23-$E23+1))))</f>
        <v>0</v>
      </c>
      <c r="AU23" s="98" t="n">
        <f aca="false">IF($E23="",0,IF(AU$6+6&lt;$E23,0,IF(AU$6&gt;$F23,0,$D23*(IF(AU$6+6&lt;$F23,AU$6+6,$F23)-IF(AU$6&gt;$E23,AU$6,$E23)+1)/($F23-$E23+1))))</f>
        <v>0</v>
      </c>
      <c r="AV23" s="98" t="n">
        <f aca="false">IF($E23="",0,IF(AV$6+6&lt;$E23,0,IF(AV$6&gt;$F23,0,$D23*(IF(AV$6+6&lt;$F23,AV$6+6,$F23)-IF(AV$6&gt;$E23,AV$6,$E23)+1)/($F23-$E23+1))))</f>
        <v>0</v>
      </c>
      <c r="AW23" s="98" t="n">
        <f aca="false">IF($E23="",0,IF(AW$6+6&lt;$E23,0,IF(AW$6&gt;$F23,0,$D23*(IF(AW$6+6&lt;$F23,AW$6+6,$F23)-IF(AW$6&gt;$E23,AW$6,$E23)+1)/($F23-$E23+1))))</f>
        <v>0</v>
      </c>
      <c r="AX23" s="98" t="n">
        <f aca="false">IF($E23="",0,IF(AX$6+6&lt;$E23,0,IF(AX$6&gt;$F23,0,$D23*(IF(AX$6+6&lt;$F23,AX$6+6,$F23)-IF(AX$6&gt;$E23,AX$6,$E23)+1)/($F23-$E23+1))))</f>
        <v>0</v>
      </c>
      <c r="AY23" s="98" t="n">
        <f aca="false">IF($E23="",0,IF(AY$6+6&lt;$E23,0,IF(AY$6&gt;$F23,0,$D23*(IF(AY$6+6&lt;$F23,AY$6+6,$F23)-IF(AY$6&gt;$E23,AY$6,$E23)+1)/($F23-$E23+1))))</f>
        <v>0</v>
      </c>
      <c r="AZ23" s="98" t="n">
        <f aca="false">IF($E23="",0,IF(AZ$6+6&lt;$E23,0,IF(AZ$6&gt;$F23,0,$D23*(IF(AZ$6+6&lt;$F23,AZ$6+6,$F23)-IF(AZ$6&gt;$E23,AZ$6,$E23)+1)/($F23-$E23+1))))</f>
        <v>0</v>
      </c>
      <c r="BA23" s="98" t="n">
        <f aca="false">IF($E23="",0,IF(BA$6+6&lt;$E23,0,IF(BA$6&gt;$F23,0,$D23*(IF(BA$6+6&lt;$F23,BA$6+6,$F23)-IF(BA$6&gt;$E23,BA$6,$E23)+1)/($F23-$E23+1))))</f>
        <v>0</v>
      </c>
      <c r="BB23" s="98" t="n">
        <f aca="false">IF($E23="",0,IF(BB$6+6&lt;$E23,0,IF(BB$6&gt;$F23,0,$D23*(IF(BB$6+6&lt;$F23,BB$6+6,$F23)-IF(BB$6&gt;$E23,BB$6,$E23)+1)/($F23-$E23+1))))</f>
        <v>0</v>
      </c>
      <c r="BC23" s="98" t="n">
        <f aca="false">IF($E23="",0,IF(BC$6+6&lt;$E23,0,IF(BC$6&gt;$F23,0,$D23*(IF(BC$6+6&lt;$F23,BC$6+6,$F23)-IF(BC$6&gt;$E23,BC$6,$E23)+1)/($F23-$E23+1))))</f>
        <v>0</v>
      </c>
      <c r="BD23" s="98" t="n">
        <f aca="false">IF($E23="",0,IF(BD$6+6&lt;$E23,0,IF(BD$6&gt;$F23,0,$D23*(IF(BD$6+6&lt;$F23,BD$6+6,$F23)-IF(BD$6&gt;$E23,BD$6,$E23)+1)/($F23-$E23+1))))</f>
        <v>0</v>
      </c>
      <c r="BE23" s="98" t="n">
        <f aca="false">IF($E23="",0,IF(BE$6+6&lt;$E23,0,IF(BE$6&gt;$F23,0,$D23*(IF(BE$6+6&lt;$F23,BE$6+6,$F23)-IF(BE$6&gt;$E23,BE$6,$E23)+1)/($F23-$E23+1))))</f>
        <v>0</v>
      </c>
      <c r="BF23" s="98" t="n">
        <f aca="false">IF($E23="",0,IF(BF$6+6&lt;$E23,0,IF(BF$6&gt;$F23,0,$D23*(IF(BF$6+6&lt;$F23,BF$6+6,$F23)-IF(BF$6&gt;$E23,BF$6,$E23)+1)/($F23-$E23+1))))</f>
        <v>0</v>
      </c>
      <c r="BG23" s="98" t="n">
        <f aca="false">IF($E23="",0,IF(BG$6+6&lt;$E23,0,IF(BG$6&gt;$F23,0,$D23*(IF(BG$6+6&lt;$F23,BG$6+6,$F23)-IF(BG$6&gt;$E23,BG$6,$E23)+1)/($F23-$E23+1))))</f>
        <v>0</v>
      </c>
      <c r="BH23" s="98" t="n">
        <f aca="false">IF($E23="",0,IF(BH$6+6&lt;$E23,0,IF(BH$6&gt;$F23,0,$D23*(IF(BH$6+6&lt;$F23,BH$6+6,$F23)-IF(BH$6&gt;$E23,BH$6,$E23)+1)/($F23-$E23+1))))</f>
        <v>0</v>
      </c>
      <c r="BI23" s="98" t="n">
        <f aca="false">IF($E23="",0,IF(BI$6+6&lt;$E23,0,IF(BI$6&gt;$F23,0,$D23*(IF(BI$6+6&lt;$F23,BI$6+6,$F23)-IF(BI$6&gt;$E23,BI$6,$E23)+1)/($F23-$E23+1))))</f>
        <v>0</v>
      </c>
      <c r="BJ23" s="98" t="n">
        <f aca="false">IF($E23="",0,IF(BJ$6+6&lt;$E23,0,IF(BJ$6&gt;$F23,0,$D23*(IF(BJ$6+6&lt;$F23,BJ$6+6,$F23)-IF(BJ$6&gt;$E23,BJ$6,$E23)+1)/($F23-$E23+1))))</f>
        <v>0</v>
      </c>
      <c r="BK23" s="98" t="n">
        <f aca="false">IF($E23="",0,IF(BK$6+6&lt;$E23,0,IF(BK$6&gt;$F23,0,$D23*(IF(BK$6+6&lt;$F23,BK$6+6,$F23)-IF(BK$6&gt;$E23,BK$6,$E23)+1)/($F23-$E23+1))))</f>
        <v>0</v>
      </c>
      <c r="BL23" s="98" t="n">
        <f aca="false">IF($E23="",0,IF(BL$6+6&lt;$E23,0,IF(BL$6&gt;$F23,0,$D23*(IF(BL$6+6&lt;$F23,BL$6+6,$F23)-IF(BL$6&gt;$E23,BL$6,$E23)+1)/($F23-$E23+1))))</f>
        <v>0</v>
      </c>
      <c r="BM23" s="98" t="n">
        <f aca="false">IF($E23="",0,IF(BM$6+6&lt;$E23,0,IF(BM$6&gt;$F23,0,$D23*(IF(BM$6+6&lt;$F23,BM$6+6,$F23)-IF(BM$6&gt;$E23,BM$6,$E23)+1)/($F23-$E23+1))))</f>
        <v>0</v>
      </c>
      <c r="BN23" s="98" t="n">
        <f aca="false">IF($E23="",0,IF(BN$6+6&lt;$E23,0,IF(BN$6&gt;$F23,0,$D23*(IF(BN$6+6&lt;$F23,BN$6+6,$F23)-IF(BN$6&gt;$E23,BN$6,$E23)+1)/($F23-$E23+1))))</f>
        <v>0</v>
      </c>
      <c r="BO23" s="98" t="n">
        <f aca="false">IF($E23="",0,IF(BO$6+6&lt;$E23,0,IF(BO$6&gt;$F23,0,$D23*(IF(BO$6+6&lt;$F23,BO$6+6,$F23)-IF(BO$6&gt;$E23,BO$6,$E23)+1)/($F23-$E23+1))))</f>
        <v>0</v>
      </c>
      <c r="BP23" s="98" t="n">
        <f aca="false">IF($E23="",0,IF(BP$6+6&lt;$E23,0,IF(BP$6&gt;$F23,0,$D23*(IF(BP$6+6&lt;$F23,BP$6+6,$F23)-IF(BP$6&gt;$E23,BP$6,$E23)+1)/($F23-$E23+1))))</f>
        <v>0</v>
      </c>
      <c r="BQ23" s="98" t="n">
        <f aca="false">IF($E23="",0,IF(BQ$6+6&lt;$E23,0,IF(BQ$6&gt;$F23,0,$D23*(IF(BQ$6+6&lt;$F23,BQ$6+6,$F23)-IF(BQ$6&gt;$E23,BQ$6,$E23)+1)/($F23-$E23+1))))</f>
        <v>0</v>
      </c>
      <c r="BR23" s="98" t="n">
        <f aca="false">IF($E23="",0,IF(BR$6+6&lt;$E23,0,IF(BR$6&gt;$F23,0,$D23*(IF(BR$6+6&lt;$F23,BR$6+6,$F23)-IF(BR$6&gt;$E23,BR$6,$E23)+1)/($F23-$E23+1))))</f>
        <v>0</v>
      </c>
      <c r="BS23" s="98" t="n">
        <f aca="false">IF($E23="",0,IF(BS$6+6&lt;$E23,0,IF(BS$6&gt;$F23,0,$D23*(IF(BS$6+6&lt;$F23,BS$6+6,$F23)-IF(BS$6&gt;$E23,BS$6,$E23)+1)/($F23-$E23+1))))</f>
        <v>0</v>
      </c>
      <c r="BT23" s="98" t="n">
        <f aca="false">IF($E23="",0,IF(BT$6+6&lt;$E23,0,IF(BT$6&gt;$F23,0,$D23*(IF(BT$6+6&lt;$F23,BT$6+6,$F23)-IF(BT$6&gt;$E23,BT$6,$E23)+1)/($F23-$E23+1))))</f>
        <v>0</v>
      </c>
      <c r="BU23" s="98" t="n">
        <f aca="false">IF($E23="",0,IF(BU$6+6&lt;$E23,0,IF(BU$6&gt;$F23,0,$D23*(IF(BU$6+6&lt;$F23,BU$6+6,$F23)-IF(BU$6&gt;$E23,BU$6,$E23)+1)/($F23-$E23+1))))</f>
        <v>0</v>
      </c>
      <c r="BV23" s="98" t="n">
        <f aca="false">IF($E23="",0,IF(BV$6+6&lt;$E23,0,IF(BV$6&gt;$F23,0,$D23*(IF(BV$6+6&lt;$F23,BV$6+6,$F23)-IF(BV$6&gt;$E23,BV$6,$E23)+1)/($F23-$E23+1))))</f>
        <v>0</v>
      </c>
      <c r="BW23" s="98" t="n">
        <f aca="false">IF($E23="",0,IF(BW$6+6&lt;$E23,0,IF(BW$6&gt;$F23,0,$D23*(IF(BW$6+6&lt;$F23,BW$6+6,$F23)-IF(BW$6&gt;$E23,BW$6,$E23)+1)/($F23-$E23+1))))</f>
        <v>0</v>
      </c>
      <c r="BX23" s="98" t="n">
        <f aca="false">IF($E23="",0,IF(BX$6+6&lt;$E23,0,IF(BX$6&gt;$F23,0,$D23*(IF(BX$6+6&lt;$F23,BX$6+6,$F23)-IF(BX$6&gt;$E23,BX$6,$E23)+1)/($F23-$E23+1))))</f>
        <v>0</v>
      </c>
      <c r="BY23" s="98" t="n">
        <f aca="false">IF($E23="",0,IF(BY$6+6&lt;$E23,0,IF(BY$6&gt;$F23,0,$D23*(IF(BY$6+6&lt;$F23,BY$6+6,$F23)-IF(BY$6&gt;$E23,BY$6,$E23)+1)/($F23-$E23+1))))</f>
        <v>0</v>
      </c>
    </row>
    <row r="24" customFormat="false" ht="15" hidden="false" customHeight="false" outlineLevel="0" collapsed="false">
      <c r="A24" s="95"/>
      <c r="B24" s="95"/>
      <c r="C24" s="95" t="s">
        <v>634</v>
      </c>
      <c r="D24" s="96"/>
      <c r="E24" s="99"/>
      <c r="F24" s="99"/>
      <c r="G24" s="100"/>
      <c r="H24" s="101"/>
      <c r="I24" s="101"/>
      <c r="J24" s="101"/>
      <c r="K24" s="101"/>
      <c r="L24" s="101"/>
      <c r="M24" s="101"/>
      <c r="N24" s="101"/>
      <c r="O24" s="101"/>
      <c r="P24" s="101"/>
      <c r="Q24" s="101"/>
      <c r="R24" s="101"/>
      <c r="S24" s="101"/>
      <c r="T24" s="101"/>
      <c r="U24" s="101"/>
      <c r="V24" s="101"/>
      <c r="W24" s="101"/>
      <c r="X24" s="101"/>
      <c r="Y24" s="101"/>
      <c r="Z24" s="101"/>
      <c r="AA24" s="101"/>
      <c r="AB24" s="101"/>
      <c r="AC24" s="101"/>
      <c r="AD24" s="101"/>
      <c r="AE24" s="101"/>
      <c r="AF24" s="101"/>
      <c r="AG24" s="101"/>
      <c r="AH24" s="101"/>
      <c r="AI24" s="101"/>
      <c r="AJ24" s="101"/>
      <c r="AK24" s="101"/>
      <c r="AL24" s="101"/>
      <c r="AM24" s="101"/>
      <c r="AN24" s="101"/>
      <c r="AO24" s="101"/>
      <c r="AP24" s="101"/>
      <c r="AQ24" s="101"/>
      <c r="AR24" s="101"/>
      <c r="AS24" s="101"/>
      <c r="AT24" s="101"/>
      <c r="AU24" s="101"/>
      <c r="AV24" s="101"/>
      <c r="AW24" s="101"/>
      <c r="AX24" s="101"/>
      <c r="AY24" s="101"/>
      <c r="AZ24" s="101"/>
      <c r="BA24" s="101"/>
      <c r="BB24" s="101"/>
      <c r="BC24" s="101"/>
      <c r="BD24" s="101"/>
      <c r="BE24" s="101"/>
      <c r="BF24" s="101"/>
      <c r="BG24" s="101"/>
      <c r="BH24" s="101"/>
      <c r="BI24" s="101"/>
      <c r="BJ24" s="101"/>
      <c r="BK24" s="101"/>
      <c r="BL24" s="101"/>
      <c r="BM24" s="101"/>
      <c r="BN24" s="101"/>
      <c r="BO24" s="101"/>
      <c r="BP24" s="101"/>
      <c r="BQ24" s="101"/>
      <c r="BR24" s="101"/>
      <c r="BS24" s="101"/>
      <c r="BT24" s="101"/>
      <c r="BU24" s="101"/>
      <c r="BV24" s="101"/>
      <c r="BW24" s="101"/>
      <c r="BX24" s="101"/>
      <c r="BY24" s="101"/>
    </row>
    <row r="25" customFormat="false" ht="15" hidden="false" customHeight="false" outlineLevel="0" collapsed="false">
      <c r="A25" s="95" t="s">
        <v>322</v>
      </c>
      <c r="B25" s="95" t="s">
        <v>643</v>
      </c>
      <c r="C25" s="95" t="s">
        <v>633</v>
      </c>
      <c r="D25" s="96" t="n">
        <v>10</v>
      </c>
      <c r="E25" s="97" t="n">
        <v>46379</v>
      </c>
      <c r="F25" s="97" t="n">
        <v>46388</v>
      </c>
      <c r="G25" s="95" t="n">
        <v>9</v>
      </c>
      <c r="H25" s="98" t="n">
        <f aca="false">IF($E25="",0,IF(H$6+6&lt;$E25,0,IF(H$6&gt;$F25,0,$D25*(IF(H$6+6&lt;$F25,H$6+6,$F25)-IF(H$6&gt;$E25,H$6,$E25)+1)/($F25-$E25+1))))</f>
        <v>0</v>
      </c>
      <c r="I25" s="98" t="n">
        <f aca="false">IF($E25="",0,IF(I$6+6&lt;$E25,0,IF(I$6&gt;$F25,0,$D25*(IF(I$6+6&lt;$F25,I$6+6,$F25)-IF(I$6&gt;$E25,I$6,$E25)+1)/($F25-$E25+1))))</f>
        <v>0</v>
      </c>
      <c r="J25" s="98" t="n">
        <f aca="false">IF($E25="",0,IF(J$6+6&lt;$E25,0,IF(J$6&gt;$F25,0,$D25*(IF(J$6+6&lt;$F25,J$6+6,$F25)-IF(J$6&gt;$E25,J$6,$E25)+1)/($F25-$E25+1))))</f>
        <v>0</v>
      </c>
      <c r="K25" s="98" t="n">
        <f aca="false">IF($E25="",0,IF(K$6+6&lt;$E25,0,IF(K$6&gt;$F25,0,$D25*(IF(K$6+6&lt;$F25,K$6+6,$F25)-IF(K$6&gt;$E25,K$6,$E25)+1)/($F25-$E25+1))))</f>
        <v>0</v>
      </c>
      <c r="L25" s="98" t="n">
        <f aca="false">IF($E25="",0,IF(L$6+6&lt;$E25,0,IF(L$6&gt;$F25,0,$D25*(IF(L$6+6&lt;$F25,L$6+6,$F25)-IF(L$6&gt;$E25,L$6,$E25)+1)/($F25-$E25+1))))</f>
        <v>0</v>
      </c>
      <c r="M25" s="98" t="n">
        <f aca="false">IF($E25="",0,IF(M$6+6&lt;$E25,0,IF(M$6&gt;$F25,0,$D25*(IF(M$6+6&lt;$F25,M$6+6,$F25)-IF(M$6&gt;$E25,M$6,$E25)+1)/($F25-$E25+1))))</f>
        <v>0</v>
      </c>
      <c r="N25" s="98" t="n">
        <f aca="false">IF($E25="",0,IF(N$6+6&lt;$E25,0,IF(N$6&gt;$F25,0,$D25*(IF(N$6+6&lt;$F25,N$6+6,$F25)-IF(N$6&gt;$E25,N$6,$E25)+1)/($F25-$E25+1))))</f>
        <v>0</v>
      </c>
      <c r="O25" s="98" t="n">
        <f aca="false">IF($E25="",0,IF(O$6+6&lt;$E25,0,IF(O$6&gt;$F25,0,$D25*(IF(O$6+6&lt;$F25,O$6+6,$F25)-IF(O$6&gt;$E25,O$6,$E25)+1)/($F25-$E25+1))))</f>
        <v>0</v>
      </c>
      <c r="P25" s="98" t="n">
        <f aca="false">IF($E25="",0,IF(P$6+6&lt;$E25,0,IF(P$6&gt;$F25,0,$D25*(IF(P$6+6&lt;$F25,P$6+6,$F25)-IF(P$6&gt;$E25,P$6,$E25)+1)/($F25-$E25+1))))</f>
        <v>5</v>
      </c>
      <c r="Q25" s="98" t="n">
        <f aca="false">IF($E25="",0,IF(Q$6+6&lt;$E25,0,IF(Q$6&gt;$F25,0,$D25*(IF(Q$6+6&lt;$F25,Q$6+6,$F25)-IF(Q$6&gt;$E25,Q$6,$E25)+1)/($F25-$E25+1))))</f>
        <v>5</v>
      </c>
      <c r="R25" s="98" t="n">
        <f aca="false">IF($E25="",0,IF(R$6+6&lt;$E25,0,IF(R$6&gt;$F25,0,$D25*(IF(R$6+6&lt;$F25,R$6+6,$F25)-IF(R$6&gt;$E25,R$6,$E25)+1)/($F25-$E25+1))))</f>
        <v>0</v>
      </c>
      <c r="S25" s="98" t="n">
        <f aca="false">IF($E25="",0,IF(S$6+6&lt;$E25,0,IF(S$6&gt;$F25,0,$D25*(IF(S$6+6&lt;$F25,S$6+6,$F25)-IF(S$6&gt;$E25,S$6,$E25)+1)/($F25-$E25+1))))</f>
        <v>0</v>
      </c>
      <c r="T25" s="98" t="n">
        <f aca="false">IF($E25="",0,IF(T$6+6&lt;$E25,0,IF(T$6&gt;$F25,0,$D25*(IF(T$6+6&lt;$F25,T$6+6,$F25)-IF(T$6&gt;$E25,T$6,$E25)+1)/($F25-$E25+1))))</f>
        <v>0</v>
      </c>
      <c r="U25" s="98" t="n">
        <f aca="false">IF($E25="",0,IF(U$6+6&lt;$E25,0,IF(U$6&gt;$F25,0,$D25*(IF(U$6+6&lt;$F25,U$6+6,$F25)-IF(U$6&gt;$E25,U$6,$E25)+1)/($F25-$E25+1))))</f>
        <v>0</v>
      </c>
      <c r="V25" s="98" t="n">
        <f aca="false">IF($E25="",0,IF(V$6+6&lt;$E25,0,IF(V$6&gt;$F25,0,$D25*(IF(V$6+6&lt;$F25,V$6+6,$F25)-IF(V$6&gt;$E25,V$6,$E25)+1)/($F25-$E25+1))))</f>
        <v>0</v>
      </c>
      <c r="W25" s="98" t="n">
        <f aca="false">IF($E25="",0,IF(W$6+6&lt;$E25,0,IF(W$6&gt;$F25,0,$D25*(IF(W$6+6&lt;$F25,W$6+6,$F25)-IF(W$6&gt;$E25,W$6,$E25)+1)/($F25-$E25+1))))</f>
        <v>0</v>
      </c>
      <c r="X25" s="98" t="n">
        <f aca="false">IF($E25="",0,IF(X$6+6&lt;$E25,0,IF(X$6&gt;$F25,0,$D25*(IF(X$6+6&lt;$F25,X$6+6,$F25)-IF(X$6&gt;$E25,X$6,$E25)+1)/($F25-$E25+1))))</f>
        <v>0</v>
      </c>
      <c r="Y25" s="98" t="n">
        <f aca="false">IF($E25="",0,IF(Y$6+6&lt;$E25,0,IF(Y$6&gt;$F25,0,$D25*(IF(Y$6+6&lt;$F25,Y$6+6,$F25)-IF(Y$6&gt;$E25,Y$6,$E25)+1)/($F25-$E25+1))))</f>
        <v>0</v>
      </c>
      <c r="Z25" s="98" t="n">
        <f aca="false">IF($E25="",0,IF(Z$6+6&lt;$E25,0,IF(Z$6&gt;$F25,0,$D25*(IF(Z$6+6&lt;$F25,Z$6+6,$F25)-IF(Z$6&gt;$E25,Z$6,$E25)+1)/($F25-$E25+1))))</f>
        <v>0</v>
      </c>
      <c r="AA25" s="98" t="n">
        <f aca="false">IF($E25="",0,IF(AA$6+6&lt;$E25,0,IF(AA$6&gt;$F25,0,$D25*(IF(AA$6+6&lt;$F25,AA$6+6,$F25)-IF(AA$6&gt;$E25,AA$6,$E25)+1)/($F25-$E25+1))))</f>
        <v>0</v>
      </c>
      <c r="AB25" s="98" t="n">
        <f aca="false">IF($E25="",0,IF(AB$6+6&lt;$E25,0,IF(AB$6&gt;$F25,0,$D25*(IF(AB$6+6&lt;$F25,AB$6+6,$F25)-IF(AB$6&gt;$E25,AB$6,$E25)+1)/($F25-$E25+1))))</f>
        <v>0</v>
      </c>
      <c r="AC25" s="98" t="n">
        <f aca="false">IF($E25="",0,IF(AC$6+6&lt;$E25,0,IF(AC$6&gt;$F25,0,$D25*(IF(AC$6+6&lt;$F25,AC$6+6,$F25)-IF(AC$6&gt;$E25,AC$6,$E25)+1)/($F25-$E25+1))))</f>
        <v>0</v>
      </c>
      <c r="AD25" s="98" t="n">
        <f aca="false">IF($E25="",0,IF(AD$6+6&lt;$E25,0,IF(AD$6&gt;$F25,0,$D25*(IF(AD$6+6&lt;$F25,AD$6+6,$F25)-IF(AD$6&gt;$E25,AD$6,$E25)+1)/($F25-$E25+1))))</f>
        <v>0</v>
      </c>
      <c r="AE25" s="98" t="n">
        <f aca="false">IF($E25="",0,IF(AE$6+6&lt;$E25,0,IF(AE$6&gt;$F25,0,$D25*(IF(AE$6+6&lt;$F25,AE$6+6,$F25)-IF(AE$6&gt;$E25,AE$6,$E25)+1)/($F25-$E25+1))))</f>
        <v>0</v>
      </c>
      <c r="AF25" s="98" t="n">
        <f aca="false">IF($E25="",0,IF(AF$6+6&lt;$E25,0,IF(AF$6&gt;$F25,0,$D25*(IF(AF$6+6&lt;$F25,AF$6+6,$F25)-IF(AF$6&gt;$E25,AF$6,$E25)+1)/($F25-$E25+1))))</f>
        <v>0</v>
      </c>
      <c r="AG25" s="98" t="n">
        <f aca="false">IF($E25="",0,IF(AG$6+6&lt;$E25,0,IF(AG$6&gt;$F25,0,$D25*(IF(AG$6+6&lt;$F25,AG$6+6,$F25)-IF(AG$6&gt;$E25,AG$6,$E25)+1)/($F25-$E25+1))))</f>
        <v>0</v>
      </c>
      <c r="AH25" s="98" t="n">
        <f aca="false">IF($E25="",0,IF(AH$6+6&lt;$E25,0,IF(AH$6&gt;$F25,0,$D25*(IF(AH$6+6&lt;$F25,AH$6+6,$F25)-IF(AH$6&gt;$E25,AH$6,$E25)+1)/($F25-$E25+1))))</f>
        <v>0</v>
      </c>
      <c r="AI25" s="98" t="n">
        <f aca="false">IF($E25="",0,IF(AI$6+6&lt;$E25,0,IF(AI$6&gt;$F25,0,$D25*(IF(AI$6+6&lt;$F25,AI$6+6,$F25)-IF(AI$6&gt;$E25,AI$6,$E25)+1)/($F25-$E25+1))))</f>
        <v>0</v>
      </c>
      <c r="AJ25" s="98" t="n">
        <f aca="false">IF($E25="",0,IF(AJ$6+6&lt;$E25,0,IF(AJ$6&gt;$F25,0,$D25*(IF(AJ$6+6&lt;$F25,AJ$6+6,$F25)-IF(AJ$6&gt;$E25,AJ$6,$E25)+1)/($F25-$E25+1))))</f>
        <v>0</v>
      </c>
      <c r="AK25" s="98" t="n">
        <f aca="false">IF($E25="",0,IF(AK$6+6&lt;$E25,0,IF(AK$6&gt;$F25,0,$D25*(IF(AK$6+6&lt;$F25,AK$6+6,$F25)-IF(AK$6&gt;$E25,AK$6,$E25)+1)/($F25-$E25+1))))</f>
        <v>0</v>
      </c>
      <c r="AL25" s="98" t="n">
        <f aca="false">IF($E25="",0,IF(AL$6+6&lt;$E25,0,IF(AL$6&gt;$F25,0,$D25*(IF(AL$6+6&lt;$F25,AL$6+6,$F25)-IF(AL$6&gt;$E25,AL$6,$E25)+1)/($F25-$E25+1))))</f>
        <v>0</v>
      </c>
      <c r="AM25" s="98" t="n">
        <f aca="false">IF($E25="",0,IF(AM$6+6&lt;$E25,0,IF(AM$6&gt;$F25,0,$D25*(IF(AM$6+6&lt;$F25,AM$6+6,$F25)-IF(AM$6&gt;$E25,AM$6,$E25)+1)/($F25-$E25+1))))</f>
        <v>0</v>
      </c>
      <c r="AN25" s="98" t="n">
        <f aca="false">IF($E25="",0,IF(AN$6+6&lt;$E25,0,IF(AN$6&gt;$F25,0,$D25*(IF(AN$6+6&lt;$F25,AN$6+6,$F25)-IF(AN$6&gt;$E25,AN$6,$E25)+1)/($F25-$E25+1))))</f>
        <v>0</v>
      </c>
      <c r="AO25" s="98" t="n">
        <f aca="false">IF($E25="",0,IF(AO$6+6&lt;$E25,0,IF(AO$6&gt;$F25,0,$D25*(IF(AO$6+6&lt;$F25,AO$6+6,$F25)-IF(AO$6&gt;$E25,AO$6,$E25)+1)/($F25-$E25+1))))</f>
        <v>0</v>
      </c>
      <c r="AP25" s="98" t="n">
        <f aca="false">IF($E25="",0,IF(AP$6+6&lt;$E25,0,IF(AP$6&gt;$F25,0,$D25*(IF(AP$6+6&lt;$F25,AP$6+6,$F25)-IF(AP$6&gt;$E25,AP$6,$E25)+1)/($F25-$E25+1))))</f>
        <v>0</v>
      </c>
      <c r="AQ25" s="98" t="n">
        <f aca="false">IF($E25="",0,IF(AQ$6+6&lt;$E25,0,IF(AQ$6&gt;$F25,0,$D25*(IF(AQ$6+6&lt;$F25,AQ$6+6,$F25)-IF(AQ$6&gt;$E25,AQ$6,$E25)+1)/($F25-$E25+1))))</f>
        <v>0</v>
      </c>
      <c r="AR25" s="98" t="n">
        <f aca="false">IF($E25="",0,IF(AR$6+6&lt;$E25,0,IF(AR$6&gt;$F25,0,$D25*(IF(AR$6+6&lt;$F25,AR$6+6,$F25)-IF(AR$6&gt;$E25,AR$6,$E25)+1)/($F25-$E25+1))))</f>
        <v>0</v>
      </c>
      <c r="AS25" s="98" t="n">
        <f aca="false">IF($E25="",0,IF(AS$6+6&lt;$E25,0,IF(AS$6&gt;$F25,0,$D25*(IF(AS$6+6&lt;$F25,AS$6+6,$F25)-IF(AS$6&gt;$E25,AS$6,$E25)+1)/($F25-$E25+1))))</f>
        <v>0</v>
      </c>
      <c r="AT25" s="98" t="n">
        <f aca="false">IF($E25="",0,IF(AT$6+6&lt;$E25,0,IF(AT$6&gt;$F25,0,$D25*(IF(AT$6+6&lt;$F25,AT$6+6,$F25)-IF(AT$6&gt;$E25,AT$6,$E25)+1)/($F25-$E25+1))))</f>
        <v>0</v>
      </c>
      <c r="AU25" s="98" t="n">
        <f aca="false">IF($E25="",0,IF(AU$6+6&lt;$E25,0,IF(AU$6&gt;$F25,0,$D25*(IF(AU$6+6&lt;$F25,AU$6+6,$F25)-IF(AU$6&gt;$E25,AU$6,$E25)+1)/($F25-$E25+1))))</f>
        <v>0</v>
      </c>
      <c r="AV25" s="98" t="n">
        <f aca="false">IF($E25="",0,IF(AV$6+6&lt;$E25,0,IF(AV$6&gt;$F25,0,$D25*(IF(AV$6+6&lt;$F25,AV$6+6,$F25)-IF(AV$6&gt;$E25,AV$6,$E25)+1)/($F25-$E25+1))))</f>
        <v>0</v>
      </c>
      <c r="AW25" s="98" t="n">
        <f aca="false">IF($E25="",0,IF(AW$6+6&lt;$E25,0,IF(AW$6&gt;$F25,0,$D25*(IF(AW$6+6&lt;$F25,AW$6+6,$F25)-IF(AW$6&gt;$E25,AW$6,$E25)+1)/($F25-$E25+1))))</f>
        <v>0</v>
      </c>
      <c r="AX25" s="98" t="n">
        <f aca="false">IF($E25="",0,IF(AX$6+6&lt;$E25,0,IF(AX$6&gt;$F25,0,$D25*(IF(AX$6+6&lt;$F25,AX$6+6,$F25)-IF(AX$6&gt;$E25,AX$6,$E25)+1)/($F25-$E25+1))))</f>
        <v>0</v>
      </c>
      <c r="AY25" s="98" t="n">
        <f aca="false">IF($E25="",0,IF(AY$6+6&lt;$E25,0,IF(AY$6&gt;$F25,0,$D25*(IF(AY$6+6&lt;$F25,AY$6+6,$F25)-IF(AY$6&gt;$E25,AY$6,$E25)+1)/($F25-$E25+1))))</f>
        <v>0</v>
      </c>
      <c r="AZ25" s="98" t="n">
        <f aca="false">IF($E25="",0,IF(AZ$6+6&lt;$E25,0,IF(AZ$6&gt;$F25,0,$D25*(IF(AZ$6+6&lt;$F25,AZ$6+6,$F25)-IF(AZ$6&gt;$E25,AZ$6,$E25)+1)/($F25-$E25+1))))</f>
        <v>0</v>
      </c>
      <c r="BA25" s="98" t="n">
        <f aca="false">IF($E25="",0,IF(BA$6+6&lt;$E25,0,IF(BA$6&gt;$F25,0,$D25*(IF(BA$6+6&lt;$F25,BA$6+6,$F25)-IF(BA$6&gt;$E25,BA$6,$E25)+1)/($F25-$E25+1))))</f>
        <v>0</v>
      </c>
      <c r="BB25" s="98" t="n">
        <f aca="false">IF($E25="",0,IF(BB$6+6&lt;$E25,0,IF(BB$6&gt;$F25,0,$D25*(IF(BB$6+6&lt;$F25,BB$6+6,$F25)-IF(BB$6&gt;$E25,BB$6,$E25)+1)/($F25-$E25+1))))</f>
        <v>0</v>
      </c>
      <c r="BC25" s="98" t="n">
        <f aca="false">IF($E25="",0,IF(BC$6+6&lt;$E25,0,IF(BC$6&gt;$F25,0,$D25*(IF(BC$6+6&lt;$F25,BC$6+6,$F25)-IF(BC$6&gt;$E25,BC$6,$E25)+1)/($F25-$E25+1))))</f>
        <v>0</v>
      </c>
      <c r="BD25" s="98" t="n">
        <f aca="false">IF($E25="",0,IF(BD$6+6&lt;$E25,0,IF(BD$6&gt;$F25,0,$D25*(IF(BD$6+6&lt;$F25,BD$6+6,$F25)-IF(BD$6&gt;$E25,BD$6,$E25)+1)/($F25-$E25+1))))</f>
        <v>0</v>
      </c>
      <c r="BE25" s="98" t="n">
        <f aca="false">IF($E25="",0,IF(BE$6+6&lt;$E25,0,IF(BE$6&gt;$F25,0,$D25*(IF(BE$6+6&lt;$F25,BE$6+6,$F25)-IF(BE$6&gt;$E25,BE$6,$E25)+1)/($F25-$E25+1))))</f>
        <v>0</v>
      </c>
      <c r="BF25" s="98" t="n">
        <f aca="false">IF($E25="",0,IF(BF$6+6&lt;$E25,0,IF(BF$6&gt;$F25,0,$D25*(IF(BF$6+6&lt;$F25,BF$6+6,$F25)-IF(BF$6&gt;$E25,BF$6,$E25)+1)/($F25-$E25+1))))</f>
        <v>0</v>
      </c>
      <c r="BG25" s="98" t="n">
        <f aca="false">IF($E25="",0,IF(BG$6+6&lt;$E25,0,IF(BG$6&gt;$F25,0,$D25*(IF(BG$6+6&lt;$F25,BG$6+6,$F25)-IF(BG$6&gt;$E25,BG$6,$E25)+1)/($F25-$E25+1))))</f>
        <v>0</v>
      </c>
      <c r="BH25" s="98" t="n">
        <f aca="false">IF($E25="",0,IF(BH$6+6&lt;$E25,0,IF(BH$6&gt;$F25,0,$D25*(IF(BH$6+6&lt;$F25,BH$6+6,$F25)-IF(BH$6&gt;$E25,BH$6,$E25)+1)/($F25-$E25+1))))</f>
        <v>0</v>
      </c>
      <c r="BI25" s="98" t="n">
        <f aca="false">IF($E25="",0,IF(BI$6+6&lt;$E25,0,IF(BI$6&gt;$F25,0,$D25*(IF(BI$6+6&lt;$F25,BI$6+6,$F25)-IF(BI$6&gt;$E25,BI$6,$E25)+1)/($F25-$E25+1))))</f>
        <v>0</v>
      </c>
      <c r="BJ25" s="98" t="n">
        <f aca="false">IF($E25="",0,IF(BJ$6+6&lt;$E25,0,IF(BJ$6&gt;$F25,0,$D25*(IF(BJ$6+6&lt;$F25,BJ$6+6,$F25)-IF(BJ$6&gt;$E25,BJ$6,$E25)+1)/($F25-$E25+1))))</f>
        <v>0</v>
      </c>
      <c r="BK25" s="98" t="n">
        <f aca="false">IF($E25="",0,IF(BK$6+6&lt;$E25,0,IF(BK$6&gt;$F25,0,$D25*(IF(BK$6+6&lt;$F25,BK$6+6,$F25)-IF(BK$6&gt;$E25,BK$6,$E25)+1)/($F25-$E25+1))))</f>
        <v>0</v>
      </c>
      <c r="BL25" s="98" t="n">
        <f aca="false">IF($E25="",0,IF(BL$6+6&lt;$E25,0,IF(BL$6&gt;$F25,0,$D25*(IF(BL$6+6&lt;$F25,BL$6+6,$F25)-IF(BL$6&gt;$E25,BL$6,$E25)+1)/($F25-$E25+1))))</f>
        <v>0</v>
      </c>
      <c r="BM25" s="98" t="n">
        <f aca="false">IF($E25="",0,IF(BM$6+6&lt;$E25,0,IF(BM$6&gt;$F25,0,$D25*(IF(BM$6+6&lt;$F25,BM$6+6,$F25)-IF(BM$6&gt;$E25,BM$6,$E25)+1)/($F25-$E25+1))))</f>
        <v>0</v>
      </c>
      <c r="BN25" s="98" t="n">
        <f aca="false">IF($E25="",0,IF(BN$6+6&lt;$E25,0,IF(BN$6&gt;$F25,0,$D25*(IF(BN$6+6&lt;$F25,BN$6+6,$F25)-IF(BN$6&gt;$E25,BN$6,$E25)+1)/($F25-$E25+1))))</f>
        <v>0</v>
      </c>
      <c r="BO25" s="98" t="n">
        <f aca="false">IF($E25="",0,IF(BO$6+6&lt;$E25,0,IF(BO$6&gt;$F25,0,$D25*(IF(BO$6+6&lt;$F25,BO$6+6,$F25)-IF(BO$6&gt;$E25,BO$6,$E25)+1)/($F25-$E25+1))))</f>
        <v>0</v>
      </c>
      <c r="BP25" s="98" t="n">
        <f aca="false">IF($E25="",0,IF(BP$6+6&lt;$E25,0,IF(BP$6&gt;$F25,0,$D25*(IF(BP$6+6&lt;$F25,BP$6+6,$F25)-IF(BP$6&gt;$E25,BP$6,$E25)+1)/($F25-$E25+1))))</f>
        <v>0</v>
      </c>
      <c r="BQ25" s="98" t="n">
        <f aca="false">IF($E25="",0,IF(BQ$6+6&lt;$E25,0,IF(BQ$6&gt;$F25,0,$D25*(IF(BQ$6+6&lt;$F25,BQ$6+6,$F25)-IF(BQ$6&gt;$E25,BQ$6,$E25)+1)/($F25-$E25+1))))</f>
        <v>0</v>
      </c>
      <c r="BR25" s="98" t="n">
        <f aca="false">IF($E25="",0,IF(BR$6+6&lt;$E25,0,IF(BR$6&gt;$F25,0,$D25*(IF(BR$6+6&lt;$F25,BR$6+6,$F25)-IF(BR$6&gt;$E25,BR$6,$E25)+1)/($F25-$E25+1))))</f>
        <v>0</v>
      </c>
      <c r="BS25" s="98" t="n">
        <f aca="false">IF($E25="",0,IF(BS$6+6&lt;$E25,0,IF(BS$6&gt;$F25,0,$D25*(IF(BS$6+6&lt;$F25,BS$6+6,$F25)-IF(BS$6&gt;$E25,BS$6,$E25)+1)/($F25-$E25+1))))</f>
        <v>0</v>
      </c>
      <c r="BT25" s="98" t="n">
        <f aca="false">IF($E25="",0,IF(BT$6+6&lt;$E25,0,IF(BT$6&gt;$F25,0,$D25*(IF(BT$6+6&lt;$F25,BT$6+6,$F25)-IF(BT$6&gt;$E25,BT$6,$E25)+1)/($F25-$E25+1))))</f>
        <v>0</v>
      </c>
      <c r="BU25" s="98" t="n">
        <f aca="false">IF($E25="",0,IF(BU$6+6&lt;$E25,0,IF(BU$6&gt;$F25,0,$D25*(IF(BU$6+6&lt;$F25,BU$6+6,$F25)-IF(BU$6&gt;$E25,BU$6,$E25)+1)/($F25-$E25+1))))</f>
        <v>0</v>
      </c>
      <c r="BV25" s="98" t="n">
        <f aca="false">IF($E25="",0,IF(BV$6+6&lt;$E25,0,IF(BV$6&gt;$F25,0,$D25*(IF(BV$6+6&lt;$F25,BV$6+6,$F25)-IF(BV$6&gt;$E25,BV$6,$E25)+1)/($F25-$E25+1))))</f>
        <v>0</v>
      </c>
      <c r="BW25" s="98" t="n">
        <f aca="false">IF($E25="",0,IF(BW$6+6&lt;$E25,0,IF(BW$6&gt;$F25,0,$D25*(IF(BW$6+6&lt;$F25,BW$6+6,$F25)-IF(BW$6&gt;$E25,BW$6,$E25)+1)/($F25-$E25+1))))</f>
        <v>0</v>
      </c>
      <c r="BX25" s="98" t="n">
        <f aca="false">IF($E25="",0,IF(BX$6+6&lt;$E25,0,IF(BX$6&gt;$F25,0,$D25*(IF(BX$6+6&lt;$F25,BX$6+6,$F25)-IF(BX$6&gt;$E25,BX$6,$E25)+1)/($F25-$E25+1))))</f>
        <v>0</v>
      </c>
      <c r="BY25" s="98" t="n">
        <f aca="false">IF($E25="",0,IF(BY$6+6&lt;$E25,0,IF(BY$6&gt;$F25,0,$D25*(IF(BY$6+6&lt;$F25,BY$6+6,$F25)-IF(BY$6&gt;$E25,BY$6,$E25)+1)/($F25-$E25+1))))</f>
        <v>0</v>
      </c>
    </row>
    <row r="26" customFormat="false" ht="15" hidden="false" customHeight="false" outlineLevel="0" collapsed="false">
      <c r="A26" s="95"/>
      <c r="B26" s="95"/>
      <c r="C26" s="95" t="s">
        <v>634</v>
      </c>
      <c r="D26" s="96"/>
      <c r="E26" s="99"/>
      <c r="F26" s="99"/>
      <c r="G26" s="100"/>
      <c r="H26" s="101"/>
      <c r="I26" s="101"/>
      <c r="J26" s="101"/>
      <c r="K26" s="101"/>
      <c r="L26" s="101"/>
      <c r="M26" s="101"/>
      <c r="N26" s="101"/>
      <c r="O26" s="101"/>
      <c r="P26" s="101"/>
      <c r="Q26" s="101"/>
      <c r="R26" s="101"/>
      <c r="S26" s="101"/>
      <c r="T26" s="101"/>
      <c r="U26" s="101"/>
      <c r="V26" s="101"/>
      <c r="W26" s="101"/>
      <c r="X26" s="101"/>
      <c r="Y26" s="101"/>
      <c r="Z26" s="101"/>
      <c r="AA26" s="101"/>
      <c r="AB26" s="101"/>
      <c r="AC26" s="101"/>
      <c r="AD26" s="101"/>
      <c r="AE26" s="101"/>
      <c r="AF26" s="101"/>
      <c r="AG26" s="101"/>
      <c r="AH26" s="101"/>
      <c r="AI26" s="101"/>
      <c r="AJ26" s="101"/>
      <c r="AK26" s="101"/>
      <c r="AL26" s="101"/>
      <c r="AM26" s="101"/>
      <c r="AN26" s="101"/>
      <c r="AO26" s="101"/>
      <c r="AP26" s="101"/>
      <c r="AQ26" s="101"/>
      <c r="AR26" s="101"/>
      <c r="AS26" s="101"/>
      <c r="AT26" s="101"/>
      <c r="AU26" s="101"/>
      <c r="AV26" s="101"/>
      <c r="AW26" s="101"/>
      <c r="AX26" s="101"/>
      <c r="AY26" s="101"/>
      <c r="AZ26" s="101"/>
      <c r="BA26" s="101"/>
      <c r="BB26" s="101"/>
      <c r="BC26" s="101"/>
      <c r="BD26" s="101"/>
      <c r="BE26" s="101"/>
      <c r="BF26" s="101"/>
      <c r="BG26" s="101"/>
      <c r="BH26" s="101"/>
      <c r="BI26" s="101"/>
      <c r="BJ26" s="101"/>
      <c r="BK26" s="101"/>
      <c r="BL26" s="101"/>
      <c r="BM26" s="101"/>
      <c r="BN26" s="101"/>
      <c r="BO26" s="101"/>
      <c r="BP26" s="101"/>
      <c r="BQ26" s="101"/>
      <c r="BR26" s="101"/>
      <c r="BS26" s="101"/>
      <c r="BT26" s="101"/>
      <c r="BU26" s="101"/>
      <c r="BV26" s="101"/>
      <c r="BW26" s="101"/>
      <c r="BX26" s="101"/>
      <c r="BY26" s="101"/>
    </row>
    <row r="27" customFormat="false" ht="15" hidden="false" customHeight="false" outlineLevel="0" collapsed="false">
      <c r="A27" s="95" t="s">
        <v>346</v>
      </c>
      <c r="B27" s="95" t="s">
        <v>644</v>
      </c>
      <c r="C27" s="95" t="s">
        <v>633</v>
      </c>
      <c r="D27" s="96" t="n">
        <v>20</v>
      </c>
      <c r="E27" s="97" t="n">
        <v>46379</v>
      </c>
      <c r="F27" s="97" t="n">
        <v>46388</v>
      </c>
      <c r="G27" s="95" t="n">
        <v>9</v>
      </c>
      <c r="H27" s="98" t="n">
        <f aca="false">IF($E27="",0,IF(H$6+6&lt;$E27,0,IF(H$6&gt;$F27,0,$D27*(IF(H$6+6&lt;$F27,H$6+6,$F27)-IF(H$6&gt;$E27,H$6,$E27)+1)/($F27-$E27+1))))</f>
        <v>0</v>
      </c>
      <c r="I27" s="98" t="n">
        <f aca="false">IF($E27="",0,IF(I$6+6&lt;$E27,0,IF(I$6&gt;$F27,0,$D27*(IF(I$6+6&lt;$F27,I$6+6,$F27)-IF(I$6&gt;$E27,I$6,$E27)+1)/($F27-$E27+1))))</f>
        <v>0</v>
      </c>
      <c r="J27" s="98" t="n">
        <f aca="false">IF($E27="",0,IF(J$6+6&lt;$E27,0,IF(J$6&gt;$F27,0,$D27*(IF(J$6+6&lt;$F27,J$6+6,$F27)-IF(J$6&gt;$E27,J$6,$E27)+1)/($F27-$E27+1))))</f>
        <v>0</v>
      </c>
      <c r="K27" s="98" t="n">
        <f aca="false">IF($E27="",0,IF(K$6+6&lt;$E27,0,IF(K$6&gt;$F27,0,$D27*(IF(K$6+6&lt;$F27,K$6+6,$F27)-IF(K$6&gt;$E27,K$6,$E27)+1)/($F27-$E27+1))))</f>
        <v>0</v>
      </c>
      <c r="L27" s="98" t="n">
        <f aca="false">IF($E27="",0,IF(L$6+6&lt;$E27,0,IF(L$6&gt;$F27,0,$D27*(IF(L$6+6&lt;$F27,L$6+6,$F27)-IF(L$6&gt;$E27,L$6,$E27)+1)/($F27-$E27+1))))</f>
        <v>0</v>
      </c>
      <c r="M27" s="98" t="n">
        <f aca="false">IF($E27="",0,IF(M$6+6&lt;$E27,0,IF(M$6&gt;$F27,0,$D27*(IF(M$6+6&lt;$F27,M$6+6,$F27)-IF(M$6&gt;$E27,M$6,$E27)+1)/($F27-$E27+1))))</f>
        <v>0</v>
      </c>
      <c r="N27" s="98" t="n">
        <f aca="false">IF($E27="",0,IF(N$6+6&lt;$E27,0,IF(N$6&gt;$F27,0,$D27*(IF(N$6+6&lt;$F27,N$6+6,$F27)-IF(N$6&gt;$E27,N$6,$E27)+1)/($F27-$E27+1))))</f>
        <v>0</v>
      </c>
      <c r="O27" s="98" t="n">
        <f aca="false">IF($E27="",0,IF(O$6+6&lt;$E27,0,IF(O$6&gt;$F27,0,$D27*(IF(O$6+6&lt;$F27,O$6+6,$F27)-IF(O$6&gt;$E27,O$6,$E27)+1)/($F27-$E27+1))))</f>
        <v>0</v>
      </c>
      <c r="P27" s="98" t="n">
        <f aca="false">IF($E27="",0,IF(P$6+6&lt;$E27,0,IF(P$6&gt;$F27,0,$D27*(IF(P$6+6&lt;$F27,P$6+6,$F27)-IF(P$6&gt;$E27,P$6,$E27)+1)/($F27-$E27+1))))</f>
        <v>10</v>
      </c>
      <c r="Q27" s="98" t="n">
        <f aca="false">IF($E27="",0,IF(Q$6+6&lt;$E27,0,IF(Q$6&gt;$F27,0,$D27*(IF(Q$6+6&lt;$F27,Q$6+6,$F27)-IF(Q$6&gt;$E27,Q$6,$E27)+1)/($F27-$E27+1))))</f>
        <v>10</v>
      </c>
      <c r="R27" s="98" t="n">
        <f aca="false">IF($E27="",0,IF(R$6+6&lt;$E27,0,IF(R$6&gt;$F27,0,$D27*(IF(R$6+6&lt;$F27,R$6+6,$F27)-IF(R$6&gt;$E27,R$6,$E27)+1)/($F27-$E27+1))))</f>
        <v>0</v>
      </c>
      <c r="S27" s="98" t="n">
        <f aca="false">IF($E27="",0,IF(S$6+6&lt;$E27,0,IF(S$6&gt;$F27,0,$D27*(IF(S$6+6&lt;$F27,S$6+6,$F27)-IF(S$6&gt;$E27,S$6,$E27)+1)/($F27-$E27+1))))</f>
        <v>0</v>
      </c>
      <c r="T27" s="98" t="n">
        <f aca="false">IF($E27="",0,IF(T$6+6&lt;$E27,0,IF(T$6&gt;$F27,0,$D27*(IF(T$6+6&lt;$F27,T$6+6,$F27)-IF(T$6&gt;$E27,T$6,$E27)+1)/($F27-$E27+1))))</f>
        <v>0</v>
      </c>
      <c r="U27" s="98" t="n">
        <f aca="false">IF($E27="",0,IF(U$6+6&lt;$E27,0,IF(U$6&gt;$F27,0,$D27*(IF(U$6+6&lt;$F27,U$6+6,$F27)-IF(U$6&gt;$E27,U$6,$E27)+1)/($F27-$E27+1))))</f>
        <v>0</v>
      </c>
      <c r="V27" s="98" t="n">
        <f aca="false">IF($E27="",0,IF(V$6+6&lt;$E27,0,IF(V$6&gt;$F27,0,$D27*(IF(V$6+6&lt;$F27,V$6+6,$F27)-IF(V$6&gt;$E27,V$6,$E27)+1)/($F27-$E27+1))))</f>
        <v>0</v>
      </c>
      <c r="W27" s="98" t="n">
        <f aca="false">IF($E27="",0,IF(W$6+6&lt;$E27,0,IF(W$6&gt;$F27,0,$D27*(IF(W$6+6&lt;$F27,W$6+6,$F27)-IF(W$6&gt;$E27,W$6,$E27)+1)/($F27-$E27+1))))</f>
        <v>0</v>
      </c>
      <c r="X27" s="98" t="n">
        <f aca="false">IF($E27="",0,IF(X$6+6&lt;$E27,0,IF(X$6&gt;$F27,0,$D27*(IF(X$6+6&lt;$F27,X$6+6,$F27)-IF(X$6&gt;$E27,X$6,$E27)+1)/($F27-$E27+1))))</f>
        <v>0</v>
      </c>
      <c r="Y27" s="98" t="n">
        <f aca="false">IF($E27="",0,IF(Y$6+6&lt;$E27,0,IF(Y$6&gt;$F27,0,$D27*(IF(Y$6+6&lt;$F27,Y$6+6,$F27)-IF(Y$6&gt;$E27,Y$6,$E27)+1)/($F27-$E27+1))))</f>
        <v>0</v>
      </c>
      <c r="Z27" s="98" t="n">
        <f aca="false">IF($E27="",0,IF(Z$6+6&lt;$E27,0,IF(Z$6&gt;$F27,0,$D27*(IF(Z$6+6&lt;$F27,Z$6+6,$F27)-IF(Z$6&gt;$E27,Z$6,$E27)+1)/($F27-$E27+1))))</f>
        <v>0</v>
      </c>
      <c r="AA27" s="98" t="n">
        <f aca="false">IF($E27="",0,IF(AA$6+6&lt;$E27,0,IF(AA$6&gt;$F27,0,$D27*(IF(AA$6+6&lt;$F27,AA$6+6,$F27)-IF(AA$6&gt;$E27,AA$6,$E27)+1)/($F27-$E27+1))))</f>
        <v>0</v>
      </c>
      <c r="AB27" s="98" t="n">
        <f aca="false">IF($E27="",0,IF(AB$6+6&lt;$E27,0,IF(AB$6&gt;$F27,0,$D27*(IF(AB$6+6&lt;$F27,AB$6+6,$F27)-IF(AB$6&gt;$E27,AB$6,$E27)+1)/($F27-$E27+1))))</f>
        <v>0</v>
      </c>
      <c r="AC27" s="98" t="n">
        <f aca="false">IF($E27="",0,IF(AC$6+6&lt;$E27,0,IF(AC$6&gt;$F27,0,$D27*(IF(AC$6+6&lt;$F27,AC$6+6,$F27)-IF(AC$6&gt;$E27,AC$6,$E27)+1)/($F27-$E27+1))))</f>
        <v>0</v>
      </c>
      <c r="AD27" s="98" t="n">
        <f aca="false">IF($E27="",0,IF(AD$6+6&lt;$E27,0,IF(AD$6&gt;$F27,0,$D27*(IF(AD$6+6&lt;$F27,AD$6+6,$F27)-IF(AD$6&gt;$E27,AD$6,$E27)+1)/($F27-$E27+1))))</f>
        <v>0</v>
      </c>
      <c r="AE27" s="98" t="n">
        <f aca="false">IF($E27="",0,IF(AE$6+6&lt;$E27,0,IF(AE$6&gt;$F27,0,$D27*(IF(AE$6+6&lt;$F27,AE$6+6,$F27)-IF(AE$6&gt;$E27,AE$6,$E27)+1)/($F27-$E27+1))))</f>
        <v>0</v>
      </c>
      <c r="AF27" s="98" t="n">
        <f aca="false">IF($E27="",0,IF(AF$6+6&lt;$E27,0,IF(AF$6&gt;$F27,0,$D27*(IF(AF$6+6&lt;$F27,AF$6+6,$F27)-IF(AF$6&gt;$E27,AF$6,$E27)+1)/($F27-$E27+1))))</f>
        <v>0</v>
      </c>
      <c r="AG27" s="98" t="n">
        <f aca="false">IF($E27="",0,IF(AG$6+6&lt;$E27,0,IF(AG$6&gt;$F27,0,$D27*(IF(AG$6+6&lt;$F27,AG$6+6,$F27)-IF(AG$6&gt;$E27,AG$6,$E27)+1)/($F27-$E27+1))))</f>
        <v>0</v>
      </c>
      <c r="AH27" s="98" t="n">
        <f aca="false">IF($E27="",0,IF(AH$6+6&lt;$E27,0,IF(AH$6&gt;$F27,0,$D27*(IF(AH$6+6&lt;$F27,AH$6+6,$F27)-IF(AH$6&gt;$E27,AH$6,$E27)+1)/($F27-$E27+1))))</f>
        <v>0</v>
      </c>
      <c r="AI27" s="98" t="n">
        <f aca="false">IF($E27="",0,IF(AI$6+6&lt;$E27,0,IF(AI$6&gt;$F27,0,$D27*(IF(AI$6+6&lt;$F27,AI$6+6,$F27)-IF(AI$6&gt;$E27,AI$6,$E27)+1)/($F27-$E27+1))))</f>
        <v>0</v>
      </c>
      <c r="AJ27" s="98" t="n">
        <f aca="false">IF($E27="",0,IF(AJ$6+6&lt;$E27,0,IF(AJ$6&gt;$F27,0,$D27*(IF(AJ$6+6&lt;$F27,AJ$6+6,$F27)-IF(AJ$6&gt;$E27,AJ$6,$E27)+1)/($F27-$E27+1))))</f>
        <v>0</v>
      </c>
      <c r="AK27" s="98" t="n">
        <f aca="false">IF($E27="",0,IF(AK$6+6&lt;$E27,0,IF(AK$6&gt;$F27,0,$D27*(IF(AK$6+6&lt;$F27,AK$6+6,$F27)-IF(AK$6&gt;$E27,AK$6,$E27)+1)/($F27-$E27+1))))</f>
        <v>0</v>
      </c>
      <c r="AL27" s="98" t="n">
        <f aca="false">IF($E27="",0,IF(AL$6+6&lt;$E27,0,IF(AL$6&gt;$F27,0,$D27*(IF(AL$6+6&lt;$F27,AL$6+6,$F27)-IF(AL$6&gt;$E27,AL$6,$E27)+1)/($F27-$E27+1))))</f>
        <v>0</v>
      </c>
      <c r="AM27" s="98" t="n">
        <f aca="false">IF($E27="",0,IF(AM$6+6&lt;$E27,0,IF(AM$6&gt;$F27,0,$D27*(IF(AM$6+6&lt;$F27,AM$6+6,$F27)-IF(AM$6&gt;$E27,AM$6,$E27)+1)/($F27-$E27+1))))</f>
        <v>0</v>
      </c>
      <c r="AN27" s="98" t="n">
        <f aca="false">IF($E27="",0,IF(AN$6+6&lt;$E27,0,IF(AN$6&gt;$F27,0,$D27*(IF(AN$6+6&lt;$F27,AN$6+6,$F27)-IF(AN$6&gt;$E27,AN$6,$E27)+1)/($F27-$E27+1))))</f>
        <v>0</v>
      </c>
      <c r="AO27" s="98" t="n">
        <f aca="false">IF($E27="",0,IF(AO$6+6&lt;$E27,0,IF(AO$6&gt;$F27,0,$D27*(IF(AO$6+6&lt;$F27,AO$6+6,$F27)-IF(AO$6&gt;$E27,AO$6,$E27)+1)/($F27-$E27+1))))</f>
        <v>0</v>
      </c>
      <c r="AP27" s="98" t="n">
        <f aca="false">IF($E27="",0,IF(AP$6+6&lt;$E27,0,IF(AP$6&gt;$F27,0,$D27*(IF(AP$6+6&lt;$F27,AP$6+6,$F27)-IF(AP$6&gt;$E27,AP$6,$E27)+1)/($F27-$E27+1))))</f>
        <v>0</v>
      </c>
      <c r="AQ27" s="98" t="n">
        <f aca="false">IF($E27="",0,IF(AQ$6+6&lt;$E27,0,IF(AQ$6&gt;$F27,0,$D27*(IF(AQ$6+6&lt;$F27,AQ$6+6,$F27)-IF(AQ$6&gt;$E27,AQ$6,$E27)+1)/($F27-$E27+1))))</f>
        <v>0</v>
      </c>
      <c r="AR27" s="98" t="n">
        <f aca="false">IF($E27="",0,IF(AR$6+6&lt;$E27,0,IF(AR$6&gt;$F27,0,$D27*(IF(AR$6+6&lt;$F27,AR$6+6,$F27)-IF(AR$6&gt;$E27,AR$6,$E27)+1)/($F27-$E27+1))))</f>
        <v>0</v>
      </c>
      <c r="AS27" s="98" t="n">
        <f aca="false">IF($E27="",0,IF(AS$6+6&lt;$E27,0,IF(AS$6&gt;$F27,0,$D27*(IF(AS$6+6&lt;$F27,AS$6+6,$F27)-IF(AS$6&gt;$E27,AS$6,$E27)+1)/($F27-$E27+1))))</f>
        <v>0</v>
      </c>
      <c r="AT27" s="98" t="n">
        <f aca="false">IF($E27="",0,IF(AT$6+6&lt;$E27,0,IF(AT$6&gt;$F27,0,$D27*(IF(AT$6+6&lt;$F27,AT$6+6,$F27)-IF(AT$6&gt;$E27,AT$6,$E27)+1)/($F27-$E27+1))))</f>
        <v>0</v>
      </c>
      <c r="AU27" s="98" t="n">
        <f aca="false">IF($E27="",0,IF(AU$6+6&lt;$E27,0,IF(AU$6&gt;$F27,0,$D27*(IF(AU$6+6&lt;$F27,AU$6+6,$F27)-IF(AU$6&gt;$E27,AU$6,$E27)+1)/($F27-$E27+1))))</f>
        <v>0</v>
      </c>
      <c r="AV27" s="98" t="n">
        <f aca="false">IF($E27="",0,IF(AV$6+6&lt;$E27,0,IF(AV$6&gt;$F27,0,$D27*(IF(AV$6+6&lt;$F27,AV$6+6,$F27)-IF(AV$6&gt;$E27,AV$6,$E27)+1)/($F27-$E27+1))))</f>
        <v>0</v>
      </c>
      <c r="AW27" s="98" t="n">
        <f aca="false">IF($E27="",0,IF(AW$6+6&lt;$E27,0,IF(AW$6&gt;$F27,0,$D27*(IF(AW$6+6&lt;$F27,AW$6+6,$F27)-IF(AW$6&gt;$E27,AW$6,$E27)+1)/($F27-$E27+1))))</f>
        <v>0</v>
      </c>
      <c r="AX27" s="98" t="n">
        <f aca="false">IF($E27="",0,IF(AX$6+6&lt;$E27,0,IF(AX$6&gt;$F27,0,$D27*(IF(AX$6+6&lt;$F27,AX$6+6,$F27)-IF(AX$6&gt;$E27,AX$6,$E27)+1)/($F27-$E27+1))))</f>
        <v>0</v>
      </c>
      <c r="AY27" s="98" t="n">
        <f aca="false">IF($E27="",0,IF(AY$6+6&lt;$E27,0,IF(AY$6&gt;$F27,0,$D27*(IF(AY$6+6&lt;$F27,AY$6+6,$F27)-IF(AY$6&gt;$E27,AY$6,$E27)+1)/($F27-$E27+1))))</f>
        <v>0</v>
      </c>
      <c r="AZ27" s="98" t="n">
        <f aca="false">IF($E27="",0,IF(AZ$6+6&lt;$E27,0,IF(AZ$6&gt;$F27,0,$D27*(IF(AZ$6+6&lt;$F27,AZ$6+6,$F27)-IF(AZ$6&gt;$E27,AZ$6,$E27)+1)/($F27-$E27+1))))</f>
        <v>0</v>
      </c>
      <c r="BA27" s="98" t="n">
        <f aca="false">IF($E27="",0,IF(BA$6+6&lt;$E27,0,IF(BA$6&gt;$F27,0,$D27*(IF(BA$6+6&lt;$F27,BA$6+6,$F27)-IF(BA$6&gt;$E27,BA$6,$E27)+1)/($F27-$E27+1))))</f>
        <v>0</v>
      </c>
      <c r="BB27" s="98" t="n">
        <f aca="false">IF($E27="",0,IF(BB$6+6&lt;$E27,0,IF(BB$6&gt;$F27,0,$D27*(IF(BB$6+6&lt;$F27,BB$6+6,$F27)-IF(BB$6&gt;$E27,BB$6,$E27)+1)/($F27-$E27+1))))</f>
        <v>0</v>
      </c>
      <c r="BC27" s="98" t="n">
        <f aca="false">IF($E27="",0,IF(BC$6+6&lt;$E27,0,IF(BC$6&gt;$F27,0,$D27*(IF(BC$6+6&lt;$F27,BC$6+6,$F27)-IF(BC$6&gt;$E27,BC$6,$E27)+1)/($F27-$E27+1))))</f>
        <v>0</v>
      </c>
      <c r="BD27" s="98" t="n">
        <f aca="false">IF($E27="",0,IF(BD$6+6&lt;$E27,0,IF(BD$6&gt;$F27,0,$D27*(IF(BD$6+6&lt;$F27,BD$6+6,$F27)-IF(BD$6&gt;$E27,BD$6,$E27)+1)/($F27-$E27+1))))</f>
        <v>0</v>
      </c>
      <c r="BE27" s="98" t="n">
        <f aca="false">IF($E27="",0,IF(BE$6+6&lt;$E27,0,IF(BE$6&gt;$F27,0,$D27*(IF(BE$6+6&lt;$F27,BE$6+6,$F27)-IF(BE$6&gt;$E27,BE$6,$E27)+1)/($F27-$E27+1))))</f>
        <v>0</v>
      </c>
      <c r="BF27" s="98" t="n">
        <f aca="false">IF($E27="",0,IF(BF$6+6&lt;$E27,0,IF(BF$6&gt;$F27,0,$D27*(IF(BF$6+6&lt;$F27,BF$6+6,$F27)-IF(BF$6&gt;$E27,BF$6,$E27)+1)/($F27-$E27+1))))</f>
        <v>0</v>
      </c>
      <c r="BG27" s="98" t="n">
        <f aca="false">IF($E27="",0,IF(BG$6+6&lt;$E27,0,IF(BG$6&gt;$F27,0,$D27*(IF(BG$6+6&lt;$F27,BG$6+6,$F27)-IF(BG$6&gt;$E27,BG$6,$E27)+1)/($F27-$E27+1))))</f>
        <v>0</v>
      </c>
      <c r="BH27" s="98" t="n">
        <f aca="false">IF($E27="",0,IF(BH$6+6&lt;$E27,0,IF(BH$6&gt;$F27,0,$D27*(IF(BH$6+6&lt;$F27,BH$6+6,$F27)-IF(BH$6&gt;$E27,BH$6,$E27)+1)/($F27-$E27+1))))</f>
        <v>0</v>
      </c>
      <c r="BI27" s="98" t="n">
        <f aca="false">IF($E27="",0,IF(BI$6+6&lt;$E27,0,IF(BI$6&gt;$F27,0,$D27*(IF(BI$6+6&lt;$F27,BI$6+6,$F27)-IF(BI$6&gt;$E27,BI$6,$E27)+1)/($F27-$E27+1))))</f>
        <v>0</v>
      </c>
      <c r="BJ27" s="98" t="n">
        <f aca="false">IF($E27="",0,IF(BJ$6+6&lt;$E27,0,IF(BJ$6&gt;$F27,0,$D27*(IF(BJ$6+6&lt;$F27,BJ$6+6,$F27)-IF(BJ$6&gt;$E27,BJ$6,$E27)+1)/($F27-$E27+1))))</f>
        <v>0</v>
      </c>
      <c r="BK27" s="98" t="n">
        <f aca="false">IF($E27="",0,IF(BK$6+6&lt;$E27,0,IF(BK$6&gt;$F27,0,$D27*(IF(BK$6+6&lt;$F27,BK$6+6,$F27)-IF(BK$6&gt;$E27,BK$6,$E27)+1)/($F27-$E27+1))))</f>
        <v>0</v>
      </c>
      <c r="BL27" s="98" t="n">
        <f aca="false">IF($E27="",0,IF(BL$6+6&lt;$E27,0,IF(BL$6&gt;$F27,0,$D27*(IF(BL$6+6&lt;$F27,BL$6+6,$F27)-IF(BL$6&gt;$E27,BL$6,$E27)+1)/($F27-$E27+1))))</f>
        <v>0</v>
      </c>
      <c r="BM27" s="98" t="n">
        <f aca="false">IF($E27="",0,IF(BM$6+6&lt;$E27,0,IF(BM$6&gt;$F27,0,$D27*(IF(BM$6+6&lt;$F27,BM$6+6,$F27)-IF(BM$6&gt;$E27,BM$6,$E27)+1)/($F27-$E27+1))))</f>
        <v>0</v>
      </c>
      <c r="BN27" s="98" t="n">
        <f aca="false">IF($E27="",0,IF(BN$6+6&lt;$E27,0,IF(BN$6&gt;$F27,0,$D27*(IF(BN$6+6&lt;$F27,BN$6+6,$F27)-IF(BN$6&gt;$E27,BN$6,$E27)+1)/($F27-$E27+1))))</f>
        <v>0</v>
      </c>
      <c r="BO27" s="98" t="n">
        <f aca="false">IF($E27="",0,IF(BO$6+6&lt;$E27,0,IF(BO$6&gt;$F27,0,$D27*(IF(BO$6+6&lt;$F27,BO$6+6,$F27)-IF(BO$6&gt;$E27,BO$6,$E27)+1)/($F27-$E27+1))))</f>
        <v>0</v>
      </c>
      <c r="BP27" s="98" t="n">
        <f aca="false">IF($E27="",0,IF(BP$6+6&lt;$E27,0,IF(BP$6&gt;$F27,0,$D27*(IF(BP$6+6&lt;$F27,BP$6+6,$F27)-IF(BP$6&gt;$E27,BP$6,$E27)+1)/($F27-$E27+1))))</f>
        <v>0</v>
      </c>
      <c r="BQ27" s="98" t="n">
        <f aca="false">IF($E27="",0,IF(BQ$6+6&lt;$E27,0,IF(BQ$6&gt;$F27,0,$D27*(IF(BQ$6+6&lt;$F27,BQ$6+6,$F27)-IF(BQ$6&gt;$E27,BQ$6,$E27)+1)/($F27-$E27+1))))</f>
        <v>0</v>
      </c>
      <c r="BR27" s="98" t="n">
        <f aca="false">IF($E27="",0,IF(BR$6+6&lt;$E27,0,IF(BR$6&gt;$F27,0,$D27*(IF(BR$6+6&lt;$F27,BR$6+6,$F27)-IF(BR$6&gt;$E27,BR$6,$E27)+1)/($F27-$E27+1))))</f>
        <v>0</v>
      </c>
      <c r="BS27" s="98" t="n">
        <f aca="false">IF($E27="",0,IF(BS$6+6&lt;$E27,0,IF(BS$6&gt;$F27,0,$D27*(IF(BS$6+6&lt;$F27,BS$6+6,$F27)-IF(BS$6&gt;$E27,BS$6,$E27)+1)/($F27-$E27+1))))</f>
        <v>0</v>
      </c>
      <c r="BT27" s="98" t="n">
        <f aca="false">IF($E27="",0,IF(BT$6+6&lt;$E27,0,IF(BT$6&gt;$F27,0,$D27*(IF(BT$6+6&lt;$F27,BT$6+6,$F27)-IF(BT$6&gt;$E27,BT$6,$E27)+1)/($F27-$E27+1))))</f>
        <v>0</v>
      </c>
      <c r="BU27" s="98" t="n">
        <f aca="false">IF($E27="",0,IF(BU$6+6&lt;$E27,0,IF(BU$6&gt;$F27,0,$D27*(IF(BU$6+6&lt;$F27,BU$6+6,$F27)-IF(BU$6&gt;$E27,BU$6,$E27)+1)/($F27-$E27+1))))</f>
        <v>0</v>
      </c>
      <c r="BV27" s="98" t="n">
        <f aca="false">IF($E27="",0,IF(BV$6+6&lt;$E27,0,IF(BV$6&gt;$F27,0,$D27*(IF(BV$6+6&lt;$F27,BV$6+6,$F27)-IF(BV$6&gt;$E27,BV$6,$E27)+1)/($F27-$E27+1))))</f>
        <v>0</v>
      </c>
      <c r="BW27" s="98" t="n">
        <f aca="false">IF($E27="",0,IF(BW$6+6&lt;$E27,0,IF(BW$6&gt;$F27,0,$D27*(IF(BW$6+6&lt;$F27,BW$6+6,$F27)-IF(BW$6&gt;$E27,BW$6,$E27)+1)/($F27-$E27+1))))</f>
        <v>0</v>
      </c>
      <c r="BX27" s="98" t="n">
        <f aca="false">IF($E27="",0,IF(BX$6+6&lt;$E27,0,IF(BX$6&gt;$F27,0,$D27*(IF(BX$6+6&lt;$F27,BX$6+6,$F27)-IF(BX$6&gt;$E27,BX$6,$E27)+1)/($F27-$E27+1))))</f>
        <v>0</v>
      </c>
      <c r="BY27" s="98" t="n">
        <f aca="false">IF($E27="",0,IF(BY$6+6&lt;$E27,0,IF(BY$6&gt;$F27,0,$D27*(IF(BY$6+6&lt;$F27,BY$6+6,$F27)-IF(BY$6&gt;$E27,BY$6,$E27)+1)/($F27-$E27+1))))</f>
        <v>0</v>
      </c>
    </row>
    <row r="28" customFormat="false" ht="15" hidden="false" customHeight="false" outlineLevel="0" collapsed="false">
      <c r="A28" s="95"/>
      <c r="B28" s="95"/>
      <c r="C28" s="95" t="s">
        <v>634</v>
      </c>
      <c r="D28" s="96"/>
      <c r="E28" s="99"/>
      <c r="F28" s="99"/>
      <c r="G28" s="100"/>
      <c r="H28" s="101"/>
      <c r="I28" s="101"/>
      <c r="J28" s="101"/>
      <c r="K28" s="101"/>
      <c r="L28" s="101"/>
      <c r="M28" s="101"/>
      <c r="N28" s="101"/>
      <c r="O28" s="101"/>
      <c r="P28" s="101"/>
      <c r="Q28" s="101"/>
      <c r="R28" s="101"/>
      <c r="S28" s="101"/>
      <c r="T28" s="101"/>
      <c r="U28" s="101"/>
      <c r="V28" s="101"/>
      <c r="W28" s="101"/>
      <c r="X28" s="101"/>
      <c r="Y28" s="101"/>
      <c r="Z28" s="101"/>
      <c r="AA28" s="101"/>
      <c r="AB28" s="101"/>
      <c r="AC28" s="101"/>
      <c r="AD28" s="101"/>
      <c r="AE28" s="101"/>
      <c r="AF28" s="101"/>
      <c r="AG28" s="101"/>
      <c r="AH28" s="101"/>
      <c r="AI28" s="101"/>
      <c r="AJ28" s="101"/>
      <c r="AK28" s="101"/>
      <c r="AL28" s="101"/>
      <c r="AM28" s="101"/>
      <c r="AN28" s="101"/>
      <c r="AO28" s="101"/>
      <c r="AP28" s="101"/>
      <c r="AQ28" s="101"/>
      <c r="AR28" s="101"/>
      <c r="AS28" s="101"/>
      <c r="AT28" s="101"/>
      <c r="AU28" s="101"/>
      <c r="AV28" s="101"/>
      <c r="AW28" s="101"/>
      <c r="AX28" s="101"/>
      <c r="AY28" s="101"/>
      <c r="AZ28" s="101"/>
      <c r="BA28" s="101"/>
      <c r="BB28" s="101"/>
      <c r="BC28" s="101"/>
      <c r="BD28" s="101"/>
      <c r="BE28" s="101"/>
      <c r="BF28" s="101"/>
      <c r="BG28" s="101"/>
      <c r="BH28" s="101"/>
      <c r="BI28" s="101"/>
      <c r="BJ28" s="101"/>
      <c r="BK28" s="101"/>
      <c r="BL28" s="101"/>
      <c r="BM28" s="101"/>
      <c r="BN28" s="101"/>
      <c r="BO28" s="101"/>
      <c r="BP28" s="101"/>
      <c r="BQ28" s="101"/>
      <c r="BR28" s="101"/>
      <c r="BS28" s="101"/>
      <c r="BT28" s="101"/>
      <c r="BU28" s="101"/>
      <c r="BV28" s="101"/>
      <c r="BW28" s="101"/>
      <c r="BX28" s="101"/>
      <c r="BY28" s="101"/>
    </row>
    <row r="29" customFormat="false" ht="15" hidden="false" customHeight="false" outlineLevel="0" collapsed="false">
      <c r="A29" s="95" t="s">
        <v>370</v>
      </c>
      <c r="B29" s="95" t="s">
        <v>645</v>
      </c>
      <c r="C29" s="95" t="s">
        <v>633</v>
      </c>
      <c r="D29" s="96" t="n">
        <v>2.5</v>
      </c>
      <c r="E29" s="97" t="n">
        <v>46382</v>
      </c>
      <c r="F29" s="97" t="n">
        <v>46385</v>
      </c>
      <c r="G29" s="95" t="n">
        <v>3</v>
      </c>
      <c r="H29" s="98" t="n">
        <f aca="false">IF($E29="",0,IF(H$6+6&lt;$E29,0,IF(H$6&gt;$F29,0,$D29*(IF(H$6+6&lt;$F29,H$6+6,$F29)-IF(H$6&gt;$E29,H$6,$E29)+1)/($F29-$E29+1))))</f>
        <v>0</v>
      </c>
      <c r="I29" s="98" t="n">
        <f aca="false">IF($E29="",0,IF(I$6+6&lt;$E29,0,IF(I$6&gt;$F29,0,$D29*(IF(I$6+6&lt;$F29,I$6+6,$F29)-IF(I$6&gt;$E29,I$6,$E29)+1)/($F29-$E29+1))))</f>
        <v>0</v>
      </c>
      <c r="J29" s="98" t="n">
        <f aca="false">IF($E29="",0,IF(J$6+6&lt;$E29,0,IF(J$6&gt;$F29,0,$D29*(IF(J$6+6&lt;$F29,J$6+6,$F29)-IF(J$6&gt;$E29,J$6,$E29)+1)/($F29-$E29+1))))</f>
        <v>0</v>
      </c>
      <c r="K29" s="98" t="n">
        <f aca="false">IF($E29="",0,IF(K$6+6&lt;$E29,0,IF(K$6&gt;$F29,0,$D29*(IF(K$6+6&lt;$F29,K$6+6,$F29)-IF(K$6&gt;$E29,K$6,$E29)+1)/($F29-$E29+1))))</f>
        <v>0</v>
      </c>
      <c r="L29" s="98" t="n">
        <f aca="false">IF($E29="",0,IF(L$6+6&lt;$E29,0,IF(L$6&gt;$F29,0,$D29*(IF(L$6+6&lt;$F29,L$6+6,$F29)-IF(L$6&gt;$E29,L$6,$E29)+1)/($F29-$E29+1))))</f>
        <v>0</v>
      </c>
      <c r="M29" s="98" t="n">
        <f aca="false">IF($E29="",0,IF(M$6+6&lt;$E29,0,IF(M$6&gt;$F29,0,$D29*(IF(M$6+6&lt;$F29,M$6+6,$F29)-IF(M$6&gt;$E29,M$6,$E29)+1)/($F29-$E29+1))))</f>
        <v>0</v>
      </c>
      <c r="N29" s="98" t="n">
        <f aca="false">IF($E29="",0,IF(N$6+6&lt;$E29,0,IF(N$6&gt;$F29,0,$D29*(IF(N$6+6&lt;$F29,N$6+6,$F29)-IF(N$6&gt;$E29,N$6,$E29)+1)/($F29-$E29+1))))</f>
        <v>0</v>
      </c>
      <c r="O29" s="98" t="n">
        <f aca="false">IF($E29="",0,IF(O$6+6&lt;$E29,0,IF(O$6&gt;$F29,0,$D29*(IF(O$6+6&lt;$F29,O$6+6,$F29)-IF(O$6&gt;$E29,O$6,$E29)+1)/($F29-$E29+1))))</f>
        <v>0</v>
      </c>
      <c r="P29" s="98" t="n">
        <f aca="false">IF($E29="",0,IF(P$6+6&lt;$E29,0,IF(P$6&gt;$F29,0,$D29*(IF(P$6+6&lt;$F29,P$6+6,$F29)-IF(P$6&gt;$E29,P$6,$E29)+1)/($F29-$E29+1))))</f>
        <v>1.25</v>
      </c>
      <c r="Q29" s="98" t="n">
        <f aca="false">IF($E29="",0,IF(Q$6+6&lt;$E29,0,IF(Q$6&gt;$F29,0,$D29*(IF(Q$6+6&lt;$F29,Q$6+6,$F29)-IF(Q$6&gt;$E29,Q$6,$E29)+1)/($F29-$E29+1))))</f>
        <v>1.25</v>
      </c>
      <c r="R29" s="98" t="n">
        <f aca="false">IF($E29="",0,IF(R$6+6&lt;$E29,0,IF(R$6&gt;$F29,0,$D29*(IF(R$6+6&lt;$F29,R$6+6,$F29)-IF(R$6&gt;$E29,R$6,$E29)+1)/($F29-$E29+1))))</f>
        <v>0</v>
      </c>
      <c r="S29" s="98" t="n">
        <f aca="false">IF($E29="",0,IF(S$6+6&lt;$E29,0,IF(S$6&gt;$F29,0,$D29*(IF(S$6+6&lt;$F29,S$6+6,$F29)-IF(S$6&gt;$E29,S$6,$E29)+1)/($F29-$E29+1))))</f>
        <v>0</v>
      </c>
      <c r="T29" s="98" t="n">
        <f aca="false">IF($E29="",0,IF(T$6+6&lt;$E29,0,IF(T$6&gt;$F29,0,$D29*(IF(T$6+6&lt;$F29,T$6+6,$F29)-IF(T$6&gt;$E29,T$6,$E29)+1)/($F29-$E29+1))))</f>
        <v>0</v>
      </c>
      <c r="U29" s="98" t="n">
        <f aca="false">IF($E29="",0,IF(U$6+6&lt;$E29,0,IF(U$6&gt;$F29,0,$D29*(IF(U$6+6&lt;$F29,U$6+6,$F29)-IF(U$6&gt;$E29,U$6,$E29)+1)/($F29-$E29+1))))</f>
        <v>0</v>
      </c>
      <c r="V29" s="98" t="n">
        <f aca="false">IF($E29="",0,IF(V$6+6&lt;$E29,0,IF(V$6&gt;$F29,0,$D29*(IF(V$6+6&lt;$F29,V$6+6,$F29)-IF(V$6&gt;$E29,V$6,$E29)+1)/($F29-$E29+1))))</f>
        <v>0</v>
      </c>
      <c r="W29" s="98" t="n">
        <f aca="false">IF($E29="",0,IF(W$6+6&lt;$E29,0,IF(W$6&gt;$F29,0,$D29*(IF(W$6+6&lt;$F29,W$6+6,$F29)-IF(W$6&gt;$E29,W$6,$E29)+1)/($F29-$E29+1))))</f>
        <v>0</v>
      </c>
      <c r="X29" s="98" t="n">
        <f aca="false">IF($E29="",0,IF(X$6+6&lt;$E29,0,IF(X$6&gt;$F29,0,$D29*(IF(X$6+6&lt;$F29,X$6+6,$F29)-IF(X$6&gt;$E29,X$6,$E29)+1)/($F29-$E29+1))))</f>
        <v>0</v>
      </c>
      <c r="Y29" s="98" t="n">
        <f aca="false">IF($E29="",0,IF(Y$6+6&lt;$E29,0,IF(Y$6&gt;$F29,0,$D29*(IF(Y$6+6&lt;$F29,Y$6+6,$F29)-IF(Y$6&gt;$E29,Y$6,$E29)+1)/($F29-$E29+1))))</f>
        <v>0</v>
      </c>
      <c r="Z29" s="98" t="n">
        <f aca="false">IF($E29="",0,IF(Z$6+6&lt;$E29,0,IF(Z$6&gt;$F29,0,$D29*(IF(Z$6+6&lt;$F29,Z$6+6,$F29)-IF(Z$6&gt;$E29,Z$6,$E29)+1)/($F29-$E29+1))))</f>
        <v>0</v>
      </c>
      <c r="AA29" s="98" t="n">
        <f aca="false">IF($E29="",0,IF(AA$6+6&lt;$E29,0,IF(AA$6&gt;$F29,0,$D29*(IF(AA$6+6&lt;$F29,AA$6+6,$F29)-IF(AA$6&gt;$E29,AA$6,$E29)+1)/($F29-$E29+1))))</f>
        <v>0</v>
      </c>
      <c r="AB29" s="98" t="n">
        <f aca="false">IF($E29="",0,IF(AB$6+6&lt;$E29,0,IF(AB$6&gt;$F29,0,$D29*(IF(AB$6+6&lt;$F29,AB$6+6,$F29)-IF(AB$6&gt;$E29,AB$6,$E29)+1)/($F29-$E29+1))))</f>
        <v>0</v>
      </c>
      <c r="AC29" s="98" t="n">
        <f aca="false">IF($E29="",0,IF(AC$6+6&lt;$E29,0,IF(AC$6&gt;$F29,0,$D29*(IF(AC$6+6&lt;$F29,AC$6+6,$F29)-IF(AC$6&gt;$E29,AC$6,$E29)+1)/($F29-$E29+1))))</f>
        <v>0</v>
      </c>
      <c r="AD29" s="98" t="n">
        <f aca="false">IF($E29="",0,IF(AD$6+6&lt;$E29,0,IF(AD$6&gt;$F29,0,$D29*(IF(AD$6+6&lt;$F29,AD$6+6,$F29)-IF(AD$6&gt;$E29,AD$6,$E29)+1)/($F29-$E29+1))))</f>
        <v>0</v>
      </c>
      <c r="AE29" s="98" t="n">
        <f aca="false">IF($E29="",0,IF(AE$6+6&lt;$E29,0,IF(AE$6&gt;$F29,0,$D29*(IF(AE$6+6&lt;$F29,AE$6+6,$F29)-IF(AE$6&gt;$E29,AE$6,$E29)+1)/($F29-$E29+1))))</f>
        <v>0</v>
      </c>
      <c r="AF29" s="98" t="n">
        <f aca="false">IF($E29="",0,IF(AF$6+6&lt;$E29,0,IF(AF$6&gt;$F29,0,$D29*(IF(AF$6+6&lt;$F29,AF$6+6,$F29)-IF(AF$6&gt;$E29,AF$6,$E29)+1)/($F29-$E29+1))))</f>
        <v>0</v>
      </c>
      <c r="AG29" s="98" t="n">
        <f aca="false">IF($E29="",0,IF(AG$6+6&lt;$E29,0,IF(AG$6&gt;$F29,0,$D29*(IF(AG$6+6&lt;$F29,AG$6+6,$F29)-IF(AG$6&gt;$E29,AG$6,$E29)+1)/($F29-$E29+1))))</f>
        <v>0</v>
      </c>
      <c r="AH29" s="98" t="n">
        <f aca="false">IF($E29="",0,IF(AH$6+6&lt;$E29,0,IF(AH$6&gt;$F29,0,$D29*(IF(AH$6+6&lt;$F29,AH$6+6,$F29)-IF(AH$6&gt;$E29,AH$6,$E29)+1)/($F29-$E29+1))))</f>
        <v>0</v>
      </c>
      <c r="AI29" s="98" t="n">
        <f aca="false">IF($E29="",0,IF(AI$6+6&lt;$E29,0,IF(AI$6&gt;$F29,0,$D29*(IF(AI$6+6&lt;$F29,AI$6+6,$F29)-IF(AI$6&gt;$E29,AI$6,$E29)+1)/($F29-$E29+1))))</f>
        <v>0</v>
      </c>
      <c r="AJ29" s="98" t="n">
        <f aca="false">IF($E29="",0,IF(AJ$6+6&lt;$E29,0,IF(AJ$6&gt;$F29,0,$D29*(IF(AJ$6+6&lt;$F29,AJ$6+6,$F29)-IF(AJ$6&gt;$E29,AJ$6,$E29)+1)/($F29-$E29+1))))</f>
        <v>0</v>
      </c>
      <c r="AK29" s="98" t="n">
        <f aca="false">IF($E29="",0,IF(AK$6+6&lt;$E29,0,IF(AK$6&gt;$F29,0,$D29*(IF(AK$6+6&lt;$F29,AK$6+6,$F29)-IF(AK$6&gt;$E29,AK$6,$E29)+1)/($F29-$E29+1))))</f>
        <v>0</v>
      </c>
      <c r="AL29" s="98" t="n">
        <f aca="false">IF($E29="",0,IF(AL$6+6&lt;$E29,0,IF(AL$6&gt;$F29,0,$D29*(IF(AL$6+6&lt;$F29,AL$6+6,$F29)-IF(AL$6&gt;$E29,AL$6,$E29)+1)/($F29-$E29+1))))</f>
        <v>0</v>
      </c>
      <c r="AM29" s="98" t="n">
        <f aca="false">IF($E29="",0,IF(AM$6+6&lt;$E29,0,IF(AM$6&gt;$F29,0,$D29*(IF(AM$6+6&lt;$F29,AM$6+6,$F29)-IF(AM$6&gt;$E29,AM$6,$E29)+1)/($F29-$E29+1))))</f>
        <v>0</v>
      </c>
      <c r="AN29" s="98" t="n">
        <f aca="false">IF($E29="",0,IF(AN$6+6&lt;$E29,0,IF(AN$6&gt;$F29,0,$D29*(IF(AN$6+6&lt;$F29,AN$6+6,$F29)-IF(AN$6&gt;$E29,AN$6,$E29)+1)/($F29-$E29+1))))</f>
        <v>0</v>
      </c>
      <c r="AO29" s="98" t="n">
        <f aca="false">IF($E29="",0,IF(AO$6+6&lt;$E29,0,IF(AO$6&gt;$F29,0,$D29*(IF(AO$6+6&lt;$F29,AO$6+6,$F29)-IF(AO$6&gt;$E29,AO$6,$E29)+1)/($F29-$E29+1))))</f>
        <v>0</v>
      </c>
      <c r="AP29" s="98" t="n">
        <f aca="false">IF($E29="",0,IF(AP$6+6&lt;$E29,0,IF(AP$6&gt;$F29,0,$D29*(IF(AP$6+6&lt;$F29,AP$6+6,$F29)-IF(AP$6&gt;$E29,AP$6,$E29)+1)/($F29-$E29+1))))</f>
        <v>0</v>
      </c>
      <c r="AQ29" s="98" t="n">
        <f aca="false">IF($E29="",0,IF(AQ$6+6&lt;$E29,0,IF(AQ$6&gt;$F29,0,$D29*(IF(AQ$6+6&lt;$F29,AQ$6+6,$F29)-IF(AQ$6&gt;$E29,AQ$6,$E29)+1)/($F29-$E29+1))))</f>
        <v>0</v>
      </c>
      <c r="AR29" s="98" t="n">
        <f aca="false">IF($E29="",0,IF(AR$6+6&lt;$E29,0,IF(AR$6&gt;$F29,0,$D29*(IF(AR$6+6&lt;$F29,AR$6+6,$F29)-IF(AR$6&gt;$E29,AR$6,$E29)+1)/($F29-$E29+1))))</f>
        <v>0</v>
      </c>
      <c r="AS29" s="98" t="n">
        <f aca="false">IF($E29="",0,IF(AS$6+6&lt;$E29,0,IF(AS$6&gt;$F29,0,$D29*(IF(AS$6+6&lt;$F29,AS$6+6,$F29)-IF(AS$6&gt;$E29,AS$6,$E29)+1)/($F29-$E29+1))))</f>
        <v>0</v>
      </c>
      <c r="AT29" s="98" t="n">
        <f aca="false">IF($E29="",0,IF(AT$6+6&lt;$E29,0,IF(AT$6&gt;$F29,0,$D29*(IF(AT$6+6&lt;$F29,AT$6+6,$F29)-IF(AT$6&gt;$E29,AT$6,$E29)+1)/($F29-$E29+1))))</f>
        <v>0</v>
      </c>
      <c r="AU29" s="98" t="n">
        <f aca="false">IF($E29="",0,IF(AU$6+6&lt;$E29,0,IF(AU$6&gt;$F29,0,$D29*(IF(AU$6+6&lt;$F29,AU$6+6,$F29)-IF(AU$6&gt;$E29,AU$6,$E29)+1)/($F29-$E29+1))))</f>
        <v>0</v>
      </c>
      <c r="AV29" s="98" t="n">
        <f aca="false">IF($E29="",0,IF(AV$6+6&lt;$E29,0,IF(AV$6&gt;$F29,0,$D29*(IF(AV$6+6&lt;$F29,AV$6+6,$F29)-IF(AV$6&gt;$E29,AV$6,$E29)+1)/($F29-$E29+1))))</f>
        <v>0</v>
      </c>
      <c r="AW29" s="98" t="n">
        <f aca="false">IF($E29="",0,IF(AW$6+6&lt;$E29,0,IF(AW$6&gt;$F29,0,$D29*(IF(AW$6+6&lt;$F29,AW$6+6,$F29)-IF(AW$6&gt;$E29,AW$6,$E29)+1)/($F29-$E29+1))))</f>
        <v>0</v>
      </c>
      <c r="AX29" s="98" t="n">
        <f aca="false">IF($E29="",0,IF(AX$6+6&lt;$E29,0,IF(AX$6&gt;$F29,0,$D29*(IF(AX$6+6&lt;$F29,AX$6+6,$F29)-IF(AX$6&gt;$E29,AX$6,$E29)+1)/($F29-$E29+1))))</f>
        <v>0</v>
      </c>
      <c r="AY29" s="98" t="n">
        <f aca="false">IF($E29="",0,IF(AY$6+6&lt;$E29,0,IF(AY$6&gt;$F29,0,$D29*(IF(AY$6+6&lt;$F29,AY$6+6,$F29)-IF(AY$6&gt;$E29,AY$6,$E29)+1)/($F29-$E29+1))))</f>
        <v>0</v>
      </c>
      <c r="AZ29" s="98" t="n">
        <f aca="false">IF($E29="",0,IF(AZ$6+6&lt;$E29,0,IF(AZ$6&gt;$F29,0,$D29*(IF(AZ$6+6&lt;$F29,AZ$6+6,$F29)-IF(AZ$6&gt;$E29,AZ$6,$E29)+1)/($F29-$E29+1))))</f>
        <v>0</v>
      </c>
      <c r="BA29" s="98" t="n">
        <f aca="false">IF($E29="",0,IF(BA$6+6&lt;$E29,0,IF(BA$6&gt;$F29,0,$D29*(IF(BA$6+6&lt;$F29,BA$6+6,$F29)-IF(BA$6&gt;$E29,BA$6,$E29)+1)/($F29-$E29+1))))</f>
        <v>0</v>
      </c>
      <c r="BB29" s="98" t="n">
        <f aca="false">IF($E29="",0,IF(BB$6+6&lt;$E29,0,IF(BB$6&gt;$F29,0,$D29*(IF(BB$6+6&lt;$F29,BB$6+6,$F29)-IF(BB$6&gt;$E29,BB$6,$E29)+1)/($F29-$E29+1))))</f>
        <v>0</v>
      </c>
      <c r="BC29" s="98" t="n">
        <f aca="false">IF($E29="",0,IF(BC$6+6&lt;$E29,0,IF(BC$6&gt;$F29,0,$D29*(IF(BC$6+6&lt;$F29,BC$6+6,$F29)-IF(BC$6&gt;$E29,BC$6,$E29)+1)/($F29-$E29+1))))</f>
        <v>0</v>
      </c>
      <c r="BD29" s="98" t="n">
        <f aca="false">IF($E29="",0,IF(BD$6+6&lt;$E29,0,IF(BD$6&gt;$F29,0,$D29*(IF(BD$6+6&lt;$F29,BD$6+6,$F29)-IF(BD$6&gt;$E29,BD$6,$E29)+1)/($F29-$E29+1))))</f>
        <v>0</v>
      </c>
      <c r="BE29" s="98" t="n">
        <f aca="false">IF($E29="",0,IF(BE$6+6&lt;$E29,0,IF(BE$6&gt;$F29,0,$D29*(IF(BE$6+6&lt;$F29,BE$6+6,$F29)-IF(BE$6&gt;$E29,BE$6,$E29)+1)/($F29-$E29+1))))</f>
        <v>0</v>
      </c>
      <c r="BF29" s="98" t="n">
        <f aca="false">IF($E29="",0,IF(BF$6+6&lt;$E29,0,IF(BF$6&gt;$F29,0,$D29*(IF(BF$6+6&lt;$F29,BF$6+6,$F29)-IF(BF$6&gt;$E29,BF$6,$E29)+1)/($F29-$E29+1))))</f>
        <v>0</v>
      </c>
      <c r="BG29" s="98" t="n">
        <f aca="false">IF($E29="",0,IF(BG$6+6&lt;$E29,0,IF(BG$6&gt;$F29,0,$D29*(IF(BG$6+6&lt;$F29,BG$6+6,$F29)-IF(BG$6&gt;$E29,BG$6,$E29)+1)/($F29-$E29+1))))</f>
        <v>0</v>
      </c>
      <c r="BH29" s="98" t="n">
        <f aca="false">IF($E29="",0,IF(BH$6+6&lt;$E29,0,IF(BH$6&gt;$F29,0,$D29*(IF(BH$6+6&lt;$F29,BH$6+6,$F29)-IF(BH$6&gt;$E29,BH$6,$E29)+1)/($F29-$E29+1))))</f>
        <v>0</v>
      </c>
      <c r="BI29" s="98" t="n">
        <f aca="false">IF($E29="",0,IF(BI$6+6&lt;$E29,0,IF(BI$6&gt;$F29,0,$D29*(IF(BI$6+6&lt;$F29,BI$6+6,$F29)-IF(BI$6&gt;$E29,BI$6,$E29)+1)/($F29-$E29+1))))</f>
        <v>0</v>
      </c>
      <c r="BJ29" s="98" t="n">
        <f aca="false">IF($E29="",0,IF(BJ$6+6&lt;$E29,0,IF(BJ$6&gt;$F29,0,$D29*(IF(BJ$6+6&lt;$F29,BJ$6+6,$F29)-IF(BJ$6&gt;$E29,BJ$6,$E29)+1)/($F29-$E29+1))))</f>
        <v>0</v>
      </c>
      <c r="BK29" s="98" t="n">
        <f aca="false">IF($E29="",0,IF(BK$6+6&lt;$E29,0,IF(BK$6&gt;$F29,0,$D29*(IF(BK$6+6&lt;$F29,BK$6+6,$F29)-IF(BK$6&gt;$E29,BK$6,$E29)+1)/($F29-$E29+1))))</f>
        <v>0</v>
      </c>
      <c r="BL29" s="98" t="n">
        <f aca="false">IF($E29="",0,IF(BL$6+6&lt;$E29,0,IF(BL$6&gt;$F29,0,$D29*(IF(BL$6+6&lt;$F29,BL$6+6,$F29)-IF(BL$6&gt;$E29,BL$6,$E29)+1)/($F29-$E29+1))))</f>
        <v>0</v>
      </c>
      <c r="BM29" s="98" t="n">
        <f aca="false">IF($E29="",0,IF(BM$6+6&lt;$E29,0,IF(BM$6&gt;$F29,0,$D29*(IF(BM$6+6&lt;$F29,BM$6+6,$F29)-IF(BM$6&gt;$E29,BM$6,$E29)+1)/($F29-$E29+1))))</f>
        <v>0</v>
      </c>
      <c r="BN29" s="98" t="n">
        <f aca="false">IF($E29="",0,IF(BN$6+6&lt;$E29,0,IF(BN$6&gt;$F29,0,$D29*(IF(BN$6+6&lt;$F29,BN$6+6,$F29)-IF(BN$6&gt;$E29,BN$6,$E29)+1)/($F29-$E29+1))))</f>
        <v>0</v>
      </c>
      <c r="BO29" s="98" t="n">
        <f aca="false">IF($E29="",0,IF(BO$6+6&lt;$E29,0,IF(BO$6&gt;$F29,0,$D29*(IF(BO$6+6&lt;$F29,BO$6+6,$F29)-IF(BO$6&gt;$E29,BO$6,$E29)+1)/($F29-$E29+1))))</f>
        <v>0</v>
      </c>
      <c r="BP29" s="98" t="n">
        <f aca="false">IF($E29="",0,IF(BP$6+6&lt;$E29,0,IF(BP$6&gt;$F29,0,$D29*(IF(BP$6+6&lt;$F29,BP$6+6,$F29)-IF(BP$6&gt;$E29,BP$6,$E29)+1)/($F29-$E29+1))))</f>
        <v>0</v>
      </c>
      <c r="BQ29" s="98" t="n">
        <f aca="false">IF($E29="",0,IF(BQ$6+6&lt;$E29,0,IF(BQ$6&gt;$F29,0,$D29*(IF(BQ$6+6&lt;$F29,BQ$6+6,$F29)-IF(BQ$6&gt;$E29,BQ$6,$E29)+1)/($F29-$E29+1))))</f>
        <v>0</v>
      </c>
      <c r="BR29" s="98" t="n">
        <f aca="false">IF($E29="",0,IF(BR$6+6&lt;$E29,0,IF(BR$6&gt;$F29,0,$D29*(IF(BR$6+6&lt;$F29,BR$6+6,$F29)-IF(BR$6&gt;$E29,BR$6,$E29)+1)/($F29-$E29+1))))</f>
        <v>0</v>
      </c>
      <c r="BS29" s="98" t="n">
        <f aca="false">IF($E29="",0,IF(BS$6+6&lt;$E29,0,IF(BS$6&gt;$F29,0,$D29*(IF(BS$6+6&lt;$F29,BS$6+6,$F29)-IF(BS$6&gt;$E29,BS$6,$E29)+1)/($F29-$E29+1))))</f>
        <v>0</v>
      </c>
      <c r="BT29" s="98" t="n">
        <f aca="false">IF($E29="",0,IF(BT$6+6&lt;$E29,0,IF(BT$6&gt;$F29,0,$D29*(IF(BT$6+6&lt;$F29,BT$6+6,$F29)-IF(BT$6&gt;$E29,BT$6,$E29)+1)/($F29-$E29+1))))</f>
        <v>0</v>
      </c>
      <c r="BU29" s="98" t="n">
        <f aca="false">IF($E29="",0,IF(BU$6+6&lt;$E29,0,IF(BU$6&gt;$F29,0,$D29*(IF(BU$6+6&lt;$F29,BU$6+6,$F29)-IF(BU$6&gt;$E29,BU$6,$E29)+1)/($F29-$E29+1))))</f>
        <v>0</v>
      </c>
      <c r="BV29" s="98" t="n">
        <f aca="false">IF($E29="",0,IF(BV$6+6&lt;$E29,0,IF(BV$6&gt;$F29,0,$D29*(IF(BV$6+6&lt;$F29,BV$6+6,$F29)-IF(BV$6&gt;$E29,BV$6,$E29)+1)/($F29-$E29+1))))</f>
        <v>0</v>
      </c>
      <c r="BW29" s="98" t="n">
        <f aca="false">IF($E29="",0,IF(BW$6+6&lt;$E29,0,IF(BW$6&gt;$F29,0,$D29*(IF(BW$6+6&lt;$F29,BW$6+6,$F29)-IF(BW$6&gt;$E29,BW$6,$E29)+1)/($F29-$E29+1))))</f>
        <v>0</v>
      </c>
      <c r="BX29" s="98" t="n">
        <f aca="false">IF($E29="",0,IF(BX$6+6&lt;$E29,0,IF(BX$6&gt;$F29,0,$D29*(IF(BX$6+6&lt;$F29,BX$6+6,$F29)-IF(BX$6&gt;$E29,BX$6,$E29)+1)/($F29-$E29+1))))</f>
        <v>0</v>
      </c>
      <c r="BY29" s="98" t="n">
        <f aca="false">IF($E29="",0,IF(BY$6+6&lt;$E29,0,IF(BY$6&gt;$F29,0,$D29*(IF(BY$6+6&lt;$F29,BY$6+6,$F29)-IF(BY$6&gt;$E29,BY$6,$E29)+1)/($F29-$E29+1))))</f>
        <v>0</v>
      </c>
    </row>
    <row r="30" customFormat="false" ht="15" hidden="false" customHeight="false" outlineLevel="0" collapsed="false">
      <c r="A30" s="95"/>
      <c r="B30" s="95"/>
      <c r="C30" s="95" t="s">
        <v>634</v>
      </c>
      <c r="D30" s="96"/>
      <c r="E30" s="99"/>
      <c r="F30" s="99"/>
      <c r="G30" s="100"/>
      <c r="H30" s="101"/>
      <c r="I30" s="101"/>
      <c r="J30" s="101"/>
      <c r="K30" s="101"/>
      <c r="L30" s="101"/>
      <c r="M30" s="101"/>
      <c r="N30" s="101"/>
      <c r="O30" s="101"/>
      <c r="P30" s="101"/>
      <c r="Q30" s="101"/>
      <c r="R30" s="101"/>
      <c r="S30" s="101"/>
      <c r="T30" s="101"/>
      <c r="U30" s="101"/>
      <c r="V30" s="101"/>
      <c r="W30" s="101"/>
      <c r="X30" s="101"/>
      <c r="Y30" s="101"/>
      <c r="Z30" s="101"/>
      <c r="AA30" s="101"/>
      <c r="AB30" s="101"/>
      <c r="AC30" s="101"/>
      <c r="AD30" s="101"/>
      <c r="AE30" s="101"/>
      <c r="AF30" s="101"/>
      <c r="AG30" s="101"/>
      <c r="AH30" s="101"/>
      <c r="AI30" s="101"/>
      <c r="AJ30" s="101"/>
      <c r="AK30" s="101"/>
      <c r="AL30" s="101"/>
      <c r="AM30" s="101"/>
      <c r="AN30" s="101"/>
      <c r="AO30" s="101"/>
      <c r="AP30" s="101"/>
      <c r="AQ30" s="101"/>
      <c r="AR30" s="101"/>
      <c r="AS30" s="101"/>
      <c r="AT30" s="101"/>
      <c r="AU30" s="101"/>
      <c r="AV30" s="101"/>
      <c r="AW30" s="101"/>
      <c r="AX30" s="101"/>
      <c r="AY30" s="101"/>
      <c r="AZ30" s="101"/>
      <c r="BA30" s="101"/>
      <c r="BB30" s="101"/>
      <c r="BC30" s="101"/>
      <c r="BD30" s="101"/>
      <c r="BE30" s="101"/>
      <c r="BF30" s="101"/>
      <c r="BG30" s="101"/>
      <c r="BH30" s="101"/>
      <c r="BI30" s="101"/>
      <c r="BJ30" s="101"/>
      <c r="BK30" s="101"/>
      <c r="BL30" s="101"/>
      <c r="BM30" s="101"/>
      <c r="BN30" s="101"/>
      <c r="BO30" s="101"/>
      <c r="BP30" s="101"/>
      <c r="BQ30" s="101"/>
      <c r="BR30" s="101"/>
      <c r="BS30" s="101"/>
      <c r="BT30" s="101"/>
      <c r="BU30" s="101"/>
      <c r="BV30" s="101"/>
      <c r="BW30" s="101"/>
      <c r="BX30" s="101"/>
      <c r="BY30" s="101"/>
    </row>
    <row r="31" customFormat="false" ht="15" hidden="false" customHeight="false" outlineLevel="0" collapsed="false">
      <c r="A31" s="95" t="s">
        <v>382</v>
      </c>
      <c r="B31" s="95" t="s">
        <v>646</v>
      </c>
      <c r="C31" s="95" t="s">
        <v>633</v>
      </c>
      <c r="D31" s="96" t="n">
        <v>15</v>
      </c>
      <c r="E31" s="97" t="n">
        <v>46378</v>
      </c>
      <c r="F31" s="97" t="n">
        <v>46386</v>
      </c>
      <c r="G31" s="95" t="n">
        <v>8</v>
      </c>
      <c r="H31" s="98" t="n">
        <f aca="false">IF($E31="",0,IF(H$6+6&lt;$E31,0,IF(H$6&gt;$F31,0,$D31*(IF(H$6+6&lt;$F31,H$6+6,$F31)-IF(H$6&gt;$E31,H$6,$E31)+1)/($F31-$E31+1))))</f>
        <v>0</v>
      </c>
      <c r="I31" s="98" t="n">
        <f aca="false">IF($E31="",0,IF(I$6+6&lt;$E31,0,IF(I$6&gt;$F31,0,$D31*(IF(I$6+6&lt;$F31,I$6+6,$F31)-IF(I$6&gt;$E31,I$6,$E31)+1)/($F31-$E31+1))))</f>
        <v>0</v>
      </c>
      <c r="J31" s="98" t="n">
        <f aca="false">IF($E31="",0,IF(J$6+6&lt;$E31,0,IF(J$6&gt;$F31,0,$D31*(IF(J$6+6&lt;$F31,J$6+6,$F31)-IF(J$6&gt;$E31,J$6,$E31)+1)/($F31-$E31+1))))</f>
        <v>0</v>
      </c>
      <c r="K31" s="98" t="n">
        <f aca="false">IF($E31="",0,IF(K$6+6&lt;$E31,0,IF(K$6&gt;$F31,0,$D31*(IF(K$6+6&lt;$F31,K$6+6,$F31)-IF(K$6&gt;$E31,K$6,$E31)+1)/($F31-$E31+1))))</f>
        <v>0</v>
      </c>
      <c r="L31" s="98" t="n">
        <f aca="false">IF($E31="",0,IF(L$6+6&lt;$E31,0,IF(L$6&gt;$F31,0,$D31*(IF(L$6+6&lt;$F31,L$6+6,$F31)-IF(L$6&gt;$E31,L$6,$E31)+1)/($F31-$E31+1))))</f>
        <v>0</v>
      </c>
      <c r="M31" s="98" t="n">
        <f aca="false">IF($E31="",0,IF(M$6+6&lt;$E31,0,IF(M$6&gt;$F31,0,$D31*(IF(M$6+6&lt;$F31,M$6+6,$F31)-IF(M$6&gt;$E31,M$6,$E31)+1)/($F31-$E31+1))))</f>
        <v>0</v>
      </c>
      <c r="N31" s="98" t="n">
        <f aca="false">IF($E31="",0,IF(N$6+6&lt;$E31,0,IF(N$6&gt;$F31,0,$D31*(IF(N$6+6&lt;$F31,N$6+6,$F31)-IF(N$6&gt;$E31,N$6,$E31)+1)/($F31-$E31+1))))</f>
        <v>0</v>
      </c>
      <c r="O31" s="98" t="n">
        <f aca="false">IF($E31="",0,IF(O$6+6&lt;$E31,0,IF(O$6&gt;$F31,0,$D31*(IF(O$6+6&lt;$F31,O$6+6,$F31)-IF(O$6&gt;$E31,O$6,$E31)+1)/($F31-$E31+1))))</f>
        <v>0</v>
      </c>
      <c r="P31" s="98" t="n">
        <f aca="false">IF($E31="",0,IF(P$6+6&lt;$E31,0,IF(P$6&gt;$F31,0,$D31*(IF(P$6+6&lt;$F31,P$6+6,$F31)-IF(P$6&gt;$E31,P$6,$E31)+1)/($F31-$E31+1))))</f>
        <v>10</v>
      </c>
      <c r="Q31" s="98" t="n">
        <f aca="false">IF($E31="",0,IF(Q$6+6&lt;$E31,0,IF(Q$6&gt;$F31,0,$D31*(IF(Q$6+6&lt;$F31,Q$6+6,$F31)-IF(Q$6&gt;$E31,Q$6,$E31)+1)/($F31-$E31+1))))</f>
        <v>5</v>
      </c>
      <c r="R31" s="98" t="n">
        <f aca="false">IF($E31="",0,IF(R$6+6&lt;$E31,0,IF(R$6&gt;$F31,0,$D31*(IF(R$6+6&lt;$F31,R$6+6,$F31)-IF(R$6&gt;$E31,R$6,$E31)+1)/($F31-$E31+1))))</f>
        <v>0</v>
      </c>
      <c r="S31" s="98" t="n">
        <f aca="false">IF($E31="",0,IF(S$6+6&lt;$E31,0,IF(S$6&gt;$F31,0,$D31*(IF(S$6+6&lt;$F31,S$6+6,$F31)-IF(S$6&gt;$E31,S$6,$E31)+1)/($F31-$E31+1))))</f>
        <v>0</v>
      </c>
      <c r="T31" s="98" t="n">
        <f aca="false">IF($E31="",0,IF(T$6+6&lt;$E31,0,IF(T$6&gt;$F31,0,$D31*(IF(T$6+6&lt;$F31,T$6+6,$F31)-IF(T$6&gt;$E31,T$6,$E31)+1)/($F31-$E31+1))))</f>
        <v>0</v>
      </c>
      <c r="U31" s="98" t="n">
        <f aca="false">IF($E31="",0,IF(U$6+6&lt;$E31,0,IF(U$6&gt;$F31,0,$D31*(IF(U$6+6&lt;$F31,U$6+6,$F31)-IF(U$6&gt;$E31,U$6,$E31)+1)/($F31-$E31+1))))</f>
        <v>0</v>
      </c>
      <c r="V31" s="98" t="n">
        <f aca="false">IF($E31="",0,IF(V$6+6&lt;$E31,0,IF(V$6&gt;$F31,0,$D31*(IF(V$6+6&lt;$F31,V$6+6,$F31)-IF(V$6&gt;$E31,V$6,$E31)+1)/($F31-$E31+1))))</f>
        <v>0</v>
      </c>
      <c r="W31" s="98" t="n">
        <f aca="false">IF($E31="",0,IF(W$6+6&lt;$E31,0,IF(W$6&gt;$F31,0,$D31*(IF(W$6+6&lt;$F31,W$6+6,$F31)-IF(W$6&gt;$E31,W$6,$E31)+1)/($F31-$E31+1))))</f>
        <v>0</v>
      </c>
      <c r="X31" s="98" t="n">
        <f aca="false">IF($E31="",0,IF(X$6+6&lt;$E31,0,IF(X$6&gt;$F31,0,$D31*(IF(X$6+6&lt;$F31,X$6+6,$F31)-IF(X$6&gt;$E31,X$6,$E31)+1)/($F31-$E31+1))))</f>
        <v>0</v>
      </c>
      <c r="Y31" s="98" t="n">
        <f aca="false">IF($E31="",0,IF(Y$6+6&lt;$E31,0,IF(Y$6&gt;$F31,0,$D31*(IF(Y$6+6&lt;$F31,Y$6+6,$F31)-IF(Y$6&gt;$E31,Y$6,$E31)+1)/($F31-$E31+1))))</f>
        <v>0</v>
      </c>
      <c r="Z31" s="98" t="n">
        <f aca="false">IF($E31="",0,IF(Z$6+6&lt;$E31,0,IF(Z$6&gt;$F31,0,$D31*(IF(Z$6+6&lt;$F31,Z$6+6,$F31)-IF(Z$6&gt;$E31,Z$6,$E31)+1)/($F31-$E31+1))))</f>
        <v>0</v>
      </c>
      <c r="AA31" s="98" t="n">
        <f aca="false">IF($E31="",0,IF(AA$6+6&lt;$E31,0,IF(AA$6&gt;$F31,0,$D31*(IF(AA$6+6&lt;$F31,AA$6+6,$F31)-IF(AA$6&gt;$E31,AA$6,$E31)+1)/($F31-$E31+1))))</f>
        <v>0</v>
      </c>
      <c r="AB31" s="98" t="n">
        <f aca="false">IF($E31="",0,IF(AB$6+6&lt;$E31,0,IF(AB$6&gt;$F31,0,$D31*(IF(AB$6+6&lt;$F31,AB$6+6,$F31)-IF(AB$6&gt;$E31,AB$6,$E31)+1)/($F31-$E31+1))))</f>
        <v>0</v>
      </c>
      <c r="AC31" s="98" t="n">
        <f aca="false">IF($E31="",0,IF(AC$6+6&lt;$E31,0,IF(AC$6&gt;$F31,0,$D31*(IF(AC$6+6&lt;$F31,AC$6+6,$F31)-IF(AC$6&gt;$E31,AC$6,$E31)+1)/($F31-$E31+1))))</f>
        <v>0</v>
      </c>
      <c r="AD31" s="98" t="n">
        <f aca="false">IF($E31="",0,IF(AD$6+6&lt;$E31,0,IF(AD$6&gt;$F31,0,$D31*(IF(AD$6+6&lt;$F31,AD$6+6,$F31)-IF(AD$6&gt;$E31,AD$6,$E31)+1)/($F31-$E31+1))))</f>
        <v>0</v>
      </c>
      <c r="AE31" s="98" t="n">
        <f aca="false">IF($E31="",0,IF(AE$6+6&lt;$E31,0,IF(AE$6&gt;$F31,0,$D31*(IF(AE$6+6&lt;$F31,AE$6+6,$F31)-IF(AE$6&gt;$E31,AE$6,$E31)+1)/($F31-$E31+1))))</f>
        <v>0</v>
      </c>
      <c r="AF31" s="98" t="n">
        <f aca="false">IF($E31="",0,IF(AF$6+6&lt;$E31,0,IF(AF$6&gt;$F31,0,$D31*(IF(AF$6+6&lt;$F31,AF$6+6,$F31)-IF(AF$6&gt;$E31,AF$6,$E31)+1)/($F31-$E31+1))))</f>
        <v>0</v>
      </c>
      <c r="AG31" s="98" t="n">
        <f aca="false">IF($E31="",0,IF(AG$6+6&lt;$E31,0,IF(AG$6&gt;$F31,0,$D31*(IF(AG$6+6&lt;$F31,AG$6+6,$F31)-IF(AG$6&gt;$E31,AG$6,$E31)+1)/($F31-$E31+1))))</f>
        <v>0</v>
      </c>
      <c r="AH31" s="98" t="n">
        <f aca="false">IF($E31="",0,IF(AH$6+6&lt;$E31,0,IF(AH$6&gt;$F31,0,$D31*(IF(AH$6+6&lt;$F31,AH$6+6,$F31)-IF(AH$6&gt;$E31,AH$6,$E31)+1)/($F31-$E31+1))))</f>
        <v>0</v>
      </c>
      <c r="AI31" s="98" t="n">
        <f aca="false">IF($E31="",0,IF(AI$6+6&lt;$E31,0,IF(AI$6&gt;$F31,0,$D31*(IF(AI$6+6&lt;$F31,AI$6+6,$F31)-IF(AI$6&gt;$E31,AI$6,$E31)+1)/($F31-$E31+1))))</f>
        <v>0</v>
      </c>
      <c r="AJ31" s="98" t="n">
        <f aca="false">IF($E31="",0,IF(AJ$6+6&lt;$E31,0,IF(AJ$6&gt;$F31,0,$D31*(IF(AJ$6+6&lt;$F31,AJ$6+6,$F31)-IF(AJ$6&gt;$E31,AJ$6,$E31)+1)/($F31-$E31+1))))</f>
        <v>0</v>
      </c>
      <c r="AK31" s="98" t="n">
        <f aca="false">IF($E31="",0,IF(AK$6+6&lt;$E31,0,IF(AK$6&gt;$F31,0,$D31*(IF(AK$6+6&lt;$F31,AK$6+6,$F31)-IF(AK$6&gt;$E31,AK$6,$E31)+1)/($F31-$E31+1))))</f>
        <v>0</v>
      </c>
      <c r="AL31" s="98" t="n">
        <f aca="false">IF($E31="",0,IF(AL$6+6&lt;$E31,0,IF(AL$6&gt;$F31,0,$D31*(IF(AL$6+6&lt;$F31,AL$6+6,$F31)-IF(AL$6&gt;$E31,AL$6,$E31)+1)/($F31-$E31+1))))</f>
        <v>0</v>
      </c>
      <c r="AM31" s="98" t="n">
        <f aca="false">IF($E31="",0,IF(AM$6+6&lt;$E31,0,IF(AM$6&gt;$F31,0,$D31*(IF(AM$6+6&lt;$F31,AM$6+6,$F31)-IF(AM$6&gt;$E31,AM$6,$E31)+1)/($F31-$E31+1))))</f>
        <v>0</v>
      </c>
      <c r="AN31" s="98" t="n">
        <f aca="false">IF($E31="",0,IF(AN$6+6&lt;$E31,0,IF(AN$6&gt;$F31,0,$D31*(IF(AN$6+6&lt;$F31,AN$6+6,$F31)-IF(AN$6&gt;$E31,AN$6,$E31)+1)/($F31-$E31+1))))</f>
        <v>0</v>
      </c>
      <c r="AO31" s="98" t="n">
        <f aca="false">IF($E31="",0,IF(AO$6+6&lt;$E31,0,IF(AO$6&gt;$F31,0,$D31*(IF(AO$6+6&lt;$F31,AO$6+6,$F31)-IF(AO$6&gt;$E31,AO$6,$E31)+1)/($F31-$E31+1))))</f>
        <v>0</v>
      </c>
      <c r="AP31" s="98" t="n">
        <f aca="false">IF($E31="",0,IF(AP$6+6&lt;$E31,0,IF(AP$6&gt;$F31,0,$D31*(IF(AP$6+6&lt;$F31,AP$6+6,$F31)-IF(AP$6&gt;$E31,AP$6,$E31)+1)/($F31-$E31+1))))</f>
        <v>0</v>
      </c>
      <c r="AQ31" s="98" t="n">
        <f aca="false">IF($E31="",0,IF(AQ$6+6&lt;$E31,0,IF(AQ$6&gt;$F31,0,$D31*(IF(AQ$6+6&lt;$F31,AQ$6+6,$F31)-IF(AQ$6&gt;$E31,AQ$6,$E31)+1)/($F31-$E31+1))))</f>
        <v>0</v>
      </c>
      <c r="AR31" s="98" t="n">
        <f aca="false">IF($E31="",0,IF(AR$6+6&lt;$E31,0,IF(AR$6&gt;$F31,0,$D31*(IF(AR$6+6&lt;$F31,AR$6+6,$F31)-IF(AR$6&gt;$E31,AR$6,$E31)+1)/($F31-$E31+1))))</f>
        <v>0</v>
      </c>
      <c r="AS31" s="98" t="n">
        <f aca="false">IF($E31="",0,IF(AS$6+6&lt;$E31,0,IF(AS$6&gt;$F31,0,$D31*(IF(AS$6+6&lt;$F31,AS$6+6,$F31)-IF(AS$6&gt;$E31,AS$6,$E31)+1)/($F31-$E31+1))))</f>
        <v>0</v>
      </c>
      <c r="AT31" s="98" t="n">
        <f aca="false">IF($E31="",0,IF(AT$6+6&lt;$E31,0,IF(AT$6&gt;$F31,0,$D31*(IF(AT$6+6&lt;$F31,AT$6+6,$F31)-IF(AT$6&gt;$E31,AT$6,$E31)+1)/($F31-$E31+1))))</f>
        <v>0</v>
      </c>
      <c r="AU31" s="98" t="n">
        <f aca="false">IF($E31="",0,IF(AU$6+6&lt;$E31,0,IF(AU$6&gt;$F31,0,$D31*(IF(AU$6+6&lt;$F31,AU$6+6,$F31)-IF(AU$6&gt;$E31,AU$6,$E31)+1)/($F31-$E31+1))))</f>
        <v>0</v>
      </c>
      <c r="AV31" s="98" t="n">
        <f aca="false">IF($E31="",0,IF(AV$6+6&lt;$E31,0,IF(AV$6&gt;$F31,0,$D31*(IF(AV$6+6&lt;$F31,AV$6+6,$F31)-IF(AV$6&gt;$E31,AV$6,$E31)+1)/($F31-$E31+1))))</f>
        <v>0</v>
      </c>
      <c r="AW31" s="98" t="n">
        <f aca="false">IF($E31="",0,IF(AW$6+6&lt;$E31,0,IF(AW$6&gt;$F31,0,$D31*(IF(AW$6+6&lt;$F31,AW$6+6,$F31)-IF(AW$6&gt;$E31,AW$6,$E31)+1)/($F31-$E31+1))))</f>
        <v>0</v>
      </c>
      <c r="AX31" s="98" t="n">
        <f aca="false">IF($E31="",0,IF(AX$6+6&lt;$E31,0,IF(AX$6&gt;$F31,0,$D31*(IF(AX$6+6&lt;$F31,AX$6+6,$F31)-IF(AX$6&gt;$E31,AX$6,$E31)+1)/($F31-$E31+1))))</f>
        <v>0</v>
      </c>
      <c r="AY31" s="98" t="n">
        <f aca="false">IF($E31="",0,IF(AY$6+6&lt;$E31,0,IF(AY$6&gt;$F31,0,$D31*(IF(AY$6+6&lt;$F31,AY$6+6,$F31)-IF(AY$6&gt;$E31,AY$6,$E31)+1)/($F31-$E31+1))))</f>
        <v>0</v>
      </c>
      <c r="AZ31" s="98" t="n">
        <f aca="false">IF($E31="",0,IF(AZ$6+6&lt;$E31,0,IF(AZ$6&gt;$F31,0,$D31*(IF(AZ$6+6&lt;$F31,AZ$6+6,$F31)-IF(AZ$6&gt;$E31,AZ$6,$E31)+1)/($F31-$E31+1))))</f>
        <v>0</v>
      </c>
      <c r="BA31" s="98" t="n">
        <f aca="false">IF($E31="",0,IF(BA$6+6&lt;$E31,0,IF(BA$6&gt;$F31,0,$D31*(IF(BA$6+6&lt;$F31,BA$6+6,$F31)-IF(BA$6&gt;$E31,BA$6,$E31)+1)/($F31-$E31+1))))</f>
        <v>0</v>
      </c>
      <c r="BB31" s="98" t="n">
        <f aca="false">IF($E31="",0,IF(BB$6+6&lt;$E31,0,IF(BB$6&gt;$F31,0,$D31*(IF(BB$6+6&lt;$F31,BB$6+6,$F31)-IF(BB$6&gt;$E31,BB$6,$E31)+1)/($F31-$E31+1))))</f>
        <v>0</v>
      </c>
      <c r="BC31" s="98" t="n">
        <f aca="false">IF($E31="",0,IF(BC$6+6&lt;$E31,0,IF(BC$6&gt;$F31,0,$D31*(IF(BC$6+6&lt;$F31,BC$6+6,$F31)-IF(BC$6&gt;$E31,BC$6,$E31)+1)/($F31-$E31+1))))</f>
        <v>0</v>
      </c>
      <c r="BD31" s="98" t="n">
        <f aca="false">IF($E31="",0,IF(BD$6+6&lt;$E31,0,IF(BD$6&gt;$F31,0,$D31*(IF(BD$6+6&lt;$F31,BD$6+6,$F31)-IF(BD$6&gt;$E31,BD$6,$E31)+1)/($F31-$E31+1))))</f>
        <v>0</v>
      </c>
      <c r="BE31" s="98" t="n">
        <f aca="false">IF($E31="",0,IF(BE$6+6&lt;$E31,0,IF(BE$6&gt;$F31,0,$D31*(IF(BE$6+6&lt;$F31,BE$6+6,$F31)-IF(BE$6&gt;$E31,BE$6,$E31)+1)/($F31-$E31+1))))</f>
        <v>0</v>
      </c>
      <c r="BF31" s="98" t="n">
        <f aca="false">IF($E31="",0,IF(BF$6+6&lt;$E31,0,IF(BF$6&gt;$F31,0,$D31*(IF(BF$6+6&lt;$F31,BF$6+6,$F31)-IF(BF$6&gt;$E31,BF$6,$E31)+1)/($F31-$E31+1))))</f>
        <v>0</v>
      </c>
      <c r="BG31" s="98" t="n">
        <f aca="false">IF($E31="",0,IF(BG$6+6&lt;$E31,0,IF(BG$6&gt;$F31,0,$D31*(IF(BG$6+6&lt;$F31,BG$6+6,$F31)-IF(BG$6&gt;$E31,BG$6,$E31)+1)/($F31-$E31+1))))</f>
        <v>0</v>
      </c>
      <c r="BH31" s="98" t="n">
        <f aca="false">IF($E31="",0,IF(BH$6+6&lt;$E31,0,IF(BH$6&gt;$F31,0,$D31*(IF(BH$6+6&lt;$F31,BH$6+6,$F31)-IF(BH$6&gt;$E31,BH$6,$E31)+1)/($F31-$E31+1))))</f>
        <v>0</v>
      </c>
      <c r="BI31" s="98" t="n">
        <f aca="false">IF($E31="",0,IF(BI$6+6&lt;$E31,0,IF(BI$6&gt;$F31,0,$D31*(IF(BI$6+6&lt;$F31,BI$6+6,$F31)-IF(BI$6&gt;$E31,BI$6,$E31)+1)/($F31-$E31+1))))</f>
        <v>0</v>
      </c>
      <c r="BJ31" s="98" t="n">
        <f aca="false">IF($E31="",0,IF(BJ$6+6&lt;$E31,0,IF(BJ$6&gt;$F31,0,$D31*(IF(BJ$6+6&lt;$F31,BJ$6+6,$F31)-IF(BJ$6&gt;$E31,BJ$6,$E31)+1)/($F31-$E31+1))))</f>
        <v>0</v>
      </c>
      <c r="BK31" s="98" t="n">
        <f aca="false">IF($E31="",0,IF(BK$6+6&lt;$E31,0,IF(BK$6&gt;$F31,0,$D31*(IF(BK$6+6&lt;$F31,BK$6+6,$F31)-IF(BK$6&gt;$E31,BK$6,$E31)+1)/($F31-$E31+1))))</f>
        <v>0</v>
      </c>
      <c r="BL31" s="98" t="n">
        <f aca="false">IF($E31="",0,IF(BL$6+6&lt;$E31,0,IF(BL$6&gt;$F31,0,$D31*(IF(BL$6+6&lt;$F31,BL$6+6,$F31)-IF(BL$6&gt;$E31,BL$6,$E31)+1)/($F31-$E31+1))))</f>
        <v>0</v>
      </c>
      <c r="BM31" s="98" t="n">
        <f aca="false">IF($E31="",0,IF(BM$6+6&lt;$E31,0,IF(BM$6&gt;$F31,0,$D31*(IF(BM$6+6&lt;$F31,BM$6+6,$F31)-IF(BM$6&gt;$E31,BM$6,$E31)+1)/($F31-$E31+1))))</f>
        <v>0</v>
      </c>
      <c r="BN31" s="98" t="n">
        <f aca="false">IF($E31="",0,IF(BN$6+6&lt;$E31,0,IF(BN$6&gt;$F31,0,$D31*(IF(BN$6+6&lt;$F31,BN$6+6,$F31)-IF(BN$6&gt;$E31,BN$6,$E31)+1)/($F31-$E31+1))))</f>
        <v>0</v>
      </c>
      <c r="BO31" s="98" t="n">
        <f aca="false">IF($E31="",0,IF(BO$6+6&lt;$E31,0,IF(BO$6&gt;$F31,0,$D31*(IF(BO$6+6&lt;$F31,BO$6+6,$F31)-IF(BO$6&gt;$E31,BO$6,$E31)+1)/($F31-$E31+1))))</f>
        <v>0</v>
      </c>
      <c r="BP31" s="98" t="n">
        <f aca="false">IF($E31="",0,IF(BP$6+6&lt;$E31,0,IF(BP$6&gt;$F31,0,$D31*(IF(BP$6+6&lt;$F31,BP$6+6,$F31)-IF(BP$6&gt;$E31,BP$6,$E31)+1)/($F31-$E31+1))))</f>
        <v>0</v>
      </c>
      <c r="BQ31" s="98" t="n">
        <f aca="false">IF($E31="",0,IF(BQ$6+6&lt;$E31,0,IF(BQ$6&gt;$F31,0,$D31*(IF(BQ$6+6&lt;$F31,BQ$6+6,$F31)-IF(BQ$6&gt;$E31,BQ$6,$E31)+1)/($F31-$E31+1))))</f>
        <v>0</v>
      </c>
      <c r="BR31" s="98" t="n">
        <f aca="false">IF($E31="",0,IF(BR$6+6&lt;$E31,0,IF(BR$6&gt;$F31,0,$D31*(IF(BR$6+6&lt;$F31,BR$6+6,$F31)-IF(BR$6&gt;$E31,BR$6,$E31)+1)/($F31-$E31+1))))</f>
        <v>0</v>
      </c>
      <c r="BS31" s="98" t="n">
        <f aca="false">IF($E31="",0,IF(BS$6+6&lt;$E31,0,IF(BS$6&gt;$F31,0,$D31*(IF(BS$6+6&lt;$F31,BS$6+6,$F31)-IF(BS$6&gt;$E31,BS$6,$E31)+1)/($F31-$E31+1))))</f>
        <v>0</v>
      </c>
      <c r="BT31" s="98" t="n">
        <f aca="false">IF($E31="",0,IF(BT$6+6&lt;$E31,0,IF(BT$6&gt;$F31,0,$D31*(IF(BT$6+6&lt;$F31,BT$6+6,$F31)-IF(BT$6&gt;$E31,BT$6,$E31)+1)/($F31-$E31+1))))</f>
        <v>0</v>
      </c>
      <c r="BU31" s="98" t="n">
        <f aca="false">IF($E31="",0,IF(BU$6+6&lt;$E31,0,IF(BU$6&gt;$F31,0,$D31*(IF(BU$6+6&lt;$F31,BU$6+6,$F31)-IF(BU$6&gt;$E31,BU$6,$E31)+1)/($F31-$E31+1))))</f>
        <v>0</v>
      </c>
      <c r="BV31" s="98" t="n">
        <f aca="false">IF($E31="",0,IF(BV$6+6&lt;$E31,0,IF(BV$6&gt;$F31,0,$D31*(IF(BV$6+6&lt;$F31,BV$6+6,$F31)-IF(BV$6&gt;$E31,BV$6,$E31)+1)/($F31-$E31+1))))</f>
        <v>0</v>
      </c>
      <c r="BW31" s="98" t="n">
        <f aca="false">IF($E31="",0,IF(BW$6+6&lt;$E31,0,IF(BW$6&gt;$F31,0,$D31*(IF(BW$6+6&lt;$F31,BW$6+6,$F31)-IF(BW$6&gt;$E31,BW$6,$E31)+1)/($F31-$E31+1))))</f>
        <v>0</v>
      </c>
      <c r="BX31" s="98" t="n">
        <f aca="false">IF($E31="",0,IF(BX$6+6&lt;$E31,0,IF(BX$6&gt;$F31,0,$D31*(IF(BX$6+6&lt;$F31,BX$6+6,$F31)-IF(BX$6&gt;$E31,BX$6,$E31)+1)/($F31-$E31+1))))</f>
        <v>0</v>
      </c>
      <c r="BY31" s="98" t="n">
        <f aca="false">IF($E31="",0,IF(BY$6+6&lt;$E31,0,IF(BY$6&gt;$F31,0,$D31*(IF(BY$6+6&lt;$F31,BY$6+6,$F31)-IF(BY$6&gt;$E31,BY$6,$E31)+1)/($F31-$E31+1))))</f>
        <v>0</v>
      </c>
    </row>
    <row r="32" customFormat="false" ht="15" hidden="false" customHeight="false" outlineLevel="0" collapsed="false">
      <c r="A32" s="95"/>
      <c r="B32" s="95"/>
      <c r="C32" s="95" t="s">
        <v>634</v>
      </c>
      <c r="D32" s="96"/>
      <c r="E32" s="99"/>
      <c r="F32" s="99"/>
      <c r="G32" s="100"/>
      <c r="H32" s="101"/>
      <c r="I32" s="101"/>
      <c r="J32" s="101"/>
      <c r="K32" s="101"/>
      <c r="L32" s="101"/>
      <c r="M32" s="101"/>
      <c r="N32" s="101"/>
      <c r="O32" s="101"/>
      <c r="P32" s="101"/>
      <c r="Q32" s="101"/>
      <c r="R32" s="101"/>
      <c r="S32" s="101"/>
      <c r="T32" s="101"/>
      <c r="U32" s="101"/>
      <c r="V32" s="101"/>
      <c r="W32" s="101"/>
      <c r="X32" s="101"/>
      <c r="Y32" s="101"/>
      <c r="Z32" s="101"/>
      <c r="AA32" s="101"/>
      <c r="AB32" s="101"/>
      <c r="AC32" s="101"/>
      <c r="AD32" s="101"/>
      <c r="AE32" s="101"/>
      <c r="AF32" s="101"/>
      <c r="AG32" s="101"/>
      <c r="AH32" s="101"/>
      <c r="AI32" s="101"/>
      <c r="AJ32" s="101"/>
      <c r="AK32" s="101"/>
      <c r="AL32" s="101"/>
      <c r="AM32" s="101"/>
      <c r="AN32" s="101"/>
      <c r="AO32" s="101"/>
      <c r="AP32" s="101"/>
      <c r="AQ32" s="101"/>
      <c r="AR32" s="101"/>
      <c r="AS32" s="101"/>
      <c r="AT32" s="101"/>
      <c r="AU32" s="101"/>
      <c r="AV32" s="101"/>
      <c r="AW32" s="101"/>
      <c r="AX32" s="101"/>
      <c r="AY32" s="101"/>
      <c r="AZ32" s="101"/>
      <c r="BA32" s="101"/>
      <c r="BB32" s="101"/>
      <c r="BC32" s="101"/>
      <c r="BD32" s="101"/>
      <c r="BE32" s="101"/>
      <c r="BF32" s="101"/>
      <c r="BG32" s="101"/>
      <c r="BH32" s="101"/>
      <c r="BI32" s="101"/>
      <c r="BJ32" s="101"/>
      <c r="BK32" s="101"/>
      <c r="BL32" s="101"/>
      <c r="BM32" s="101"/>
      <c r="BN32" s="101"/>
      <c r="BO32" s="101"/>
      <c r="BP32" s="101"/>
      <c r="BQ32" s="101"/>
      <c r="BR32" s="101"/>
      <c r="BS32" s="101"/>
      <c r="BT32" s="101"/>
      <c r="BU32" s="101"/>
      <c r="BV32" s="101"/>
      <c r="BW32" s="101"/>
      <c r="BX32" s="101"/>
      <c r="BY32" s="101"/>
    </row>
    <row r="33" customFormat="false" ht="15" hidden="false" customHeight="false" outlineLevel="0" collapsed="false">
      <c r="A33" s="95" t="s">
        <v>402</v>
      </c>
      <c r="B33" s="95" t="s">
        <v>647</v>
      </c>
      <c r="C33" s="95" t="s">
        <v>633</v>
      </c>
      <c r="D33" s="96" t="n">
        <v>10</v>
      </c>
      <c r="E33" s="97" t="n">
        <v>46378</v>
      </c>
      <c r="F33" s="97" t="n">
        <v>46387</v>
      </c>
      <c r="G33" s="95" t="n">
        <v>9</v>
      </c>
      <c r="H33" s="98" t="n">
        <f aca="false">IF($E33="",0,IF(H$6+6&lt;$E33,0,IF(H$6&gt;$F33,0,$D33*(IF(H$6+6&lt;$F33,H$6+6,$F33)-IF(H$6&gt;$E33,H$6,$E33)+1)/($F33-$E33+1))))</f>
        <v>0</v>
      </c>
      <c r="I33" s="98" t="n">
        <f aca="false">IF($E33="",0,IF(I$6+6&lt;$E33,0,IF(I$6&gt;$F33,0,$D33*(IF(I$6+6&lt;$F33,I$6+6,$F33)-IF(I$6&gt;$E33,I$6,$E33)+1)/($F33-$E33+1))))</f>
        <v>0</v>
      </c>
      <c r="J33" s="98" t="n">
        <f aca="false">IF($E33="",0,IF(J$6+6&lt;$E33,0,IF(J$6&gt;$F33,0,$D33*(IF(J$6+6&lt;$F33,J$6+6,$F33)-IF(J$6&gt;$E33,J$6,$E33)+1)/($F33-$E33+1))))</f>
        <v>0</v>
      </c>
      <c r="K33" s="98" t="n">
        <f aca="false">IF($E33="",0,IF(K$6+6&lt;$E33,0,IF(K$6&gt;$F33,0,$D33*(IF(K$6+6&lt;$F33,K$6+6,$F33)-IF(K$6&gt;$E33,K$6,$E33)+1)/($F33-$E33+1))))</f>
        <v>0</v>
      </c>
      <c r="L33" s="98" t="n">
        <f aca="false">IF($E33="",0,IF(L$6+6&lt;$E33,0,IF(L$6&gt;$F33,0,$D33*(IF(L$6+6&lt;$F33,L$6+6,$F33)-IF(L$6&gt;$E33,L$6,$E33)+1)/($F33-$E33+1))))</f>
        <v>0</v>
      </c>
      <c r="M33" s="98" t="n">
        <f aca="false">IF($E33="",0,IF(M$6+6&lt;$E33,0,IF(M$6&gt;$F33,0,$D33*(IF(M$6+6&lt;$F33,M$6+6,$F33)-IF(M$6&gt;$E33,M$6,$E33)+1)/($F33-$E33+1))))</f>
        <v>0</v>
      </c>
      <c r="N33" s="98" t="n">
        <f aca="false">IF($E33="",0,IF(N$6+6&lt;$E33,0,IF(N$6&gt;$F33,0,$D33*(IF(N$6+6&lt;$F33,N$6+6,$F33)-IF(N$6&gt;$E33,N$6,$E33)+1)/($F33-$E33+1))))</f>
        <v>0</v>
      </c>
      <c r="O33" s="98" t="n">
        <f aca="false">IF($E33="",0,IF(O$6+6&lt;$E33,0,IF(O$6&gt;$F33,0,$D33*(IF(O$6+6&lt;$F33,O$6+6,$F33)-IF(O$6&gt;$E33,O$6,$E33)+1)/($F33-$E33+1))))</f>
        <v>0</v>
      </c>
      <c r="P33" s="98" t="n">
        <f aca="false">IF($E33="",0,IF(P$6+6&lt;$E33,0,IF(P$6&gt;$F33,0,$D33*(IF(P$6+6&lt;$F33,P$6+6,$F33)-IF(P$6&gt;$E33,P$6,$E33)+1)/($F33-$E33+1))))</f>
        <v>6</v>
      </c>
      <c r="Q33" s="98" t="n">
        <f aca="false">IF($E33="",0,IF(Q$6+6&lt;$E33,0,IF(Q$6&gt;$F33,0,$D33*(IF(Q$6+6&lt;$F33,Q$6+6,$F33)-IF(Q$6&gt;$E33,Q$6,$E33)+1)/($F33-$E33+1))))</f>
        <v>4</v>
      </c>
      <c r="R33" s="98" t="n">
        <f aca="false">IF($E33="",0,IF(R$6+6&lt;$E33,0,IF(R$6&gt;$F33,0,$D33*(IF(R$6+6&lt;$F33,R$6+6,$F33)-IF(R$6&gt;$E33,R$6,$E33)+1)/($F33-$E33+1))))</f>
        <v>0</v>
      </c>
      <c r="S33" s="98" t="n">
        <f aca="false">IF($E33="",0,IF(S$6+6&lt;$E33,0,IF(S$6&gt;$F33,0,$D33*(IF(S$6+6&lt;$F33,S$6+6,$F33)-IF(S$6&gt;$E33,S$6,$E33)+1)/($F33-$E33+1))))</f>
        <v>0</v>
      </c>
      <c r="T33" s="98" t="n">
        <f aca="false">IF($E33="",0,IF(T$6+6&lt;$E33,0,IF(T$6&gt;$F33,0,$D33*(IF(T$6+6&lt;$F33,T$6+6,$F33)-IF(T$6&gt;$E33,T$6,$E33)+1)/($F33-$E33+1))))</f>
        <v>0</v>
      </c>
      <c r="U33" s="98" t="n">
        <f aca="false">IF($E33="",0,IF(U$6+6&lt;$E33,0,IF(U$6&gt;$F33,0,$D33*(IF(U$6+6&lt;$F33,U$6+6,$F33)-IF(U$6&gt;$E33,U$6,$E33)+1)/($F33-$E33+1))))</f>
        <v>0</v>
      </c>
      <c r="V33" s="98" t="n">
        <f aca="false">IF($E33="",0,IF(V$6+6&lt;$E33,0,IF(V$6&gt;$F33,0,$D33*(IF(V$6+6&lt;$F33,V$6+6,$F33)-IF(V$6&gt;$E33,V$6,$E33)+1)/($F33-$E33+1))))</f>
        <v>0</v>
      </c>
      <c r="W33" s="98" t="n">
        <f aca="false">IF($E33="",0,IF(W$6+6&lt;$E33,0,IF(W$6&gt;$F33,0,$D33*(IF(W$6+6&lt;$F33,W$6+6,$F33)-IF(W$6&gt;$E33,W$6,$E33)+1)/($F33-$E33+1))))</f>
        <v>0</v>
      </c>
      <c r="X33" s="98" t="n">
        <f aca="false">IF($E33="",0,IF(X$6+6&lt;$E33,0,IF(X$6&gt;$F33,0,$D33*(IF(X$6+6&lt;$F33,X$6+6,$F33)-IF(X$6&gt;$E33,X$6,$E33)+1)/($F33-$E33+1))))</f>
        <v>0</v>
      </c>
      <c r="Y33" s="98" t="n">
        <f aca="false">IF($E33="",0,IF(Y$6+6&lt;$E33,0,IF(Y$6&gt;$F33,0,$D33*(IF(Y$6+6&lt;$F33,Y$6+6,$F33)-IF(Y$6&gt;$E33,Y$6,$E33)+1)/($F33-$E33+1))))</f>
        <v>0</v>
      </c>
      <c r="Z33" s="98" t="n">
        <f aca="false">IF($E33="",0,IF(Z$6+6&lt;$E33,0,IF(Z$6&gt;$F33,0,$D33*(IF(Z$6+6&lt;$F33,Z$6+6,$F33)-IF(Z$6&gt;$E33,Z$6,$E33)+1)/($F33-$E33+1))))</f>
        <v>0</v>
      </c>
      <c r="AA33" s="98" t="n">
        <f aca="false">IF($E33="",0,IF(AA$6+6&lt;$E33,0,IF(AA$6&gt;$F33,0,$D33*(IF(AA$6+6&lt;$F33,AA$6+6,$F33)-IF(AA$6&gt;$E33,AA$6,$E33)+1)/($F33-$E33+1))))</f>
        <v>0</v>
      </c>
      <c r="AB33" s="98" t="n">
        <f aca="false">IF($E33="",0,IF(AB$6+6&lt;$E33,0,IF(AB$6&gt;$F33,0,$D33*(IF(AB$6+6&lt;$F33,AB$6+6,$F33)-IF(AB$6&gt;$E33,AB$6,$E33)+1)/($F33-$E33+1))))</f>
        <v>0</v>
      </c>
      <c r="AC33" s="98" t="n">
        <f aca="false">IF($E33="",0,IF(AC$6+6&lt;$E33,0,IF(AC$6&gt;$F33,0,$D33*(IF(AC$6+6&lt;$F33,AC$6+6,$F33)-IF(AC$6&gt;$E33,AC$6,$E33)+1)/($F33-$E33+1))))</f>
        <v>0</v>
      </c>
      <c r="AD33" s="98" t="n">
        <f aca="false">IF($E33="",0,IF(AD$6+6&lt;$E33,0,IF(AD$6&gt;$F33,0,$D33*(IF(AD$6+6&lt;$F33,AD$6+6,$F33)-IF(AD$6&gt;$E33,AD$6,$E33)+1)/($F33-$E33+1))))</f>
        <v>0</v>
      </c>
      <c r="AE33" s="98" t="n">
        <f aca="false">IF($E33="",0,IF(AE$6+6&lt;$E33,0,IF(AE$6&gt;$F33,0,$D33*(IF(AE$6+6&lt;$F33,AE$6+6,$F33)-IF(AE$6&gt;$E33,AE$6,$E33)+1)/($F33-$E33+1))))</f>
        <v>0</v>
      </c>
      <c r="AF33" s="98" t="n">
        <f aca="false">IF($E33="",0,IF(AF$6+6&lt;$E33,0,IF(AF$6&gt;$F33,0,$D33*(IF(AF$6+6&lt;$F33,AF$6+6,$F33)-IF(AF$6&gt;$E33,AF$6,$E33)+1)/($F33-$E33+1))))</f>
        <v>0</v>
      </c>
      <c r="AG33" s="98" t="n">
        <f aca="false">IF($E33="",0,IF(AG$6+6&lt;$E33,0,IF(AG$6&gt;$F33,0,$D33*(IF(AG$6+6&lt;$F33,AG$6+6,$F33)-IF(AG$6&gt;$E33,AG$6,$E33)+1)/($F33-$E33+1))))</f>
        <v>0</v>
      </c>
      <c r="AH33" s="98" t="n">
        <f aca="false">IF($E33="",0,IF(AH$6+6&lt;$E33,0,IF(AH$6&gt;$F33,0,$D33*(IF(AH$6+6&lt;$F33,AH$6+6,$F33)-IF(AH$6&gt;$E33,AH$6,$E33)+1)/($F33-$E33+1))))</f>
        <v>0</v>
      </c>
      <c r="AI33" s="98" t="n">
        <f aca="false">IF($E33="",0,IF(AI$6+6&lt;$E33,0,IF(AI$6&gt;$F33,0,$D33*(IF(AI$6+6&lt;$F33,AI$6+6,$F33)-IF(AI$6&gt;$E33,AI$6,$E33)+1)/($F33-$E33+1))))</f>
        <v>0</v>
      </c>
      <c r="AJ33" s="98" t="n">
        <f aca="false">IF($E33="",0,IF(AJ$6+6&lt;$E33,0,IF(AJ$6&gt;$F33,0,$D33*(IF(AJ$6+6&lt;$F33,AJ$6+6,$F33)-IF(AJ$6&gt;$E33,AJ$6,$E33)+1)/($F33-$E33+1))))</f>
        <v>0</v>
      </c>
      <c r="AK33" s="98" t="n">
        <f aca="false">IF($E33="",0,IF(AK$6+6&lt;$E33,0,IF(AK$6&gt;$F33,0,$D33*(IF(AK$6+6&lt;$F33,AK$6+6,$F33)-IF(AK$6&gt;$E33,AK$6,$E33)+1)/($F33-$E33+1))))</f>
        <v>0</v>
      </c>
      <c r="AL33" s="98" t="n">
        <f aca="false">IF($E33="",0,IF(AL$6+6&lt;$E33,0,IF(AL$6&gt;$F33,0,$D33*(IF(AL$6+6&lt;$F33,AL$6+6,$F33)-IF(AL$6&gt;$E33,AL$6,$E33)+1)/($F33-$E33+1))))</f>
        <v>0</v>
      </c>
      <c r="AM33" s="98" t="n">
        <f aca="false">IF($E33="",0,IF(AM$6+6&lt;$E33,0,IF(AM$6&gt;$F33,0,$D33*(IF(AM$6+6&lt;$F33,AM$6+6,$F33)-IF(AM$6&gt;$E33,AM$6,$E33)+1)/($F33-$E33+1))))</f>
        <v>0</v>
      </c>
      <c r="AN33" s="98" t="n">
        <f aca="false">IF($E33="",0,IF(AN$6+6&lt;$E33,0,IF(AN$6&gt;$F33,0,$D33*(IF(AN$6+6&lt;$F33,AN$6+6,$F33)-IF(AN$6&gt;$E33,AN$6,$E33)+1)/($F33-$E33+1))))</f>
        <v>0</v>
      </c>
      <c r="AO33" s="98" t="n">
        <f aca="false">IF($E33="",0,IF(AO$6+6&lt;$E33,0,IF(AO$6&gt;$F33,0,$D33*(IF(AO$6+6&lt;$F33,AO$6+6,$F33)-IF(AO$6&gt;$E33,AO$6,$E33)+1)/($F33-$E33+1))))</f>
        <v>0</v>
      </c>
      <c r="AP33" s="98" t="n">
        <f aca="false">IF($E33="",0,IF(AP$6+6&lt;$E33,0,IF(AP$6&gt;$F33,0,$D33*(IF(AP$6+6&lt;$F33,AP$6+6,$F33)-IF(AP$6&gt;$E33,AP$6,$E33)+1)/($F33-$E33+1))))</f>
        <v>0</v>
      </c>
      <c r="AQ33" s="98" t="n">
        <f aca="false">IF($E33="",0,IF(AQ$6+6&lt;$E33,0,IF(AQ$6&gt;$F33,0,$D33*(IF(AQ$6+6&lt;$F33,AQ$6+6,$F33)-IF(AQ$6&gt;$E33,AQ$6,$E33)+1)/($F33-$E33+1))))</f>
        <v>0</v>
      </c>
      <c r="AR33" s="98" t="n">
        <f aca="false">IF($E33="",0,IF(AR$6+6&lt;$E33,0,IF(AR$6&gt;$F33,0,$D33*(IF(AR$6+6&lt;$F33,AR$6+6,$F33)-IF(AR$6&gt;$E33,AR$6,$E33)+1)/($F33-$E33+1))))</f>
        <v>0</v>
      </c>
      <c r="AS33" s="98" t="n">
        <f aca="false">IF($E33="",0,IF(AS$6+6&lt;$E33,0,IF(AS$6&gt;$F33,0,$D33*(IF(AS$6+6&lt;$F33,AS$6+6,$F33)-IF(AS$6&gt;$E33,AS$6,$E33)+1)/($F33-$E33+1))))</f>
        <v>0</v>
      </c>
      <c r="AT33" s="98" t="n">
        <f aca="false">IF($E33="",0,IF(AT$6+6&lt;$E33,0,IF(AT$6&gt;$F33,0,$D33*(IF(AT$6+6&lt;$F33,AT$6+6,$F33)-IF(AT$6&gt;$E33,AT$6,$E33)+1)/($F33-$E33+1))))</f>
        <v>0</v>
      </c>
      <c r="AU33" s="98" t="n">
        <f aca="false">IF($E33="",0,IF(AU$6+6&lt;$E33,0,IF(AU$6&gt;$F33,0,$D33*(IF(AU$6+6&lt;$F33,AU$6+6,$F33)-IF(AU$6&gt;$E33,AU$6,$E33)+1)/($F33-$E33+1))))</f>
        <v>0</v>
      </c>
      <c r="AV33" s="98" t="n">
        <f aca="false">IF($E33="",0,IF(AV$6+6&lt;$E33,0,IF(AV$6&gt;$F33,0,$D33*(IF(AV$6+6&lt;$F33,AV$6+6,$F33)-IF(AV$6&gt;$E33,AV$6,$E33)+1)/($F33-$E33+1))))</f>
        <v>0</v>
      </c>
      <c r="AW33" s="98" t="n">
        <f aca="false">IF($E33="",0,IF(AW$6+6&lt;$E33,0,IF(AW$6&gt;$F33,0,$D33*(IF(AW$6+6&lt;$F33,AW$6+6,$F33)-IF(AW$6&gt;$E33,AW$6,$E33)+1)/($F33-$E33+1))))</f>
        <v>0</v>
      </c>
      <c r="AX33" s="98" t="n">
        <f aca="false">IF($E33="",0,IF(AX$6+6&lt;$E33,0,IF(AX$6&gt;$F33,0,$D33*(IF(AX$6+6&lt;$F33,AX$6+6,$F33)-IF(AX$6&gt;$E33,AX$6,$E33)+1)/($F33-$E33+1))))</f>
        <v>0</v>
      </c>
      <c r="AY33" s="98" t="n">
        <f aca="false">IF($E33="",0,IF(AY$6+6&lt;$E33,0,IF(AY$6&gt;$F33,0,$D33*(IF(AY$6+6&lt;$F33,AY$6+6,$F33)-IF(AY$6&gt;$E33,AY$6,$E33)+1)/($F33-$E33+1))))</f>
        <v>0</v>
      </c>
      <c r="AZ33" s="98" t="n">
        <f aca="false">IF($E33="",0,IF(AZ$6+6&lt;$E33,0,IF(AZ$6&gt;$F33,0,$D33*(IF(AZ$6+6&lt;$F33,AZ$6+6,$F33)-IF(AZ$6&gt;$E33,AZ$6,$E33)+1)/($F33-$E33+1))))</f>
        <v>0</v>
      </c>
      <c r="BA33" s="98" t="n">
        <f aca="false">IF($E33="",0,IF(BA$6+6&lt;$E33,0,IF(BA$6&gt;$F33,0,$D33*(IF(BA$6+6&lt;$F33,BA$6+6,$F33)-IF(BA$6&gt;$E33,BA$6,$E33)+1)/($F33-$E33+1))))</f>
        <v>0</v>
      </c>
      <c r="BB33" s="98" t="n">
        <f aca="false">IF($E33="",0,IF(BB$6+6&lt;$E33,0,IF(BB$6&gt;$F33,0,$D33*(IF(BB$6+6&lt;$F33,BB$6+6,$F33)-IF(BB$6&gt;$E33,BB$6,$E33)+1)/($F33-$E33+1))))</f>
        <v>0</v>
      </c>
      <c r="BC33" s="98" t="n">
        <f aca="false">IF($E33="",0,IF(BC$6+6&lt;$E33,0,IF(BC$6&gt;$F33,0,$D33*(IF(BC$6+6&lt;$F33,BC$6+6,$F33)-IF(BC$6&gt;$E33,BC$6,$E33)+1)/($F33-$E33+1))))</f>
        <v>0</v>
      </c>
      <c r="BD33" s="98" t="n">
        <f aca="false">IF($E33="",0,IF(BD$6+6&lt;$E33,0,IF(BD$6&gt;$F33,0,$D33*(IF(BD$6+6&lt;$F33,BD$6+6,$F33)-IF(BD$6&gt;$E33,BD$6,$E33)+1)/($F33-$E33+1))))</f>
        <v>0</v>
      </c>
      <c r="BE33" s="98" t="n">
        <f aca="false">IF($E33="",0,IF(BE$6+6&lt;$E33,0,IF(BE$6&gt;$F33,0,$D33*(IF(BE$6+6&lt;$F33,BE$6+6,$F33)-IF(BE$6&gt;$E33,BE$6,$E33)+1)/($F33-$E33+1))))</f>
        <v>0</v>
      </c>
      <c r="BF33" s="98" t="n">
        <f aca="false">IF($E33="",0,IF(BF$6+6&lt;$E33,0,IF(BF$6&gt;$F33,0,$D33*(IF(BF$6+6&lt;$F33,BF$6+6,$F33)-IF(BF$6&gt;$E33,BF$6,$E33)+1)/($F33-$E33+1))))</f>
        <v>0</v>
      </c>
      <c r="BG33" s="98" t="n">
        <f aca="false">IF($E33="",0,IF(BG$6+6&lt;$E33,0,IF(BG$6&gt;$F33,0,$D33*(IF(BG$6+6&lt;$F33,BG$6+6,$F33)-IF(BG$6&gt;$E33,BG$6,$E33)+1)/($F33-$E33+1))))</f>
        <v>0</v>
      </c>
      <c r="BH33" s="98" t="n">
        <f aca="false">IF($E33="",0,IF(BH$6+6&lt;$E33,0,IF(BH$6&gt;$F33,0,$D33*(IF(BH$6+6&lt;$F33,BH$6+6,$F33)-IF(BH$6&gt;$E33,BH$6,$E33)+1)/($F33-$E33+1))))</f>
        <v>0</v>
      </c>
      <c r="BI33" s="98" t="n">
        <f aca="false">IF($E33="",0,IF(BI$6+6&lt;$E33,0,IF(BI$6&gt;$F33,0,$D33*(IF(BI$6+6&lt;$F33,BI$6+6,$F33)-IF(BI$6&gt;$E33,BI$6,$E33)+1)/($F33-$E33+1))))</f>
        <v>0</v>
      </c>
      <c r="BJ33" s="98" t="n">
        <f aca="false">IF($E33="",0,IF(BJ$6+6&lt;$E33,0,IF(BJ$6&gt;$F33,0,$D33*(IF(BJ$6+6&lt;$F33,BJ$6+6,$F33)-IF(BJ$6&gt;$E33,BJ$6,$E33)+1)/($F33-$E33+1))))</f>
        <v>0</v>
      </c>
      <c r="BK33" s="98" t="n">
        <f aca="false">IF($E33="",0,IF(BK$6+6&lt;$E33,0,IF(BK$6&gt;$F33,0,$D33*(IF(BK$6+6&lt;$F33,BK$6+6,$F33)-IF(BK$6&gt;$E33,BK$6,$E33)+1)/($F33-$E33+1))))</f>
        <v>0</v>
      </c>
      <c r="BL33" s="98" t="n">
        <f aca="false">IF($E33="",0,IF(BL$6+6&lt;$E33,0,IF(BL$6&gt;$F33,0,$D33*(IF(BL$6+6&lt;$F33,BL$6+6,$F33)-IF(BL$6&gt;$E33,BL$6,$E33)+1)/($F33-$E33+1))))</f>
        <v>0</v>
      </c>
      <c r="BM33" s="98" t="n">
        <f aca="false">IF($E33="",0,IF(BM$6+6&lt;$E33,0,IF(BM$6&gt;$F33,0,$D33*(IF(BM$6+6&lt;$F33,BM$6+6,$F33)-IF(BM$6&gt;$E33,BM$6,$E33)+1)/($F33-$E33+1))))</f>
        <v>0</v>
      </c>
      <c r="BN33" s="98" t="n">
        <f aca="false">IF($E33="",0,IF(BN$6+6&lt;$E33,0,IF(BN$6&gt;$F33,0,$D33*(IF(BN$6+6&lt;$F33,BN$6+6,$F33)-IF(BN$6&gt;$E33,BN$6,$E33)+1)/($F33-$E33+1))))</f>
        <v>0</v>
      </c>
      <c r="BO33" s="98" t="n">
        <f aca="false">IF($E33="",0,IF(BO$6+6&lt;$E33,0,IF(BO$6&gt;$F33,0,$D33*(IF(BO$6+6&lt;$F33,BO$6+6,$F33)-IF(BO$6&gt;$E33,BO$6,$E33)+1)/($F33-$E33+1))))</f>
        <v>0</v>
      </c>
      <c r="BP33" s="98" t="n">
        <f aca="false">IF($E33="",0,IF(BP$6+6&lt;$E33,0,IF(BP$6&gt;$F33,0,$D33*(IF(BP$6+6&lt;$F33,BP$6+6,$F33)-IF(BP$6&gt;$E33,BP$6,$E33)+1)/($F33-$E33+1))))</f>
        <v>0</v>
      </c>
      <c r="BQ33" s="98" t="n">
        <f aca="false">IF($E33="",0,IF(BQ$6+6&lt;$E33,0,IF(BQ$6&gt;$F33,0,$D33*(IF(BQ$6+6&lt;$F33,BQ$6+6,$F33)-IF(BQ$6&gt;$E33,BQ$6,$E33)+1)/($F33-$E33+1))))</f>
        <v>0</v>
      </c>
      <c r="BR33" s="98" t="n">
        <f aca="false">IF($E33="",0,IF(BR$6+6&lt;$E33,0,IF(BR$6&gt;$F33,0,$D33*(IF(BR$6+6&lt;$F33,BR$6+6,$F33)-IF(BR$6&gt;$E33,BR$6,$E33)+1)/($F33-$E33+1))))</f>
        <v>0</v>
      </c>
      <c r="BS33" s="98" t="n">
        <f aca="false">IF($E33="",0,IF(BS$6+6&lt;$E33,0,IF(BS$6&gt;$F33,0,$D33*(IF(BS$6+6&lt;$F33,BS$6+6,$F33)-IF(BS$6&gt;$E33,BS$6,$E33)+1)/($F33-$E33+1))))</f>
        <v>0</v>
      </c>
      <c r="BT33" s="98" t="n">
        <f aca="false">IF($E33="",0,IF(BT$6+6&lt;$E33,0,IF(BT$6&gt;$F33,0,$D33*(IF(BT$6+6&lt;$F33,BT$6+6,$F33)-IF(BT$6&gt;$E33,BT$6,$E33)+1)/($F33-$E33+1))))</f>
        <v>0</v>
      </c>
      <c r="BU33" s="98" t="n">
        <f aca="false">IF($E33="",0,IF(BU$6+6&lt;$E33,0,IF(BU$6&gt;$F33,0,$D33*(IF(BU$6+6&lt;$F33,BU$6+6,$F33)-IF(BU$6&gt;$E33,BU$6,$E33)+1)/($F33-$E33+1))))</f>
        <v>0</v>
      </c>
      <c r="BV33" s="98" t="n">
        <f aca="false">IF($E33="",0,IF(BV$6+6&lt;$E33,0,IF(BV$6&gt;$F33,0,$D33*(IF(BV$6+6&lt;$F33,BV$6+6,$F33)-IF(BV$6&gt;$E33,BV$6,$E33)+1)/($F33-$E33+1))))</f>
        <v>0</v>
      </c>
      <c r="BW33" s="98" t="n">
        <f aca="false">IF($E33="",0,IF(BW$6+6&lt;$E33,0,IF(BW$6&gt;$F33,0,$D33*(IF(BW$6+6&lt;$F33,BW$6+6,$F33)-IF(BW$6&gt;$E33,BW$6,$E33)+1)/($F33-$E33+1))))</f>
        <v>0</v>
      </c>
      <c r="BX33" s="98" t="n">
        <f aca="false">IF($E33="",0,IF(BX$6+6&lt;$E33,0,IF(BX$6&gt;$F33,0,$D33*(IF(BX$6+6&lt;$F33,BX$6+6,$F33)-IF(BX$6&gt;$E33,BX$6,$E33)+1)/($F33-$E33+1))))</f>
        <v>0</v>
      </c>
      <c r="BY33" s="98" t="n">
        <f aca="false">IF($E33="",0,IF(BY$6+6&lt;$E33,0,IF(BY$6&gt;$F33,0,$D33*(IF(BY$6+6&lt;$F33,BY$6+6,$F33)-IF(BY$6&gt;$E33,BY$6,$E33)+1)/($F33-$E33+1))))</f>
        <v>0</v>
      </c>
    </row>
    <row r="34" customFormat="false" ht="15" hidden="false" customHeight="false" outlineLevel="0" collapsed="false">
      <c r="A34" s="95"/>
      <c r="B34" s="95"/>
      <c r="C34" s="95" t="s">
        <v>634</v>
      </c>
      <c r="D34" s="96"/>
      <c r="E34" s="99"/>
      <c r="F34" s="99"/>
      <c r="G34" s="100"/>
      <c r="H34" s="101"/>
      <c r="I34" s="101"/>
      <c r="J34" s="101"/>
      <c r="K34" s="101"/>
      <c r="L34" s="101"/>
      <c r="M34" s="101"/>
      <c r="N34" s="101"/>
      <c r="O34" s="101"/>
      <c r="P34" s="101"/>
      <c r="Q34" s="101"/>
      <c r="R34" s="101"/>
      <c r="S34" s="101"/>
      <c r="T34" s="101"/>
      <c r="U34" s="101"/>
      <c r="V34" s="101"/>
      <c r="W34" s="101"/>
      <c r="X34" s="101"/>
      <c r="Y34" s="101"/>
      <c r="Z34" s="101"/>
      <c r="AA34" s="101"/>
      <c r="AB34" s="101"/>
      <c r="AC34" s="101"/>
      <c r="AD34" s="101"/>
      <c r="AE34" s="101"/>
      <c r="AF34" s="101"/>
      <c r="AG34" s="101"/>
      <c r="AH34" s="101"/>
      <c r="AI34" s="101"/>
      <c r="AJ34" s="101"/>
      <c r="AK34" s="101"/>
      <c r="AL34" s="101"/>
      <c r="AM34" s="101"/>
      <c r="AN34" s="101"/>
      <c r="AO34" s="101"/>
      <c r="AP34" s="101"/>
      <c r="AQ34" s="101"/>
      <c r="AR34" s="101"/>
      <c r="AS34" s="101"/>
      <c r="AT34" s="101"/>
      <c r="AU34" s="101"/>
      <c r="AV34" s="101"/>
      <c r="AW34" s="101"/>
      <c r="AX34" s="101"/>
      <c r="AY34" s="101"/>
      <c r="AZ34" s="101"/>
      <c r="BA34" s="101"/>
      <c r="BB34" s="101"/>
      <c r="BC34" s="101"/>
      <c r="BD34" s="101"/>
      <c r="BE34" s="101"/>
      <c r="BF34" s="101"/>
      <c r="BG34" s="101"/>
      <c r="BH34" s="101"/>
      <c r="BI34" s="101"/>
      <c r="BJ34" s="101"/>
      <c r="BK34" s="101"/>
      <c r="BL34" s="101"/>
      <c r="BM34" s="101"/>
      <c r="BN34" s="101"/>
      <c r="BO34" s="101"/>
      <c r="BP34" s="101"/>
      <c r="BQ34" s="101"/>
      <c r="BR34" s="101"/>
      <c r="BS34" s="101"/>
      <c r="BT34" s="101"/>
      <c r="BU34" s="101"/>
      <c r="BV34" s="101"/>
      <c r="BW34" s="101"/>
      <c r="BX34" s="101"/>
      <c r="BY34" s="101"/>
    </row>
    <row r="35" customFormat="false" ht="15" hidden="false" customHeight="false" outlineLevel="0" collapsed="false">
      <c r="A35" s="95" t="s">
        <v>426</v>
      </c>
      <c r="B35" s="95" t="s">
        <v>648</v>
      </c>
      <c r="C35" s="95" t="s">
        <v>633</v>
      </c>
      <c r="D35" s="96" t="n">
        <v>5</v>
      </c>
      <c r="E35" s="97" t="n">
        <v>46381</v>
      </c>
      <c r="F35" s="97" t="n">
        <v>46387</v>
      </c>
      <c r="G35" s="95" t="n">
        <v>6</v>
      </c>
      <c r="H35" s="98" t="n">
        <f aca="false">IF($E35="",0,IF(H$6+6&lt;$E35,0,IF(H$6&gt;$F35,0,$D35*(IF(H$6+6&lt;$F35,H$6+6,$F35)-IF(H$6&gt;$E35,H$6,$E35)+1)/($F35-$E35+1))))</f>
        <v>0</v>
      </c>
      <c r="I35" s="98" t="n">
        <f aca="false">IF($E35="",0,IF(I$6+6&lt;$E35,0,IF(I$6&gt;$F35,0,$D35*(IF(I$6+6&lt;$F35,I$6+6,$F35)-IF(I$6&gt;$E35,I$6,$E35)+1)/($F35-$E35+1))))</f>
        <v>0</v>
      </c>
      <c r="J35" s="98" t="n">
        <f aca="false">IF($E35="",0,IF(J$6+6&lt;$E35,0,IF(J$6&gt;$F35,0,$D35*(IF(J$6+6&lt;$F35,J$6+6,$F35)-IF(J$6&gt;$E35,J$6,$E35)+1)/($F35-$E35+1))))</f>
        <v>0</v>
      </c>
      <c r="K35" s="98" t="n">
        <f aca="false">IF($E35="",0,IF(K$6+6&lt;$E35,0,IF(K$6&gt;$F35,0,$D35*(IF(K$6+6&lt;$F35,K$6+6,$F35)-IF(K$6&gt;$E35,K$6,$E35)+1)/($F35-$E35+1))))</f>
        <v>0</v>
      </c>
      <c r="L35" s="98" t="n">
        <f aca="false">IF($E35="",0,IF(L$6+6&lt;$E35,0,IF(L$6&gt;$F35,0,$D35*(IF(L$6+6&lt;$F35,L$6+6,$F35)-IF(L$6&gt;$E35,L$6,$E35)+1)/($F35-$E35+1))))</f>
        <v>0</v>
      </c>
      <c r="M35" s="98" t="n">
        <f aca="false">IF($E35="",0,IF(M$6+6&lt;$E35,0,IF(M$6&gt;$F35,0,$D35*(IF(M$6+6&lt;$F35,M$6+6,$F35)-IF(M$6&gt;$E35,M$6,$E35)+1)/($F35-$E35+1))))</f>
        <v>0</v>
      </c>
      <c r="N35" s="98" t="n">
        <f aca="false">IF($E35="",0,IF(N$6+6&lt;$E35,0,IF(N$6&gt;$F35,0,$D35*(IF(N$6+6&lt;$F35,N$6+6,$F35)-IF(N$6&gt;$E35,N$6,$E35)+1)/($F35-$E35+1))))</f>
        <v>0</v>
      </c>
      <c r="O35" s="98" t="n">
        <f aca="false">IF($E35="",0,IF(O$6+6&lt;$E35,0,IF(O$6&gt;$F35,0,$D35*(IF(O$6+6&lt;$F35,O$6+6,$F35)-IF(O$6&gt;$E35,O$6,$E35)+1)/($F35-$E35+1))))</f>
        <v>0</v>
      </c>
      <c r="P35" s="98" t="n">
        <f aca="false">IF($E35="",0,IF(P$6+6&lt;$E35,0,IF(P$6&gt;$F35,0,$D35*(IF(P$6+6&lt;$F35,P$6+6,$F35)-IF(P$6&gt;$E35,P$6,$E35)+1)/($F35-$E35+1))))</f>
        <v>2.14285714285714</v>
      </c>
      <c r="Q35" s="98" t="n">
        <f aca="false">IF($E35="",0,IF(Q$6+6&lt;$E35,0,IF(Q$6&gt;$F35,0,$D35*(IF(Q$6+6&lt;$F35,Q$6+6,$F35)-IF(Q$6&gt;$E35,Q$6,$E35)+1)/($F35-$E35+1))))</f>
        <v>2.85714285714286</v>
      </c>
      <c r="R35" s="98" t="n">
        <f aca="false">IF($E35="",0,IF(R$6+6&lt;$E35,0,IF(R$6&gt;$F35,0,$D35*(IF(R$6+6&lt;$F35,R$6+6,$F35)-IF(R$6&gt;$E35,R$6,$E35)+1)/($F35-$E35+1))))</f>
        <v>0</v>
      </c>
      <c r="S35" s="98" t="n">
        <f aca="false">IF($E35="",0,IF(S$6+6&lt;$E35,0,IF(S$6&gt;$F35,0,$D35*(IF(S$6+6&lt;$F35,S$6+6,$F35)-IF(S$6&gt;$E35,S$6,$E35)+1)/($F35-$E35+1))))</f>
        <v>0</v>
      </c>
      <c r="T35" s="98" t="n">
        <f aca="false">IF($E35="",0,IF(T$6+6&lt;$E35,0,IF(T$6&gt;$F35,0,$D35*(IF(T$6+6&lt;$F35,T$6+6,$F35)-IF(T$6&gt;$E35,T$6,$E35)+1)/($F35-$E35+1))))</f>
        <v>0</v>
      </c>
      <c r="U35" s="98" t="n">
        <f aca="false">IF($E35="",0,IF(U$6+6&lt;$E35,0,IF(U$6&gt;$F35,0,$D35*(IF(U$6+6&lt;$F35,U$6+6,$F35)-IF(U$6&gt;$E35,U$6,$E35)+1)/($F35-$E35+1))))</f>
        <v>0</v>
      </c>
      <c r="V35" s="98" t="n">
        <f aca="false">IF($E35="",0,IF(V$6+6&lt;$E35,0,IF(V$6&gt;$F35,0,$D35*(IF(V$6+6&lt;$F35,V$6+6,$F35)-IF(V$6&gt;$E35,V$6,$E35)+1)/($F35-$E35+1))))</f>
        <v>0</v>
      </c>
      <c r="W35" s="98" t="n">
        <f aca="false">IF($E35="",0,IF(W$6+6&lt;$E35,0,IF(W$6&gt;$F35,0,$D35*(IF(W$6+6&lt;$F35,W$6+6,$F35)-IF(W$6&gt;$E35,W$6,$E35)+1)/($F35-$E35+1))))</f>
        <v>0</v>
      </c>
      <c r="X35" s="98" t="n">
        <f aca="false">IF($E35="",0,IF(X$6+6&lt;$E35,0,IF(X$6&gt;$F35,0,$D35*(IF(X$6+6&lt;$F35,X$6+6,$F35)-IF(X$6&gt;$E35,X$6,$E35)+1)/($F35-$E35+1))))</f>
        <v>0</v>
      </c>
      <c r="Y35" s="98" t="n">
        <f aca="false">IF($E35="",0,IF(Y$6+6&lt;$E35,0,IF(Y$6&gt;$F35,0,$D35*(IF(Y$6+6&lt;$F35,Y$6+6,$F35)-IF(Y$6&gt;$E35,Y$6,$E35)+1)/($F35-$E35+1))))</f>
        <v>0</v>
      </c>
      <c r="Z35" s="98" t="n">
        <f aca="false">IF($E35="",0,IF(Z$6+6&lt;$E35,0,IF(Z$6&gt;$F35,0,$D35*(IF(Z$6+6&lt;$F35,Z$6+6,$F35)-IF(Z$6&gt;$E35,Z$6,$E35)+1)/($F35-$E35+1))))</f>
        <v>0</v>
      </c>
      <c r="AA35" s="98" t="n">
        <f aca="false">IF($E35="",0,IF(AA$6+6&lt;$E35,0,IF(AA$6&gt;$F35,0,$D35*(IF(AA$6+6&lt;$F35,AA$6+6,$F35)-IF(AA$6&gt;$E35,AA$6,$E35)+1)/($F35-$E35+1))))</f>
        <v>0</v>
      </c>
      <c r="AB35" s="98" t="n">
        <f aca="false">IF($E35="",0,IF(AB$6+6&lt;$E35,0,IF(AB$6&gt;$F35,0,$D35*(IF(AB$6+6&lt;$F35,AB$6+6,$F35)-IF(AB$6&gt;$E35,AB$6,$E35)+1)/($F35-$E35+1))))</f>
        <v>0</v>
      </c>
      <c r="AC35" s="98" t="n">
        <f aca="false">IF($E35="",0,IF(AC$6+6&lt;$E35,0,IF(AC$6&gt;$F35,0,$D35*(IF(AC$6+6&lt;$F35,AC$6+6,$F35)-IF(AC$6&gt;$E35,AC$6,$E35)+1)/($F35-$E35+1))))</f>
        <v>0</v>
      </c>
      <c r="AD35" s="98" t="n">
        <f aca="false">IF($E35="",0,IF(AD$6+6&lt;$E35,0,IF(AD$6&gt;$F35,0,$D35*(IF(AD$6+6&lt;$F35,AD$6+6,$F35)-IF(AD$6&gt;$E35,AD$6,$E35)+1)/($F35-$E35+1))))</f>
        <v>0</v>
      </c>
      <c r="AE35" s="98" t="n">
        <f aca="false">IF($E35="",0,IF(AE$6+6&lt;$E35,0,IF(AE$6&gt;$F35,0,$D35*(IF(AE$6+6&lt;$F35,AE$6+6,$F35)-IF(AE$6&gt;$E35,AE$6,$E35)+1)/($F35-$E35+1))))</f>
        <v>0</v>
      </c>
      <c r="AF35" s="98" t="n">
        <f aca="false">IF($E35="",0,IF(AF$6+6&lt;$E35,0,IF(AF$6&gt;$F35,0,$D35*(IF(AF$6+6&lt;$F35,AF$6+6,$F35)-IF(AF$6&gt;$E35,AF$6,$E35)+1)/($F35-$E35+1))))</f>
        <v>0</v>
      </c>
      <c r="AG35" s="98" t="n">
        <f aca="false">IF($E35="",0,IF(AG$6+6&lt;$E35,0,IF(AG$6&gt;$F35,0,$D35*(IF(AG$6+6&lt;$F35,AG$6+6,$F35)-IF(AG$6&gt;$E35,AG$6,$E35)+1)/($F35-$E35+1))))</f>
        <v>0</v>
      </c>
      <c r="AH35" s="98" t="n">
        <f aca="false">IF($E35="",0,IF(AH$6+6&lt;$E35,0,IF(AH$6&gt;$F35,0,$D35*(IF(AH$6+6&lt;$F35,AH$6+6,$F35)-IF(AH$6&gt;$E35,AH$6,$E35)+1)/($F35-$E35+1))))</f>
        <v>0</v>
      </c>
      <c r="AI35" s="98" t="n">
        <f aca="false">IF($E35="",0,IF(AI$6+6&lt;$E35,0,IF(AI$6&gt;$F35,0,$D35*(IF(AI$6+6&lt;$F35,AI$6+6,$F35)-IF(AI$6&gt;$E35,AI$6,$E35)+1)/($F35-$E35+1))))</f>
        <v>0</v>
      </c>
      <c r="AJ35" s="98" t="n">
        <f aca="false">IF($E35="",0,IF(AJ$6+6&lt;$E35,0,IF(AJ$6&gt;$F35,0,$D35*(IF(AJ$6+6&lt;$F35,AJ$6+6,$F35)-IF(AJ$6&gt;$E35,AJ$6,$E35)+1)/($F35-$E35+1))))</f>
        <v>0</v>
      </c>
      <c r="AK35" s="98" t="n">
        <f aca="false">IF($E35="",0,IF(AK$6+6&lt;$E35,0,IF(AK$6&gt;$F35,0,$D35*(IF(AK$6+6&lt;$F35,AK$6+6,$F35)-IF(AK$6&gt;$E35,AK$6,$E35)+1)/($F35-$E35+1))))</f>
        <v>0</v>
      </c>
      <c r="AL35" s="98" t="n">
        <f aca="false">IF($E35="",0,IF(AL$6+6&lt;$E35,0,IF(AL$6&gt;$F35,0,$D35*(IF(AL$6+6&lt;$F35,AL$6+6,$F35)-IF(AL$6&gt;$E35,AL$6,$E35)+1)/($F35-$E35+1))))</f>
        <v>0</v>
      </c>
      <c r="AM35" s="98" t="n">
        <f aca="false">IF($E35="",0,IF(AM$6+6&lt;$E35,0,IF(AM$6&gt;$F35,0,$D35*(IF(AM$6+6&lt;$F35,AM$6+6,$F35)-IF(AM$6&gt;$E35,AM$6,$E35)+1)/($F35-$E35+1))))</f>
        <v>0</v>
      </c>
      <c r="AN35" s="98" t="n">
        <f aca="false">IF($E35="",0,IF(AN$6+6&lt;$E35,0,IF(AN$6&gt;$F35,0,$D35*(IF(AN$6+6&lt;$F35,AN$6+6,$F35)-IF(AN$6&gt;$E35,AN$6,$E35)+1)/($F35-$E35+1))))</f>
        <v>0</v>
      </c>
      <c r="AO35" s="98" t="n">
        <f aca="false">IF($E35="",0,IF(AO$6+6&lt;$E35,0,IF(AO$6&gt;$F35,0,$D35*(IF(AO$6+6&lt;$F35,AO$6+6,$F35)-IF(AO$6&gt;$E35,AO$6,$E35)+1)/($F35-$E35+1))))</f>
        <v>0</v>
      </c>
      <c r="AP35" s="98" t="n">
        <f aca="false">IF($E35="",0,IF(AP$6+6&lt;$E35,0,IF(AP$6&gt;$F35,0,$D35*(IF(AP$6+6&lt;$F35,AP$6+6,$F35)-IF(AP$6&gt;$E35,AP$6,$E35)+1)/($F35-$E35+1))))</f>
        <v>0</v>
      </c>
      <c r="AQ35" s="98" t="n">
        <f aca="false">IF($E35="",0,IF(AQ$6+6&lt;$E35,0,IF(AQ$6&gt;$F35,0,$D35*(IF(AQ$6+6&lt;$F35,AQ$6+6,$F35)-IF(AQ$6&gt;$E35,AQ$6,$E35)+1)/($F35-$E35+1))))</f>
        <v>0</v>
      </c>
      <c r="AR35" s="98" t="n">
        <f aca="false">IF($E35="",0,IF(AR$6+6&lt;$E35,0,IF(AR$6&gt;$F35,0,$D35*(IF(AR$6+6&lt;$F35,AR$6+6,$F35)-IF(AR$6&gt;$E35,AR$6,$E35)+1)/($F35-$E35+1))))</f>
        <v>0</v>
      </c>
      <c r="AS35" s="98" t="n">
        <f aca="false">IF($E35="",0,IF(AS$6+6&lt;$E35,0,IF(AS$6&gt;$F35,0,$D35*(IF(AS$6+6&lt;$F35,AS$6+6,$F35)-IF(AS$6&gt;$E35,AS$6,$E35)+1)/($F35-$E35+1))))</f>
        <v>0</v>
      </c>
      <c r="AT35" s="98" t="n">
        <f aca="false">IF($E35="",0,IF(AT$6+6&lt;$E35,0,IF(AT$6&gt;$F35,0,$D35*(IF(AT$6+6&lt;$F35,AT$6+6,$F35)-IF(AT$6&gt;$E35,AT$6,$E35)+1)/($F35-$E35+1))))</f>
        <v>0</v>
      </c>
      <c r="AU35" s="98" t="n">
        <f aca="false">IF($E35="",0,IF(AU$6+6&lt;$E35,0,IF(AU$6&gt;$F35,0,$D35*(IF(AU$6+6&lt;$F35,AU$6+6,$F35)-IF(AU$6&gt;$E35,AU$6,$E35)+1)/($F35-$E35+1))))</f>
        <v>0</v>
      </c>
      <c r="AV35" s="98" t="n">
        <f aca="false">IF($E35="",0,IF(AV$6+6&lt;$E35,0,IF(AV$6&gt;$F35,0,$D35*(IF(AV$6+6&lt;$F35,AV$6+6,$F35)-IF(AV$6&gt;$E35,AV$6,$E35)+1)/($F35-$E35+1))))</f>
        <v>0</v>
      </c>
      <c r="AW35" s="98" t="n">
        <f aca="false">IF($E35="",0,IF(AW$6+6&lt;$E35,0,IF(AW$6&gt;$F35,0,$D35*(IF(AW$6+6&lt;$F35,AW$6+6,$F35)-IF(AW$6&gt;$E35,AW$6,$E35)+1)/($F35-$E35+1))))</f>
        <v>0</v>
      </c>
      <c r="AX35" s="98" t="n">
        <f aca="false">IF($E35="",0,IF(AX$6+6&lt;$E35,0,IF(AX$6&gt;$F35,0,$D35*(IF(AX$6+6&lt;$F35,AX$6+6,$F35)-IF(AX$6&gt;$E35,AX$6,$E35)+1)/($F35-$E35+1))))</f>
        <v>0</v>
      </c>
      <c r="AY35" s="98" t="n">
        <f aca="false">IF($E35="",0,IF(AY$6+6&lt;$E35,0,IF(AY$6&gt;$F35,0,$D35*(IF(AY$6+6&lt;$F35,AY$6+6,$F35)-IF(AY$6&gt;$E35,AY$6,$E35)+1)/($F35-$E35+1))))</f>
        <v>0</v>
      </c>
      <c r="AZ35" s="98" t="n">
        <f aca="false">IF($E35="",0,IF(AZ$6+6&lt;$E35,0,IF(AZ$6&gt;$F35,0,$D35*(IF(AZ$6+6&lt;$F35,AZ$6+6,$F35)-IF(AZ$6&gt;$E35,AZ$6,$E35)+1)/($F35-$E35+1))))</f>
        <v>0</v>
      </c>
      <c r="BA35" s="98" t="n">
        <f aca="false">IF($E35="",0,IF(BA$6+6&lt;$E35,0,IF(BA$6&gt;$F35,0,$D35*(IF(BA$6+6&lt;$F35,BA$6+6,$F35)-IF(BA$6&gt;$E35,BA$6,$E35)+1)/($F35-$E35+1))))</f>
        <v>0</v>
      </c>
      <c r="BB35" s="98" t="n">
        <f aca="false">IF($E35="",0,IF(BB$6+6&lt;$E35,0,IF(BB$6&gt;$F35,0,$D35*(IF(BB$6+6&lt;$F35,BB$6+6,$F35)-IF(BB$6&gt;$E35,BB$6,$E35)+1)/($F35-$E35+1))))</f>
        <v>0</v>
      </c>
      <c r="BC35" s="98" t="n">
        <f aca="false">IF($E35="",0,IF(BC$6+6&lt;$E35,0,IF(BC$6&gt;$F35,0,$D35*(IF(BC$6+6&lt;$F35,BC$6+6,$F35)-IF(BC$6&gt;$E35,BC$6,$E35)+1)/($F35-$E35+1))))</f>
        <v>0</v>
      </c>
      <c r="BD35" s="98" t="n">
        <f aca="false">IF($E35="",0,IF(BD$6+6&lt;$E35,0,IF(BD$6&gt;$F35,0,$D35*(IF(BD$6+6&lt;$F35,BD$6+6,$F35)-IF(BD$6&gt;$E35,BD$6,$E35)+1)/($F35-$E35+1))))</f>
        <v>0</v>
      </c>
      <c r="BE35" s="98" t="n">
        <f aca="false">IF($E35="",0,IF(BE$6+6&lt;$E35,0,IF(BE$6&gt;$F35,0,$D35*(IF(BE$6+6&lt;$F35,BE$6+6,$F35)-IF(BE$6&gt;$E35,BE$6,$E35)+1)/($F35-$E35+1))))</f>
        <v>0</v>
      </c>
      <c r="BF35" s="98" t="n">
        <f aca="false">IF($E35="",0,IF(BF$6+6&lt;$E35,0,IF(BF$6&gt;$F35,0,$D35*(IF(BF$6+6&lt;$F35,BF$6+6,$F35)-IF(BF$6&gt;$E35,BF$6,$E35)+1)/($F35-$E35+1))))</f>
        <v>0</v>
      </c>
      <c r="BG35" s="98" t="n">
        <f aca="false">IF($E35="",0,IF(BG$6+6&lt;$E35,0,IF(BG$6&gt;$F35,0,$D35*(IF(BG$6+6&lt;$F35,BG$6+6,$F35)-IF(BG$6&gt;$E35,BG$6,$E35)+1)/($F35-$E35+1))))</f>
        <v>0</v>
      </c>
      <c r="BH35" s="98" t="n">
        <f aca="false">IF($E35="",0,IF(BH$6+6&lt;$E35,0,IF(BH$6&gt;$F35,0,$D35*(IF(BH$6+6&lt;$F35,BH$6+6,$F35)-IF(BH$6&gt;$E35,BH$6,$E35)+1)/($F35-$E35+1))))</f>
        <v>0</v>
      </c>
      <c r="BI35" s="98" t="n">
        <f aca="false">IF($E35="",0,IF(BI$6+6&lt;$E35,0,IF(BI$6&gt;$F35,0,$D35*(IF(BI$6+6&lt;$F35,BI$6+6,$F35)-IF(BI$6&gt;$E35,BI$6,$E35)+1)/($F35-$E35+1))))</f>
        <v>0</v>
      </c>
      <c r="BJ35" s="98" t="n">
        <f aca="false">IF($E35="",0,IF(BJ$6+6&lt;$E35,0,IF(BJ$6&gt;$F35,0,$D35*(IF(BJ$6+6&lt;$F35,BJ$6+6,$F35)-IF(BJ$6&gt;$E35,BJ$6,$E35)+1)/($F35-$E35+1))))</f>
        <v>0</v>
      </c>
      <c r="BK35" s="98" t="n">
        <f aca="false">IF($E35="",0,IF(BK$6+6&lt;$E35,0,IF(BK$6&gt;$F35,0,$D35*(IF(BK$6+6&lt;$F35,BK$6+6,$F35)-IF(BK$6&gt;$E35,BK$6,$E35)+1)/($F35-$E35+1))))</f>
        <v>0</v>
      </c>
      <c r="BL35" s="98" t="n">
        <f aca="false">IF($E35="",0,IF(BL$6+6&lt;$E35,0,IF(BL$6&gt;$F35,0,$D35*(IF(BL$6+6&lt;$F35,BL$6+6,$F35)-IF(BL$6&gt;$E35,BL$6,$E35)+1)/($F35-$E35+1))))</f>
        <v>0</v>
      </c>
      <c r="BM35" s="98" t="n">
        <f aca="false">IF($E35="",0,IF(BM$6+6&lt;$E35,0,IF(BM$6&gt;$F35,0,$D35*(IF(BM$6+6&lt;$F35,BM$6+6,$F35)-IF(BM$6&gt;$E35,BM$6,$E35)+1)/($F35-$E35+1))))</f>
        <v>0</v>
      </c>
      <c r="BN35" s="98" t="n">
        <f aca="false">IF($E35="",0,IF(BN$6+6&lt;$E35,0,IF(BN$6&gt;$F35,0,$D35*(IF(BN$6+6&lt;$F35,BN$6+6,$F35)-IF(BN$6&gt;$E35,BN$6,$E35)+1)/($F35-$E35+1))))</f>
        <v>0</v>
      </c>
      <c r="BO35" s="98" t="n">
        <f aca="false">IF($E35="",0,IF(BO$6+6&lt;$E35,0,IF(BO$6&gt;$F35,0,$D35*(IF(BO$6+6&lt;$F35,BO$6+6,$F35)-IF(BO$6&gt;$E35,BO$6,$E35)+1)/($F35-$E35+1))))</f>
        <v>0</v>
      </c>
      <c r="BP35" s="98" t="n">
        <f aca="false">IF($E35="",0,IF(BP$6+6&lt;$E35,0,IF(BP$6&gt;$F35,0,$D35*(IF(BP$6+6&lt;$F35,BP$6+6,$F35)-IF(BP$6&gt;$E35,BP$6,$E35)+1)/($F35-$E35+1))))</f>
        <v>0</v>
      </c>
      <c r="BQ35" s="98" t="n">
        <f aca="false">IF($E35="",0,IF(BQ$6+6&lt;$E35,0,IF(BQ$6&gt;$F35,0,$D35*(IF(BQ$6+6&lt;$F35,BQ$6+6,$F35)-IF(BQ$6&gt;$E35,BQ$6,$E35)+1)/($F35-$E35+1))))</f>
        <v>0</v>
      </c>
      <c r="BR35" s="98" t="n">
        <f aca="false">IF($E35="",0,IF(BR$6+6&lt;$E35,0,IF(BR$6&gt;$F35,0,$D35*(IF(BR$6+6&lt;$F35,BR$6+6,$F35)-IF(BR$6&gt;$E35,BR$6,$E35)+1)/($F35-$E35+1))))</f>
        <v>0</v>
      </c>
      <c r="BS35" s="98" t="n">
        <f aca="false">IF($E35="",0,IF(BS$6+6&lt;$E35,0,IF(BS$6&gt;$F35,0,$D35*(IF(BS$6+6&lt;$F35,BS$6+6,$F35)-IF(BS$6&gt;$E35,BS$6,$E35)+1)/($F35-$E35+1))))</f>
        <v>0</v>
      </c>
      <c r="BT35" s="98" t="n">
        <f aca="false">IF($E35="",0,IF(BT$6+6&lt;$E35,0,IF(BT$6&gt;$F35,0,$D35*(IF(BT$6+6&lt;$F35,BT$6+6,$F35)-IF(BT$6&gt;$E35,BT$6,$E35)+1)/($F35-$E35+1))))</f>
        <v>0</v>
      </c>
      <c r="BU35" s="98" t="n">
        <f aca="false">IF($E35="",0,IF(BU$6+6&lt;$E35,0,IF(BU$6&gt;$F35,0,$D35*(IF(BU$6+6&lt;$F35,BU$6+6,$F35)-IF(BU$6&gt;$E35,BU$6,$E35)+1)/($F35-$E35+1))))</f>
        <v>0</v>
      </c>
      <c r="BV35" s="98" t="n">
        <f aca="false">IF($E35="",0,IF(BV$6+6&lt;$E35,0,IF(BV$6&gt;$F35,0,$D35*(IF(BV$6+6&lt;$F35,BV$6+6,$F35)-IF(BV$6&gt;$E35,BV$6,$E35)+1)/($F35-$E35+1))))</f>
        <v>0</v>
      </c>
      <c r="BW35" s="98" t="n">
        <f aca="false">IF($E35="",0,IF(BW$6+6&lt;$E35,0,IF(BW$6&gt;$F35,0,$D35*(IF(BW$6+6&lt;$F35,BW$6+6,$F35)-IF(BW$6&gt;$E35,BW$6,$E35)+1)/($F35-$E35+1))))</f>
        <v>0</v>
      </c>
      <c r="BX35" s="98" t="n">
        <f aca="false">IF($E35="",0,IF(BX$6+6&lt;$E35,0,IF(BX$6&gt;$F35,0,$D35*(IF(BX$6+6&lt;$F35,BX$6+6,$F35)-IF(BX$6&gt;$E35,BX$6,$E35)+1)/($F35-$E35+1))))</f>
        <v>0</v>
      </c>
      <c r="BY35" s="98" t="n">
        <f aca="false">IF($E35="",0,IF(BY$6+6&lt;$E35,0,IF(BY$6&gt;$F35,0,$D35*(IF(BY$6+6&lt;$F35,BY$6+6,$F35)-IF(BY$6&gt;$E35,BY$6,$E35)+1)/($F35-$E35+1))))</f>
        <v>0</v>
      </c>
    </row>
    <row r="36" customFormat="false" ht="15" hidden="false" customHeight="false" outlineLevel="0" collapsed="false">
      <c r="A36" s="95"/>
      <c r="B36" s="95"/>
      <c r="C36" s="95" t="s">
        <v>634</v>
      </c>
      <c r="D36" s="96"/>
      <c r="E36" s="99"/>
      <c r="F36" s="99"/>
      <c r="G36" s="100"/>
      <c r="H36" s="101"/>
      <c r="I36" s="101"/>
      <c r="J36" s="101"/>
      <c r="K36" s="101"/>
      <c r="L36" s="101"/>
      <c r="M36" s="101"/>
      <c r="N36" s="101"/>
      <c r="O36" s="101"/>
      <c r="P36" s="101"/>
      <c r="Q36" s="101"/>
      <c r="R36" s="101"/>
      <c r="S36" s="101"/>
      <c r="T36" s="101"/>
      <c r="U36" s="101"/>
      <c r="V36" s="101"/>
      <c r="W36" s="101"/>
      <c r="X36" s="101"/>
      <c r="Y36" s="101"/>
      <c r="Z36" s="101"/>
      <c r="AA36" s="101"/>
      <c r="AB36" s="101"/>
      <c r="AC36" s="101"/>
      <c r="AD36" s="101"/>
      <c r="AE36" s="101"/>
      <c r="AF36" s="101"/>
      <c r="AG36" s="101"/>
      <c r="AH36" s="101"/>
      <c r="AI36" s="101"/>
      <c r="AJ36" s="101"/>
      <c r="AK36" s="101"/>
      <c r="AL36" s="101"/>
      <c r="AM36" s="101"/>
      <c r="AN36" s="101"/>
      <c r="AO36" s="101"/>
      <c r="AP36" s="101"/>
      <c r="AQ36" s="101"/>
      <c r="AR36" s="101"/>
      <c r="AS36" s="101"/>
      <c r="AT36" s="101"/>
      <c r="AU36" s="101"/>
      <c r="AV36" s="101"/>
      <c r="AW36" s="101"/>
      <c r="AX36" s="101"/>
      <c r="AY36" s="101"/>
      <c r="AZ36" s="101"/>
      <c r="BA36" s="101"/>
      <c r="BB36" s="101"/>
      <c r="BC36" s="101"/>
      <c r="BD36" s="101"/>
      <c r="BE36" s="101"/>
      <c r="BF36" s="101"/>
      <c r="BG36" s="101"/>
      <c r="BH36" s="101"/>
      <c r="BI36" s="101"/>
      <c r="BJ36" s="101"/>
      <c r="BK36" s="101"/>
      <c r="BL36" s="101"/>
      <c r="BM36" s="101"/>
      <c r="BN36" s="101"/>
      <c r="BO36" s="101"/>
      <c r="BP36" s="101"/>
      <c r="BQ36" s="101"/>
      <c r="BR36" s="101"/>
      <c r="BS36" s="101"/>
      <c r="BT36" s="101"/>
      <c r="BU36" s="101"/>
      <c r="BV36" s="101"/>
      <c r="BW36" s="101"/>
      <c r="BX36" s="101"/>
      <c r="BY36" s="101"/>
    </row>
    <row r="37" customFormat="false" ht="15" hidden="false" customHeight="false" outlineLevel="0" collapsed="false">
      <c r="A37" s="95" t="s">
        <v>441</v>
      </c>
      <c r="B37" s="95" t="s">
        <v>649</v>
      </c>
      <c r="C37" s="95" t="s">
        <v>633</v>
      </c>
      <c r="D37" s="96" t="n">
        <v>5</v>
      </c>
      <c r="E37" s="97" t="n">
        <v>46383</v>
      </c>
      <c r="F37" s="97" t="n">
        <v>46388</v>
      </c>
      <c r="G37" s="95" t="n">
        <v>5</v>
      </c>
      <c r="H37" s="98" t="n">
        <f aca="false">IF($E37="",0,IF(H$6+6&lt;$E37,0,IF(H$6&gt;$F37,0,$D37*(IF(H$6+6&lt;$F37,H$6+6,$F37)-IF(H$6&gt;$E37,H$6,$E37)+1)/($F37-$E37+1))))</f>
        <v>0</v>
      </c>
      <c r="I37" s="98" t="n">
        <f aca="false">IF($E37="",0,IF(I$6+6&lt;$E37,0,IF(I$6&gt;$F37,0,$D37*(IF(I$6+6&lt;$F37,I$6+6,$F37)-IF(I$6&gt;$E37,I$6,$E37)+1)/($F37-$E37+1))))</f>
        <v>0</v>
      </c>
      <c r="J37" s="98" t="n">
        <f aca="false">IF($E37="",0,IF(J$6+6&lt;$E37,0,IF(J$6&gt;$F37,0,$D37*(IF(J$6+6&lt;$F37,J$6+6,$F37)-IF(J$6&gt;$E37,J$6,$E37)+1)/($F37-$E37+1))))</f>
        <v>0</v>
      </c>
      <c r="K37" s="98" t="n">
        <f aca="false">IF($E37="",0,IF(K$6+6&lt;$E37,0,IF(K$6&gt;$F37,0,$D37*(IF(K$6+6&lt;$F37,K$6+6,$F37)-IF(K$6&gt;$E37,K$6,$E37)+1)/($F37-$E37+1))))</f>
        <v>0</v>
      </c>
      <c r="L37" s="98" t="n">
        <f aca="false">IF($E37="",0,IF(L$6+6&lt;$E37,0,IF(L$6&gt;$F37,0,$D37*(IF(L$6+6&lt;$F37,L$6+6,$F37)-IF(L$6&gt;$E37,L$6,$E37)+1)/($F37-$E37+1))))</f>
        <v>0</v>
      </c>
      <c r="M37" s="98" t="n">
        <f aca="false">IF($E37="",0,IF(M$6+6&lt;$E37,0,IF(M$6&gt;$F37,0,$D37*(IF(M$6+6&lt;$F37,M$6+6,$F37)-IF(M$6&gt;$E37,M$6,$E37)+1)/($F37-$E37+1))))</f>
        <v>0</v>
      </c>
      <c r="N37" s="98" t="n">
        <f aca="false">IF($E37="",0,IF(N$6+6&lt;$E37,0,IF(N$6&gt;$F37,0,$D37*(IF(N$6+6&lt;$F37,N$6+6,$F37)-IF(N$6&gt;$E37,N$6,$E37)+1)/($F37-$E37+1))))</f>
        <v>0</v>
      </c>
      <c r="O37" s="98" t="n">
        <f aca="false">IF($E37="",0,IF(O$6+6&lt;$E37,0,IF(O$6&gt;$F37,0,$D37*(IF(O$6+6&lt;$F37,O$6+6,$F37)-IF(O$6&gt;$E37,O$6,$E37)+1)/($F37-$E37+1))))</f>
        <v>0</v>
      </c>
      <c r="P37" s="98" t="n">
        <f aca="false">IF($E37="",0,IF(P$6+6&lt;$E37,0,IF(P$6&gt;$F37,0,$D37*(IF(P$6+6&lt;$F37,P$6+6,$F37)-IF(P$6&gt;$E37,P$6,$E37)+1)/($F37-$E37+1))))</f>
        <v>0.833333333333333</v>
      </c>
      <c r="Q37" s="98" t="n">
        <f aca="false">IF($E37="",0,IF(Q$6+6&lt;$E37,0,IF(Q$6&gt;$F37,0,$D37*(IF(Q$6+6&lt;$F37,Q$6+6,$F37)-IF(Q$6&gt;$E37,Q$6,$E37)+1)/($F37-$E37+1))))</f>
        <v>4.16666666666667</v>
      </c>
      <c r="R37" s="98" t="n">
        <f aca="false">IF($E37="",0,IF(R$6+6&lt;$E37,0,IF(R$6&gt;$F37,0,$D37*(IF(R$6+6&lt;$F37,R$6+6,$F37)-IF(R$6&gt;$E37,R$6,$E37)+1)/($F37-$E37+1))))</f>
        <v>0</v>
      </c>
      <c r="S37" s="98" t="n">
        <f aca="false">IF($E37="",0,IF(S$6+6&lt;$E37,0,IF(S$6&gt;$F37,0,$D37*(IF(S$6+6&lt;$F37,S$6+6,$F37)-IF(S$6&gt;$E37,S$6,$E37)+1)/($F37-$E37+1))))</f>
        <v>0</v>
      </c>
      <c r="T37" s="98" t="n">
        <f aca="false">IF($E37="",0,IF(T$6+6&lt;$E37,0,IF(T$6&gt;$F37,0,$D37*(IF(T$6+6&lt;$F37,T$6+6,$F37)-IF(T$6&gt;$E37,T$6,$E37)+1)/($F37-$E37+1))))</f>
        <v>0</v>
      </c>
      <c r="U37" s="98" t="n">
        <f aca="false">IF($E37="",0,IF(U$6+6&lt;$E37,0,IF(U$6&gt;$F37,0,$D37*(IF(U$6+6&lt;$F37,U$6+6,$F37)-IF(U$6&gt;$E37,U$6,$E37)+1)/($F37-$E37+1))))</f>
        <v>0</v>
      </c>
      <c r="V37" s="98" t="n">
        <f aca="false">IF($E37="",0,IF(V$6+6&lt;$E37,0,IF(V$6&gt;$F37,0,$D37*(IF(V$6+6&lt;$F37,V$6+6,$F37)-IF(V$6&gt;$E37,V$6,$E37)+1)/($F37-$E37+1))))</f>
        <v>0</v>
      </c>
      <c r="W37" s="98" t="n">
        <f aca="false">IF($E37="",0,IF(W$6+6&lt;$E37,0,IF(W$6&gt;$F37,0,$D37*(IF(W$6+6&lt;$F37,W$6+6,$F37)-IF(W$6&gt;$E37,W$6,$E37)+1)/($F37-$E37+1))))</f>
        <v>0</v>
      </c>
      <c r="X37" s="98" t="n">
        <f aca="false">IF($E37="",0,IF(X$6+6&lt;$E37,0,IF(X$6&gt;$F37,0,$D37*(IF(X$6+6&lt;$F37,X$6+6,$F37)-IF(X$6&gt;$E37,X$6,$E37)+1)/($F37-$E37+1))))</f>
        <v>0</v>
      </c>
      <c r="Y37" s="98" t="n">
        <f aca="false">IF($E37="",0,IF(Y$6+6&lt;$E37,0,IF(Y$6&gt;$F37,0,$D37*(IF(Y$6+6&lt;$F37,Y$6+6,$F37)-IF(Y$6&gt;$E37,Y$6,$E37)+1)/($F37-$E37+1))))</f>
        <v>0</v>
      </c>
      <c r="Z37" s="98" t="n">
        <f aca="false">IF($E37="",0,IF(Z$6+6&lt;$E37,0,IF(Z$6&gt;$F37,0,$D37*(IF(Z$6+6&lt;$F37,Z$6+6,$F37)-IF(Z$6&gt;$E37,Z$6,$E37)+1)/($F37-$E37+1))))</f>
        <v>0</v>
      </c>
      <c r="AA37" s="98" t="n">
        <f aca="false">IF($E37="",0,IF(AA$6+6&lt;$E37,0,IF(AA$6&gt;$F37,0,$D37*(IF(AA$6+6&lt;$F37,AA$6+6,$F37)-IF(AA$6&gt;$E37,AA$6,$E37)+1)/($F37-$E37+1))))</f>
        <v>0</v>
      </c>
      <c r="AB37" s="98" t="n">
        <f aca="false">IF($E37="",0,IF(AB$6+6&lt;$E37,0,IF(AB$6&gt;$F37,0,$D37*(IF(AB$6+6&lt;$F37,AB$6+6,$F37)-IF(AB$6&gt;$E37,AB$6,$E37)+1)/($F37-$E37+1))))</f>
        <v>0</v>
      </c>
      <c r="AC37" s="98" t="n">
        <f aca="false">IF($E37="",0,IF(AC$6+6&lt;$E37,0,IF(AC$6&gt;$F37,0,$D37*(IF(AC$6+6&lt;$F37,AC$6+6,$F37)-IF(AC$6&gt;$E37,AC$6,$E37)+1)/($F37-$E37+1))))</f>
        <v>0</v>
      </c>
      <c r="AD37" s="98" t="n">
        <f aca="false">IF($E37="",0,IF(AD$6+6&lt;$E37,0,IF(AD$6&gt;$F37,0,$D37*(IF(AD$6+6&lt;$F37,AD$6+6,$F37)-IF(AD$6&gt;$E37,AD$6,$E37)+1)/($F37-$E37+1))))</f>
        <v>0</v>
      </c>
      <c r="AE37" s="98" t="n">
        <f aca="false">IF($E37="",0,IF(AE$6+6&lt;$E37,0,IF(AE$6&gt;$F37,0,$D37*(IF(AE$6+6&lt;$F37,AE$6+6,$F37)-IF(AE$6&gt;$E37,AE$6,$E37)+1)/($F37-$E37+1))))</f>
        <v>0</v>
      </c>
      <c r="AF37" s="98" t="n">
        <f aca="false">IF($E37="",0,IF(AF$6+6&lt;$E37,0,IF(AF$6&gt;$F37,0,$D37*(IF(AF$6+6&lt;$F37,AF$6+6,$F37)-IF(AF$6&gt;$E37,AF$6,$E37)+1)/($F37-$E37+1))))</f>
        <v>0</v>
      </c>
      <c r="AG37" s="98" t="n">
        <f aca="false">IF($E37="",0,IF(AG$6+6&lt;$E37,0,IF(AG$6&gt;$F37,0,$D37*(IF(AG$6+6&lt;$F37,AG$6+6,$F37)-IF(AG$6&gt;$E37,AG$6,$E37)+1)/($F37-$E37+1))))</f>
        <v>0</v>
      </c>
      <c r="AH37" s="98" t="n">
        <f aca="false">IF($E37="",0,IF(AH$6+6&lt;$E37,0,IF(AH$6&gt;$F37,0,$D37*(IF(AH$6+6&lt;$F37,AH$6+6,$F37)-IF(AH$6&gt;$E37,AH$6,$E37)+1)/($F37-$E37+1))))</f>
        <v>0</v>
      </c>
      <c r="AI37" s="98" t="n">
        <f aca="false">IF($E37="",0,IF(AI$6+6&lt;$E37,0,IF(AI$6&gt;$F37,0,$D37*(IF(AI$6+6&lt;$F37,AI$6+6,$F37)-IF(AI$6&gt;$E37,AI$6,$E37)+1)/($F37-$E37+1))))</f>
        <v>0</v>
      </c>
      <c r="AJ37" s="98" t="n">
        <f aca="false">IF($E37="",0,IF(AJ$6+6&lt;$E37,0,IF(AJ$6&gt;$F37,0,$D37*(IF(AJ$6+6&lt;$F37,AJ$6+6,$F37)-IF(AJ$6&gt;$E37,AJ$6,$E37)+1)/($F37-$E37+1))))</f>
        <v>0</v>
      </c>
      <c r="AK37" s="98" t="n">
        <f aca="false">IF($E37="",0,IF(AK$6+6&lt;$E37,0,IF(AK$6&gt;$F37,0,$D37*(IF(AK$6+6&lt;$F37,AK$6+6,$F37)-IF(AK$6&gt;$E37,AK$6,$E37)+1)/($F37-$E37+1))))</f>
        <v>0</v>
      </c>
      <c r="AL37" s="98" t="n">
        <f aca="false">IF($E37="",0,IF(AL$6+6&lt;$E37,0,IF(AL$6&gt;$F37,0,$D37*(IF(AL$6+6&lt;$F37,AL$6+6,$F37)-IF(AL$6&gt;$E37,AL$6,$E37)+1)/($F37-$E37+1))))</f>
        <v>0</v>
      </c>
      <c r="AM37" s="98" t="n">
        <f aca="false">IF($E37="",0,IF(AM$6+6&lt;$E37,0,IF(AM$6&gt;$F37,0,$D37*(IF(AM$6+6&lt;$F37,AM$6+6,$F37)-IF(AM$6&gt;$E37,AM$6,$E37)+1)/($F37-$E37+1))))</f>
        <v>0</v>
      </c>
      <c r="AN37" s="98" t="n">
        <f aca="false">IF($E37="",0,IF(AN$6+6&lt;$E37,0,IF(AN$6&gt;$F37,0,$D37*(IF(AN$6+6&lt;$F37,AN$6+6,$F37)-IF(AN$6&gt;$E37,AN$6,$E37)+1)/($F37-$E37+1))))</f>
        <v>0</v>
      </c>
      <c r="AO37" s="98" t="n">
        <f aca="false">IF($E37="",0,IF(AO$6+6&lt;$E37,0,IF(AO$6&gt;$F37,0,$D37*(IF(AO$6+6&lt;$F37,AO$6+6,$F37)-IF(AO$6&gt;$E37,AO$6,$E37)+1)/($F37-$E37+1))))</f>
        <v>0</v>
      </c>
      <c r="AP37" s="98" t="n">
        <f aca="false">IF($E37="",0,IF(AP$6+6&lt;$E37,0,IF(AP$6&gt;$F37,0,$D37*(IF(AP$6+6&lt;$F37,AP$6+6,$F37)-IF(AP$6&gt;$E37,AP$6,$E37)+1)/($F37-$E37+1))))</f>
        <v>0</v>
      </c>
      <c r="AQ37" s="98" t="n">
        <f aca="false">IF($E37="",0,IF(AQ$6+6&lt;$E37,0,IF(AQ$6&gt;$F37,0,$D37*(IF(AQ$6+6&lt;$F37,AQ$6+6,$F37)-IF(AQ$6&gt;$E37,AQ$6,$E37)+1)/($F37-$E37+1))))</f>
        <v>0</v>
      </c>
      <c r="AR37" s="98" t="n">
        <f aca="false">IF($E37="",0,IF(AR$6+6&lt;$E37,0,IF(AR$6&gt;$F37,0,$D37*(IF(AR$6+6&lt;$F37,AR$6+6,$F37)-IF(AR$6&gt;$E37,AR$6,$E37)+1)/($F37-$E37+1))))</f>
        <v>0</v>
      </c>
      <c r="AS37" s="98" t="n">
        <f aca="false">IF($E37="",0,IF(AS$6+6&lt;$E37,0,IF(AS$6&gt;$F37,0,$D37*(IF(AS$6+6&lt;$F37,AS$6+6,$F37)-IF(AS$6&gt;$E37,AS$6,$E37)+1)/($F37-$E37+1))))</f>
        <v>0</v>
      </c>
      <c r="AT37" s="98" t="n">
        <f aca="false">IF($E37="",0,IF(AT$6+6&lt;$E37,0,IF(AT$6&gt;$F37,0,$D37*(IF(AT$6+6&lt;$F37,AT$6+6,$F37)-IF(AT$6&gt;$E37,AT$6,$E37)+1)/($F37-$E37+1))))</f>
        <v>0</v>
      </c>
      <c r="AU37" s="98" t="n">
        <f aca="false">IF($E37="",0,IF(AU$6+6&lt;$E37,0,IF(AU$6&gt;$F37,0,$D37*(IF(AU$6+6&lt;$F37,AU$6+6,$F37)-IF(AU$6&gt;$E37,AU$6,$E37)+1)/($F37-$E37+1))))</f>
        <v>0</v>
      </c>
      <c r="AV37" s="98" t="n">
        <f aca="false">IF($E37="",0,IF(AV$6+6&lt;$E37,0,IF(AV$6&gt;$F37,0,$D37*(IF(AV$6+6&lt;$F37,AV$6+6,$F37)-IF(AV$6&gt;$E37,AV$6,$E37)+1)/($F37-$E37+1))))</f>
        <v>0</v>
      </c>
      <c r="AW37" s="98" t="n">
        <f aca="false">IF($E37="",0,IF(AW$6+6&lt;$E37,0,IF(AW$6&gt;$F37,0,$D37*(IF(AW$6+6&lt;$F37,AW$6+6,$F37)-IF(AW$6&gt;$E37,AW$6,$E37)+1)/($F37-$E37+1))))</f>
        <v>0</v>
      </c>
      <c r="AX37" s="98" t="n">
        <f aca="false">IF($E37="",0,IF(AX$6+6&lt;$E37,0,IF(AX$6&gt;$F37,0,$D37*(IF(AX$6+6&lt;$F37,AX$6+6,$F37)-IF(AX$6&gt;$E37,AX$6,$E37)+1)/($F37-$E37+1))))</f>
        <v>0</v>
      </c>
      <c r="AY37" s="98" t="n">
        <f aca="false">IF($E37="",0,IF(AY$6+6&lt;$E37,0,IF(AY$6&gt;$F37,0,$D37*(IF(AY$6+6&lt;$F37,AY$6+6,$F37)-IF(AY$6&gt;$E37,AY$6,$E37)+1)/($F37-$E37+1))))</f>
        <v>0</v>
      </c>
      <c r="AZ37" s="98" t="n">
        <f aca="false">IF($E37="",0,IF(AZ$6+6&lt;$E37,0,IF(AZ$6&gt;$F37,0,$D37*(IF(AZ$6+6&lt;$F37,AZ$6+6,$F37)-IF(AZ$6&gt;$E37,AZ$6,$E37)+1)/($F37-$E37+1))))</f>
        <v>0</v>
      </c>
      <c r="BA37" s="98" t="n">
        <f aca="false">IF($E37="",0,IF(BA$6+6&lt;$E37,0,IF(BA$6&gt;$F37,0,$D37*(IF(BA$6+6&lt;$F37,BA$6+6,$F37)-IF(BA$6&gt;$E37,BA$6,$E37)+1)/($F37-$E37+1))))</f>
        <v>0</v>
      </c>
      <c r="BB37" s="98" t="n">
        <f aca="false">IF($E37="",0,IF(BB$6+6&lt;$E37,0,IF(BB$6&gt;$F37,0,$D37*(IF(BB$6+6&lt;$F37,BB$6+6,$F37)-IF(BB$6&gt;$E37,BB$6,$E37)+1)/($F37-$E37+1))))</f>
        <v>0</v>
      </c>
      <c r="BC37" s="98" t="n">
        <f aca="false">IF($E37="",0,IF(BC$6+6&lt;$E37,0,IF(BC$6&gt;$F37,0,$D37*(IF(BC$6+6&lt;$F37,BC$6+6,$F37)-IF(BC$6&gt;$E37,BC$6,$E37)+1)/($F37-$E37+1))))</f>
        <v>0</v>
      </c>
      <c r="BD37" s="98" t="n">
        <f aca="false">IF($E37="",0,IF(BD$6+6&lt;$E37,0,IF(BD$6&gt;$F37,0,$D37*(IF(BD$6+6&lt;$F37,BD$6+6,$F37)-IF(BD$6&gt;$E37,BD$6,$E37)+1)/($F37-$E37+1))))</f>
        <v>0</v>
      </c>
      <c r="BE37" s="98" t="n">
        <f aca="false">IF($E37="",0,IF(BE$6+6&lt;$E37,0,IF(BE$6&gt;$F37,0,$D37*(IF(BE$6+6&lt;$F37,BE$6+6,$F37)-IF(BE$6&gt;$E37,BE$6,$E37)+1)/($F37-$E37+1))))</f>
        <v>0</v>
      </c>
      <c r="BF37" s="98" t="n">
        <f aca="false">IF($E37="",0,IF(BF$6+6&lt;$E37,0,IF(BF$6&gt;$F37,0,$D37*(IF(BF$6+6&lt;$F37,BF$6+6,$F37)-IF(BF$6&gt;$E37,BF$6,$E37)+1)/($F37-$E37+1))))</f>
        <v>0</v>
      </c>
      <c r="BG37" s="98" t="n">
        <f aca="false">IF($E37="",0,IF(BG$6+6&lt;$E37,0,IF(BG$6&gt;$F37,0,$D37*(IF(BG$6+6&lt;$F37,BG$6+6,$F37)-IF(BG$6&gt;$E37,BG$6,$E37)+1)/($F37-$E37+1))))</f>
        <v>0</v>
      </c>
      <c r="BH37" s="98" t="n">
        <f aca="false">IF($E37="",0,IF(BH$6+6&lt;$E37,0,IF(BH$6&gt;$F37,0,$D37*(IF(BH$6+6&lt;$F37,BH$6+6,$F37)-IF(BH$6&gt;$E37,BH$6,$E37)+1)/($F37-$E37+1))))</f>
        <v>0</v>
      </c>
      <c r="BI37" s="98" t="n">
        <f aca="false">IF($E37="",0,IF(BI$6+6&lt;$E37,0,IF(BI$6&gt;$F37,0,$D37*(IF(BI$6+6&lt;$F37,BI$6+6,$F37)-IF(BI$6&gt;$E37,BI$6,$E37)+1)/($F37-$E37+1))))</f>
        <v>0</v>
      </c>
      <c r="BJ37" s="98" t="n">
        <f aca="false">IF($E37="",0,IF(BJ$6+6&lt;$E37,0,IF(BJ$6&gt;$F37,0,$D37*(IF(BJ$6+6&lt;$F37,BJ$6+6,$F37)-IF(BJ$6&gt;$E37,BJ$6,$E37)+1)/($F37-$E37+1))))</f>
        <v>0</v>
      </c>
      <c r="BK37" s="98" t="n">
        <f aca="false">IF($E37="",0,IF(BK$6+6&lt;$E37,0,IF(BK$6&gt;$F37,0,$D37*(IF(BK$6+6&lt;$F37,BK$6+6,$F37)-IF(BK$6&gt;$E37,BK$6,$E37)+1)/($F37-$E37+1))))</f>
        <v>0</v>
      </c>
      <c r="BL37" s="98" t="n">
        <f aca="false">IF($E37="",0,IF(BL$6+6&lt;$E37,0,IF(BL$6&gt;$F37,0,$D37*(IF(BL$6+6&lt;$F37,BL$6+6,$F37)-IF(BL$6&gt;$E37,BL$6,$E37)+1)/($F37-$E37+1))))</f>
        <v>0</v>
      </c>
      <c r="BM37" s="98" t="n">
        <f aca="false">IF($E37="",0,IF(BM$6+6&lt;$E37,0,IF(BM$6&gt;$F37,0,$D37*(IF(BM$6+6&lt;$F37,BM$6+6,$F37)-IF(BM$6&gt;$E37,BM$6,$E37)+1)/($F37-$E37+1))))</f>
        <v>0</v>
      </c>
      <c r="BN37" s="98" t="n">
        <f aca="false">IF($E37="",0,IF(BN$6+6&lt;$E37,0,IF(BN$6&gt;$F37,0,$D37*(IF(BN$6+6&lt;$F37,BN$6+6,$F37)-IF(BN$6&gt;$E37,BN$6,$E37)+1)/($F37-$E37+1))))</f>
        <v>0</v>
      </c>
      <c r="BO37" s="98" t="n">
        <f aca="false">IF($E37="",0,IF(BO$6+6&lt;$E37,0,IF(BO$6&gt;$F37,0,$D37*(IF(BO$6+6&lt;$F37,BO$6+6,$F37)-IF(BO$6&gt;$E37,BO$6,$E37)+1)/($F37-$E37+1))))</f>
        <v>0</v>
      </c>
      <c r="BP37" s="98" t="n">
        <f aca="false">IF($E37="",0,IF(BP$6+6&lt;$E37,0,IF(BP$6&gt;$F37,0,$D37*(IF(BP$6+6&lt;$F37,BP$6+6,$F37)-IF(BP$6&gt;$E37,BP$6,$E37)+1)/($F37-$E37+1))))</f>
        <v>0</v>
      </c>
      <c r="BQ37" s="98" t="n">
        <f aca="false">IF($E37="",0,IF(BQ$6+6&lt;$E37,0,IF(BQ$6&gt;$F37,0,$D37*(IF(BQ$6+6&lt;$F37,BQ$6+6,$F37)-IF(BQ$6&gt;$E37,BQ$6,$E37)+1)/($F37-$E37+1))))</f>
        <v>0</v>
      </c>
      <c r="BR37" s="98" t="n">
        <f aca="false">IF($E37="",0,IF(BR$6+6&lt;$E37,0,IF(BR$6&gt;$F37,0,$D37*(IF(BR$6+6&lt;$F37,BR$6+6,$F37)-IF(BR$6&gt;$E37,BR$6,$E37)+1)/($F37-$E37+1))))</f>
        <v>0</v>
      </c>
      <c r="BS37" s="98" t="n">
        <f aca="false">IF($E37="",0,IF(BS$6+6&lt;$E37,0,IF(BS$6&gt;$F37,0,$D37*(IF(BS$6+6&lt;$F37,BS$6+6,$F37)-IF(BS$6&gt;$E37,BS$6,$E37)+1)/($F37-$E37+1))))</f>
        <v>0</v>
      </c>
      <c r="BT37" s="98" t="n">
        <f aca="false">IF($E37="",0,IF(BT$6+6&lt;$E37,0,IF(BT$6&gt;$F37,0,$D37*(IF(BT$6+6&lt;$F37,BT$6+6,$F37)-IF(BT$6&gt;$E37,BT$6,$E37)+1)/($F37-$E37+1))))</f>
        <v>0</v>
      </c>
      <c r="BU37" s="98" t="n">
        <f aca="false">IF($E37="",0,IF(BU$6+6&lt;$E37,0,IF(BU$6&gt;$F37,0,$D37*(IF(BU$6+6&lt;$F37,BU$6+6,$F37)-IF(BU$6&gt;$E37,BU$6,$E37)+1)/($F37-$E37+1))))</f>
        <v>0</v>
      </c>
      <c r="BV37" s="98" t="n">
        <f aca="false">IF($E37="",0,IF(BV$6+6&lt;$E37,0,IF(BV$6&gt;$F37,0,$D37*(IF(BV$6+6&lt;$F37,BV$6+6,$F37)-IF(BV$6&gt;$E37,BV$6,$E37)+1)/($F37-$E37+1))))</f>
        <v>0</v>
      </c>
      <c r="BW37" s="98" t="n">
        <f aca="false">IF($E37="",0,IF(BW$6+6&lt;$E37,0,IF(BW$6&gt;$F37,0,$D37*(IF(BW$6+6&lt;$F37,BW$6+6,$F37)-IF(BW$6&gt;$E37,BW$6,$E37)+1)/($F37-$E37+1))))</f>
        <v>0</v>
      </c>
      <c r="BX37" s="98" t="n">
        <f aca="false">IF($E37="",0,IF(BX$6+6&lt;$E37,0,IF(BX$6&gt;$F37,0,$D37*(IF(BX$6+6&lt;$F37,BX$6+6,$F37)-IF(BX$6&gt;$E37,BX$6,$E37)+1)/($F37-$E37+1))))</f>
        <v>0</v>
      </c>
      <c r="BY37" s="98" t="n">
        <f aca="false">IF($E37="",0,IF(BY$6+6&lt;$E37,0,IF(BY$6&gt;$F37,0,$D37*(IF(BY$6+6&lt;$F37,BY$6+6,$F37)-IF(BY$6&gt;$E37,BY$6,$E37)+1)/($F37-$E37+1))))</f>
        <v>0</v>
      </c>
    </row>
    <row r="38" customFormat="false" ht="15" hidden="false" customHeight="false" outlineLevel="0" collapsed="false">
      <c r="A38" s="95"/>
      <c r="B38" s="95"/>
      <c r="C38" s="95" t="s">
        <v>634</v>
      </c>
      <c r="D38" s="96"/>
      <c r="E38" s="99"/>
      <c r="F38" s="99"/>
      <c r="G38" s="100"/>
      <c r="H38" s="101"/>
      <c r="I38" s="101"/>
      <c r="J38" s="101"/>
      <c r="K38" s="101"/>
      <c r="L38" s="101"/>
      <c r="M38" s="101"/>
      <c r="N38" s="101"/>
      <c r="O38" s="101"/>
      <c r="P38" s="101"/>
      <c r="Q38" s="101"/>
      <c r="R38" s="101"/>
      <c r="S38" s="101"/>
      <c r="T38" s="101"/>
      <c r="U38" s="101"/>
      <c r="V38" s="101"/>
      <c r="W38" s="101"/>
      <c r="X38" s="101"/>
      <c r="Y38" s="101"/>
      <c r="Z38" s="101"/>
      <c r="AA38" s="101"/>
      <c r="AB38" s="101"/>
      <c r="AC38" s="101"/>
      <c r="AD38" s="101"/>
      <c r="AE38" s="101"/>
      <c r="AF38" s="101"/>
      <c r="AG38" s="101"/>
      <c r="AH38" s="101"/>
      <c r="AI38" s="101"/>
      <c r="AJ38" s="101"/>
      <c r="AK38" s="101"/>
      <c r="AL38" s="101"/>
      <c r="AM38" s="101"/>
      <c r="AN38" s="101"/>
      <c r="AO38" s="101"/>
      <c r="AP38" s="101"/>
      <c r="AQ38" s="101"/>
      <c r="AR38" s="101"/>
      <c r="AS38" s="101"/>
      <c r="AT38" s="101"/>
      <c r="AU38" s="101"/>
      <c r="AV38" s="101"/>
      <c r="AW38" s="101"/>
      <c r="AX38" s="101"/>
      <c r="AY38" s="101"/>
      <c r="AZ38" s="101"/>
      <c r="BA38" s="101"/>
      <c r="BB38" s="101"/>
      <c r="BC38" s="101"/>
      <c r="BD38" s="101"/>
      <c r="BE38" s="101"/>
      <c r="BF38" s="101"/>
      <c r="BG38" s="101"/>
      <c r="BH38" s="101"/>
      <c r="BI38" s="101"/>
      <c r="BJ38" s="101"/>
      <c r="BK38" s="101"/>
      <c r="BL38" s="101"/>
      <c r="BM38" s="101"/>
      <c r="BN38" s="101"/>
      <c r="BO38" s="101"/>
      <c r="BP38" s="101"/>
      <c r="BQ38" s="101"/>
      <c r="BR38" s="101"/>
      <c r="BS38" s="101"/>
      <c r="BT38" s="101"/>
      <c r="BU38" s="101"/>
      <c r="BV38" s="101"/>
      <c r="BW38" s="101"/>
      <c r="BX38" s="101"/>
      <c r="BY38" s="101"/>
    </row>
    <row r="39" customFormat="false" ht="15" hidden="false" customHeight="false" outlineLevel="0" collapsed="false">
      <c r="A39" s="95" t="s">
        <v>467</v>
      </c>
      <c r="B39" s="95" t="s">
        <v>650</v>
      </c>
      <c r="C39" s="95" t="s">
        <v>633</v>
      </c>
      <c r="D39" s="96" t="n">
        <v>2.5</v>
      </c>
      <c r="E39" s="97" t="n">
        <v>46385</v>
      </c>
      <c r="F39" s="97" t="n">
        <v>46389</v>
      </c>
      <c r="G39" s="95" t="n">
        <v>4</v>
      </c>
      <c r="H39" s="98" t="n">
        <f aca="false">IF($E39="",0,IF(H$6+6&lt;$E39,0,IF(H$6&gt;$F39,0,$D39*(IF(H$6+6&lt;$F39,H$6+6,$F39)-IF(H$6&gt;$E39,H$6,$E39)+1)/($F39-$E39+1))))</f>
        <v>0</v>
      </c>
      <c r="I39" s="98" t="n">
        <f aca="false">IF($E39="",0,IF(I$6+6&lt;$E39,0,IF(I$6&gt;$F39,0,$D39*(IF(I$6+6&lt;$F39,I$6+6,$F39)-IF(I$6&gt;$E39,I$6,$E39)+1)/($F39-$E39+1))))</f>
        <v>0</v>
      </c>
      <c r="J39" s="98" t="n">
        <f aca="false">IF($E39="",0,IF(J$6+6&lt;$E39,0,IF(J$6&gt;$F39,0,$D39*(IF(J$6+6&lt;$F39,J$6+6,$F39)-IF(J$6&gt;$E39,J$6,$E39)+1)/($F39-$E39+1))))</f>
        <v>0</v>
      </c>
      <c r="K39" s="98" t="n">
        <f aca="false">IF($E39="",0,IF(K$6+6&lt;$E39,0,IF(K$6&gt;$F39,0,$D39*(IF(K$6+6&lt;$F39,K$6+6,$F39)-IF(K$6&gt;$E39,K$6,$E39)+1)/($F39-$E39+1))))</f>
        <v>0</v>
      </c>
      <c r="L39" s="98" t="n">
        <f aca="false">IF($E39="",0,IF(L$6+6&lt;$E39,0,IF(L$6&gt;$F39,0,$D39*(IF(L$6+6&lt;$F39,L$6+6,$F39)-IF(L$6&gt;$E39,L$6,$E39)+1)/($F39-$E39+1))))</f>
        <v>0</v>
      </c>
      <c r="M39" s="98" t="n">
        <f aca="false">IF($E39="",0,IF(M$6+6&lt;$E39,0,IF(M$6&gt;$F39,0,$D39*(IF(M$6+6&lt;$F39,M$6+6,$F39)-IF(M$6&gt;$E39,M$6,$E39)+1)/($F39-$E39+1))))</f>
        <v>0</v>
      </c>
      <c r="N39" s="98" t="n">
        <f aca="false">IF($E39="",0,IF(N$6+6&lt;$E39,0,IF(N$6&gt;$F39,0,$D39*(IF(N$6+6&lt;$F39,N$6+6,$F39)-IF(N$6&gt;$E39,N$6,$E39)+1)/($F39-$E39+1))))</f>
        <v>0</v>
      </c>
      <c r="O39" s="98" t="n">
        <f aca="false">IF($E39="",0,IF(O$6+6&lt;$E39,0,IF(O$6&gt;$F39,0,$D39*(IF(O$6+6&lt;$F39,O$6+6,$F39)-IF(O$6&gt;$E39,O$6,$E39)+1)/($F39-$E39+1))))</f>
        <v>0</v>
      </c>
      <c r="P39" s="98" t="n">
        <f aca="false">IF($E39="",0,IF(P$6+6&lt;$E39,0,IF(P$6&gt;$F39,0,$D39*(IF(P$6+6&lt;$F39,P$6+6,$F39)-IF(P$6&gt;$E39,P$6,$E39)+1)/($F39-$E39+1))))</f>
        <v>0</v>
      </c>
      <c r="Q39" s="98" t="n">
        <f aca="false">IF($E39="",0,IF(Q$6+6&lt;$E39,0,IF(Q$6&gt;$F39,0,$D39*(IF(Q$6+6&lt;$F39,Q$6+6,$F39)-IF(Q$6&gt;$E39,Q$6,$E39)+1)/($F39-$E39+1))))</f>
        <v>2.5</v>
      </c>
      <c r="R39" s="98" t="n">
        <f aca="false">IF($E39="",0,IF(R$6+6&lt;$E39,0,IF(R$6&gt;$F39,0,$D39*(IF(R$6+6&lt;$F39,R$6+6,$F39)-IF(R$6&gt;$E39,R$6,$E39)+1)/($F39-$E39+1))))</f>
        <v>0</v>
      </c>
      <c r="S39" s="98" t="n">
        <f aca="false">IF($E39="",0,IF(S$6+6&lt;$E39,0,IF(S$6&gt;$F39,0,$D39*(IF(S$6+6&lt;$F39,S$6+6,$F39)-IF(S$6&gt;$E39,S$6,$E39)+1)/($F39-$E39+1))))</f>
        <v>0</v>
      </c>
      <c r="T39" s="98" t="n">
        <f aca="false">IF($E39="",0,IF(T$6+6&lt;$E39,0,IF(T$6&gt;$F39,0,$D39*(IF(T$6+6&lt;$F39,T$6+6,$F39)-IF(T$6&gt;$E39,T$6,$E39)+1)/($F39-$E39+1))))</f>
        <v>0</v>
      </c>
      <c r="U39" s="98" t="n">
        <f aca="false">IF($E39="",0,IF(U$6+6&lt;$E39,0,IF(U$6&gt;$F39,0,$D39*(IF(U$6+6&lt;$F39,U$6+6,$F39)-IF(U$6&gt;$E39,U$6,$E39)+1)/($F39-$E39+1))))</f>
        <v>0</v>
      </c>
      <c r="V39" s="98" t="n">
        <f aca="false">IF($E39="",0,IF(V$6+6&lt;$E39,0,IF(V$6&gt;$F39,0,$D39*(IF(V$6+6&lt;$F39,V$6+6,$F39)-IF(V$6&gt;$E39,V$6,$E39)+1)/($F39-$E39+1))))</f>
        <v>0</v>
      </c>
      <c r="W39" s="98" t="n">
        <f aca="false">IF($E39="",0,IF(W$6+6&lt;$E39,0,IF(W$6&gt;$F39,0,$D39*(IF(W$6+6&lt;$F39,W$6+6,$F39)-IF(W$6&gt;$E39,W$6,$E39)+1)/($F39-$E39+1))))</f>
        <v>0</v>
      </c>
      <c r="X39" s="98" t="n">
        <f aca="false">IF($E39="",0,IF(X$6+6&lt;$E39,0,IF(X$6&gt;$F39,0,$D39*(IF(X$6+6&lt;$F39,X$6+6,$F39)-IF(X$6&gt;$E39,X$6,$E39)+1)/($F39-$E39+1))))</f>
        <v>0</v>
      </c>
      <c r="Y39" s="98" t="n">
        <f aca="false">IF($E39="",0,IF(Y$6+6&lt;$E39,0,IF(Y$6&gt;$F39,0,$D39*(IF(Y$6+6&lt;$F39,Y$6+6,$F39)-IF(Y$6&gt;$E39,Y$6,$E39)+1)/($F39-$E39+1))))</f>
        <v>0</v>
      </c>
      <c r="Z39" s="98" t="n">
        <f aca="false">IF($E39="",0,IF(Z$6+6&lt;$E39,0,IF(Z$6&gt;$F39,0,$D39*(IF(Z$6+6&lt;$F39,Z$6+6,$F39)-IF(Z$6&gt;$E39,Z$6,$E39)+1)/($F39-$E39+1))))</f>
        <v>0</v>
      </c>
      <c r="AA39" s="98" t="n">
        <f aca="false">IF($E39="",0,IF(AA$6+6&lt;$E39,0,IF(AA$6&gt;$F39,0,$D39*(IF(AA$6+6&lt;$F39,AA$6+6,$F39)-IF(AA$6&gt;$E39,AA$6,$E39)+1)/($F39-$E39+1))))</f>
        <v>0</v>
      </c>
      <c r="AB39" s="98" t="n">
        <f aca="false">IF($E39="",0,IF(AB$6+6&lt;$E39,0,IF(AB$6&gt;$F39,0,$D39*(IF(AB$6+6&lt;$F39,AB$6+6,$F39)-IF(AB$6&gt;$E39,AB$6,$E39)+1)/($F39-$E39+1))))</f>
        <v>0</v>
      </c>
      <c r="AC39" s="98" t="n">
        <f aca="false">IF($E39="",0,IF(AC$6+6&lt;$E39,0,IF(AC$6&gt;$F39,0,$D39*(IF(AC$6+6&lt;$F39,AC$6+6,$F39)-IF(AC$6&gt;$E39,AC$6,$E39)+1)/($F39-$E39+1))))</f>
        <v>0</v>
      </c>
      <c r="AD39" s="98" t="n">
        <f aca="false">IF($E39="",0,IF(AD$6+6&lt;$E39,0,IF(AD$6&gt;$F39,0,$D39*(IF(AD$6+6&lt;$F39,AD$6+6,$F39)-IF(AD$6&gt;$E39,AD$6,$E39)+1)/($F39-$E39+1))))</f>
        <v>0</v>
      </c>
      <c r="AE39" s="98" t="n">
        <f aca="false">IF($E39="",0,IF(AE$6+6&lt;$E39,0,IF(AE$6&gt;$F39,0,$D39*(IF(AE$6+6&lt;$F39,AE$6+6,$F39)-IF(AE$6&gt;$E39,AE$6,$E39)+1)/($F39-$E39+1))))</f>
        <v>0</v>
      </c>
      <c r="AF39" s="98" t="n">
        <f aca="false">IF($E39="",0,IF(AF$6+6&lt;$E39,0,IF(AF$6&gt;$F39,0,$D39*(IF(AF$6+6&lt;$F39,AF$6+6,$F39)-IF(AF$6&gt;$E39,AF$6,$E39)+1)/($F39-$E39+1))))</f>
        <v>0</v>
      </c>
      <c r="AG39" s="98" t="n">
        <f aca="false">IF($E39="",0,IF(AG$6+6&lt;$E39,0,IF(AG$6&gt;$F39,0,$D39*(IF(AG$6+6&lt;$F39,AG$6+6,$F39)-IF(AG$6&gt;$E39,AG$6,$E39)+1)/($F39-$E39+1))))</f>
        <v>0</v>
      </c>
      <c r="AH39" s="98" t="n">
        <f aca="false">IF($E39="",0,IF(AH$6+6&lt;$E39,0,IF(AH$6&gt;$F39,0,$D39*(IF(AH$6+6&lt;$F39,AH$6+6,$F39)-IF(AH$6&gt;$E39,AH$6,$E39)+1)/($F39-$E39+1))))</f>
        <v>0</v>
      </c>
      <c r="AI39" s="98" t="n">
        <f aca="false">IF($E39="",0,IF(AI$6+6&lt;$E39,0,IF(AI$6&gt;$F39,0,$D39*(IF(AI$6+6&lt;$F39,AI$6+6,$F39)-IF(AI$6&gt;$E39,AI$6,$E39)+1)/($F39-$E39+1))))</f>
        <v>0</v>
      </c>
      <c r="AJ39" s="98" t="n">
        <f aca="false">IF($E39="",0,IF(AJ$6+6&lt;$E39,0,IF(AJ$6&gt;$F39,0,$D39*(IF(AJ$6+6&lt;$F39,AJ$6+6,$F39)-IF(AJ$6&gt;$E39,AJ$6,$E39)+1)/($F39-$E39+1))))</f>
        <v>0</v>
      </c>
      <c r="AK39" s="98" t="n">
        <f aca="false">IF($E39="",0,IF(AK$6+6&lt;$E39,0,IF(AK$6&gt;$F39,0,$D39*(IF(AK$6+6&lt;$F39,AK$6+6,$F39)-IF(AK$6&gt;$E39,AK$6,$E39)+1)/($F39-$E39+1))))</f>
        <v>0</v>
      </c>
      <c r="AL39" s="98" t="n">
        <f aca="false">IF($E39="",0,IF(AL$6+6&lt;$E39,0,IF(AL$6&gt;$F39,0,$D39*(IF(AL$6+6&lt;$F39,AL$6+6,$F39)-IF(AL$6&gt;$E39,AL$6,$E39)+1)/($F39-$E39+1))))</f>
        <v>0</v>
      </c>
      <c r="AM39" s="98" t="n">
        <f aca="false">IF($E39="",0,IF(AM$6+6&lt;$E39,0,IF(AM$6&gt;$F39,0,$D39*(IF(AM$6+6&lt;$F39,AM$6+6,$F39)-IF(AM$6&gt;$E39,AM$6,$E39)+1)/($F39-$E39+1))))</f>
        <v>0</v>
      </c>
      <c r="AN39" s="98" t="n">
        <f aca="false">IF($E39="",0,IF(AN$6+6&lt;$E39,0,IF(AN$6&gt;$F39,0,$D39*(IF(AN$6+6&lt;$F39,AN$6+6,$F39)-IF(AN$6&gt;$E39,AN$6,$E39)+1)/($F39-$E39+1))))</f>
        <v>0</v>
      </c>
      <c r="AO39" s="98" t="n">
        <f aca="false">IF($E39="",0,IF(AO$6+6&lt;$E39,0,IF(AO$6&gt;$F39,0,$D39*(IF(AO$6+6&lt;$F39,AO$6+6,$F39)-IF(AO$6&gt;$E39,AO$6,$E39)+1)/($F39-$E39+1))))</f>
        <v>0</v>
      </c>
      <c r="AP39" s="98" t="n">
        <f aca="false">IF($E39="",0,IF(AP$6+6&lt;$E39,0,IF(AP$6&gt;$F39,0,$D39*(IF(AP$6+6&lt;$F39,AP$6+6,$F39)-IF(AP$6&gt;$E39,AP$6,$E39)+1)/($F39-$E39+1))))</f>
        <v>0</v>
      </c>
      <c r="AQ39" s="98" t="n">
        <f aca="false">IF($E39="",0,IF(AQ$6+6&lt;$E39,0,IF(AQ$6&gt;$F39,0,$D39*(IF(AQ$6+6&lt;$F39,AQ$6+6,$F39)-IF(AQ$6&gt;$E39,AQ$6,$E39)+1)/($F39-$E39+1))))</f>
        <v>0</v>
      </c>
      <c r="AR39" s="98" t="n">
        <f aca="false">IF($E39="",0,IF(AR$6+6&lt;$E39,0,IF(AR$6&gt;$F39,0,$D39*(IF(AR$6+6&lt;$F39,AR$6+6,$F39)-IF(AR$6&gt;$E39,AR$6,$E39)+1)/($F39-$E39+1))))</f>
        <v>0</v>
      </c>
      <c r="AS39" s="98" t="n">
        <f aca="false">IF($E39="",0,IF(AS$6+6&lt;$E39,0,IF(AS$6&gt;$F39,0,$D39*(IF(AS$6+6&lt;$F39,AS$6+6,$F39)-IF(AS$6&gt;$E39,AS$6,$E39)+1)/($F39-$E39+1))))</f>
        <v>0</v>
      </c>
      <c r="AT39" s="98" t="n">
        <f aca="false">IF($E39="",0,IF(AT$6+6&lt;$E39,0,IF(AT$6&gt;$F39,0,$D39*(IF(AT$6+6&lt;$F39,AT$6+6,$F39)-IF(AT$6&gt;$E39,AT$6,$E39)+1)/($F39-$E39+1))))</f>
        <v>0</v>
      </c>
      <c r="AU39" s="98" t="n">
        <f aca="false">IF($E39="",0,IF(AU$6+6&lt;$E39,0,IF(AU$6&gt;$F39,0,$D39*(IF(AU$6+6&lt;$F39,AU$6+6,$F39)-IF(AU$6&gt;$E39,AU$6,$E39)+1)/($F39-$E39+1))))</f>
        <v>0</v>
      </c>
      <c r="AV39" s="98" t="n">
        <f aca="false">IF($E39="",0,IF(AV$6+6&lt;$E39,0,IF(AV$6&gt;$F39,0,$D39*(IF(AV$6+6&lt;$F39,AV$6+6,$F39)-IF(AV$6&gt;$E39,AV$6,$E39)+1)/($F39-$E39+1))))</f>
        <v>0</v>
      </c>
      <c r="AW39" s="98" t="n">
        <f aca="false">IF($E39="",0,IF(AW$6+6&lt;$E39,0,IF(AW$6&gt;$F39,0,$D39*(IF(AW$6+6&lt;$F39,AW$6+6,$F39)-IF(AW$6&gt;$E39,AW$6,$E39)+1)/($F39-$E39+1))))</f>
        <v>0</v>
      </c>
      <c r="AX39" s="98" t="n">
        <f aca="false">IF($E39="",0,IF(AX$6+6&lt;$E39,0,IF(AX$6&gt;$F39,0,$D39*(IF(AX$6+6&lt;$F39,AX$6+6,$F39)-IF(AX$6&gt;$E39,AX$6,$E39)+1)/($F39-$E39+1))))</f>
        <v>0</v>
      </c>
      <c r="AY39" s="98" t="n">
        <f aca="false">IF($E39="",0,IF(AY$6+6&lt;$E39,0,IF(AY$6&gt;$F39,0,$D39*(IF(AY$6+6&lt;$F39,AY$6+6,$F39)-IF(AY$6&gt;$E39,AY$6,$E39)+1)/($F39-$E39+1))))</f>
        <v>0</v>
      </c>
      <c r="AZ39" s="98" t="n">
        <f aca="false">IF($E39="",0,IF(AZ$6+6&lt;$E39,0,IF(AZ$6&gt;$F39,0,$D39*(IF(AZ$6+6&lt;$F39,AZ$6+6,$F39)-IF(AZ$6&gt;$E39,AZ$6,$E39)+1)/($F39-$E39+1))))</f>
        <v>0</v>
      </c>
      <c r="BA39" s="98" t="n">
        <f aca="false">IF($E39="",0,IF(BA$6+6&lt;$E39,0,IF(BA$6&gt;$F39,0,$D39*(IF(BA$6+6&lt;$F39,BA$6+6,$F39)-IF(BA$6&gt;$E39,BA$6,$E39)+1)/($F39-$E39+1))))</f>
        <v>0</v>
      </c>
      <c r="BB39" s="98" t="n">
        <f aca="false">IF($E39="",0,IF(BB$6+6&lt;$E39,0,IF(BB$6&gt;$F39,0,$D39*(IF(BB$6+6&lt;$F39,BB$6+6,$F39)-IF(BB$6&gt;$E39,BB$6,$E39)+1)/($F39-$E39+1))))</f>
        <v>0</v>
      </c>
      <c r="BC39" s="98" t="n">
        <f aca="false">IF($E39="",0,IF(BC$6+6&lt;$E39,0,IF(BC$6&gt;$F39,0,$D39*(IF(BC$6+6&lt;$F39,BC$6+6,$F39)-IF(BC$6&gt;$E39,BC$6,$E39)+1)/($F39-$E39+1))))</f>
        <v>0</v>
      </c>
      <c r="BD39" s="98" t="n">
        <f aca="false">IF($E39="",0,IF(BD$6+6&lt;$E39,0,IF(BD$6&gt;$F39,0,$D39*(IF(BD$6+6&lt;$F39,BD$6+6,$F39)-IF(BD$6&gt;$E39,BD$6,$E39)+1)/($F39-$E39+1))))</f>
        <v>0</v>
      </c>
      <c r="BE39" s="98" t="n">
        <f aca="false">IF($E39="",0,IF(BE$6+6&lt;$E39,0,IF(BE$6&gt;$F39,0,$D39*(IF(BE$6+6&lt;$F39,BE$6+6,$F39)-IF(BE$6&gt;$E39,BE$6,$E39)+1)/($F39-$E39+1))))</f>
        <v>0</v>
      </c>
      <c r="BF39" s="98" t="n">
        <f aca="false">IF($E39="",0,IF(BF$6+6&lt;$E39,0,IF(BF$6&gt;$F39,0,$D39*(IF(BF$6+6&lt;$F39,BF$6+6,$F39)-IF(BF$6&gt;$E39,BF$6,$E39)+1)/($F39-$E39+1))))</f>
        <v>0</v>
      </c>
      <c r="BG39" s="98" t="n">
        <f aca="false">IF($E39="",0,IF(BG$6+6&lt;$E39,0,IF(BG$6&gt;$F39,0,$D39*(IF(BG$6+6&lt;$F39,BG$6+6,$F39)-IF(BG$6&gt;$E39,BG$6,$E39)+1)/($F39-$E39+1))))</f>
        <v>0</v>
      </c>
      <c r="BH39" s="98" t="n">
        <f aca="false">IF($E39="",0,IF(BH$6+6&lt;$E39,0,IF(BH$6&gt;$F39,0,$D39*(IF(BH$6+6&lt;$F39,BH$6+6,$F39)-IF(BH$6&gt;$E39,BH$6,$E39)+1)/($F39-$E39+1))))</f>
        <v>0</v>
      </c>
      <c r="BI39" s="98" t="n">
        <f aca="false">IF($E39="",0,IF(BI$6+6&lt;$E39,0,IF(BI$6&gt;$F39,0,$D39*(IF(BI$6+6&lt;$F39,BI$6+6,$F39)-IF(BI$6&gt;$E39,BI$6,$E39)+1)/($F39-$E39+1))))</f>
        <v>0</v>
      </c>
      <c r="BJ39" s="98" t="n">
        <f aca="false">IF($E39="",0,IF(BJ$6+6&lt;$E39,0,IF(BJ$6&gt;$F39,0,$D39*(IF(BJ$6+6&lt;$F39,BJ$6+6,$F39)-IF(BJ$6&gt;$E39,BJ$6,$E39)+1)/($F39-$E39+1))))</f>
        <v>0</v>
      </c>
      <c r="BK39" s="98" t="n">
        <f aca="false">IF($E39="",0,IF(BK$6+6&lt;$E39,0,IF(BK$6&gt;$F39,0,$D39*(IF(BK$6+6&lt;$F39,BK$6+6,$F39)-IF(BK$6&gt;$E39,BK$6,$E39)+1)/($F39-$E39+1))))</f>
        <v>0</v>
      </c>
      <c r="BL39" s="98" t="n">
        <f aca="false">IF($E39="",0,IF(BL$6+6&lt;$E39,0,IF(BL$6&gt;$F39,0,$D39*(IF(BL$6+6&lt;$F39,BL$6+6,$F39)-IF(BL$6&gt;$E39,BL$6,$E39)+1)/($F39-$E39+1))))</f>
        <v>0</v>
      </c>
      <c r="BM39" s="98" t="n">
        <f aca="false">IF($E39="",0,IF(BM$6+6&lt;$E39,0,IF(BM$6&gt;$F39,0,$D39*(IF(BM$6+6&lt;$F39,BM$6+6,$F39)-IF(BM$6&gt;$E39,BM$6,$E39)+1)/($F39-$E39+1))))</f>
        <v>0</v>
      </c>
      <c r="BN39" s="98" t="n">
        <f aca="false">IF($E39="",0,IF(BN$6+6&lt;$E39,0,IF(BN$6&gt;$F39,0,$D39*(IF(BN$6+6&lt;$F39,BN$6+6,$F39)-IF(BN$6&gt;$E39,BN$6,$E39)+1)/($F39-$E39+1))))</f>
        <v>0</v>
      </c>
      <c r="BO39" s="98" t="n">
        <f aca="false">IF($E39="",0,IF(BO$6+6&lt;$E39,0,IF(BO$6&gt;$F39,0,$D39*(IF(BO$6+6&lt;$F39,BO$6+6,$F39)-IF(BO$6&gt;$E39,BO$6,$E39)+1)/($F39-$E39+1))))</f>
        <v>0</v>
      </c>
      <c r="BP39" s="98" t="n">
        <f aca="false">IF($E39="",0,IF(BP$6+6&lt;$E39,0,IF(BP$6&gt;$F39,0,$D39*(IF(BP$6+6&lt;$F39,BP$6+6,$F39)-IF(BP$6&gt;$E39,BP$6,$E39)+1)/($F39-$E39+1))))</f>
        <v>0</v>
      </c>
      <c r="BQ39" s="98" t="n">
        <f aca="false">IF($E39="",0,IF(BQ$6+6&lt;$E39,0,IF(BQ$6&gt;$F39,0,$D39*(IF(BQ$6+6&lt;$F39,BQ$6+6,$F39)-IF(BQ$6&gt;$E39,BQ$6,$E39)+1)/($F39-$E39+1))))</f>
        <v>0</v>
      </c>
      <c r="BR39" s="98" t="n">
        <f aca="false">IF($E39="",0,IF(BR$6+6&lt;$E39,0,IF(BR$6&gt;$F39,0,$D39*(IF(BR$6+6&lt;$F39,BR$6+6,$F39)-IF(BR$6&gt;$E39,BR$6,$E39)+1)/($F39-$E39+1))))</f>
        <v>0</v>
      </c>
      <c r="BS39" s="98" t="n">
        <f aca="false">IF($E39="",0,IF(BS$6+6&lt;$E39,0,IF(BS$6&gt;$F39,0,$D39*(IF(BS$6+6&lt;$F39,BS$6+6,$F39)-IF(BS$6&gt;$E39,BS$6,$E39)+1)/($F39-$E39+1))))</f>
        <v>0</v>
      </c>
      <c r="BT39" s="98" t="n">
        <f aca="false">IF($E39="",0,IF(BT$6+6&lt;$E39,0,IF(BT$6&gt;$F39,0,$D39*(IF(BT$6+6&lt;$F39,BT$6+6,$F39)-IF(BT$6&gt;$E39,BT$6,$E39)+1)/($F39-$E39+1))))</f>
        <v>0</v>
      </c>
      <c r="BU39" s="98" t="n">
        <f aca="false">IF($E39="",0,IF(BU$6+6&lt;$E39,0,IF(BU$6&gt;$F39,0,$D39*(IF(BU$6+6&lt;$F39,BU$6+6,$F39)-IF(BU$6&gt;$E39,BU$6,$E39)+1)/($F39-$E39+1))))</f>
        <v>0</v>
      </c>
      <c r="BV39" s="98" t="n">
        <f aca="false">IF($E39="",0,IF(BV$6+6&lt;$E39,0,IF(BV$6&gt;$F39,0,$D39*(IF(BV$6+6&lt;$F39,BV$6+6,$F39)-IF(BV$6&gt;$E39,BV$6,$E39)+1)/($F39-$E39+1))))</f>
        <v>0</v>
      </c>
      <c r="BW39" s="98" t="n">
        <f aca="false">IF($E39="",0,IF(BW$6+6&lt;$E39,0,IF(BW$6&gt;$F39,0,$D39*(IF(BW$6+6&lt;$F39,BW$6+6,$F39)-IF(BW$6&gt;$E39,BW$6,$E39)+1)/($F39-$E39+1))))</f>
        <v>0</v>
      </c>
      <c r="BX39" s="98" t="n">
        <f aca="false">IF($E39="",0,IF(BX$6+6&lt;$E39,0,IF(BX$6&gt;$F39,0,$D39*(IF(BX$6+6&lt;$F39,BX$6+6,$F39)-IF(BX$6&gt;$E39,BX$6,$E39)+1)/($F39-$E39+1))))</f>
        <v>0</v>
      </c>
      <c r="BY39" s="98" t="n">
        <f aca="false">IF($E39="",0,IF(BY$6+6&lt;$E39,0,IF(BY$6&gt;$F39,0,$D39*(IF(BY$6+6&lt;$F39,BY$6+6,$F39)-IF(BY$6&gt;$E39,BY$6,$E39)+1)/($F39-$E39+1))))</f>
        <v>0</v>
      </c>
    </row>
    <row r="40" customFormat="false" ht="15" hidden="false" customHeight="false" outlineLevel="0" collapsed="false">
      <c r="A40" s="95"/>
      <c r="B40" s="95"/>
      <c r="C40" s="95" t="s">
        <v>634</v>
      </c>
      <c r="D40" s="96"/>
      <c r="E40" s="99"/>
      <c r="F40" s="99"/>
      <c r="G40" s="100"/>
      <c r="H40" s="101"/>
      <c r="I40" s="101"/>
      <c r="J40" s="101"/>
      <c r="K40" s="101"/>
      <c r="L40" s="101"/>
      <c r="M40" s="101"/>
      <c r="N40" s="101"/>
      <c r="O40" s="101"/>
      <c r="P40" s="101"/>
      <c r="Q40" s="101"/>
      <c r="R40" s="101"/>
      <c r="S40" s="101"/>
      <c r="T40" s="101"/>
      <c r="U40" s="101"/>
      <c r="V40" s="101"/>
      <c r="W40" s="101"/>
      <c r="X40" s="101"/>
      <c r="Y40" s="101"/>
      <c r="Z40" s="101"/>
      <c r="AA40" s="101"/>
      <c r="AB40" s="101"/>
      <c r="AC40" s="101"/>
      <c r="AD40" s="101"/>
      <c r="AE40" s="101"/>
      <c r="AF40" s="101"/>
      <c r="AG40" s="101"/>
      <c r="AH40" s="101"/>
      <c r="AI40" s="101"/>
      <c r="AJ40" s="101"/>
      <c r="AK40" s="101"/>
      <c r="AL40" s="101"/>
      <c r="AM40" s="101"/>
      <c r="AN40" s="101"/>
      <c r="AO40" s="101"/>
      <c r="AP40" s="101"/>
      <c r="AQ40" s="101"/>
      <c r="AR40" s="101"/>
      <c r="AS40" s="101"/>
      <c r="AT40" s="101"/>
      <c r="AU40" s="101"/>
      <c r="AV40" s="101"/>
      <c r="AW40" s="101"/>
      <c r="AX40" s="101"/>
      <c r="AY40" s="101"/>
      <c r="AZ40" s="101"/>
      <c r="BA40" s="101"/>
      <c r="BB40" s="101"/>
      <c r="BC40" s="101"/>
      <c r="BD40" s="101"/>
      <c r="BE40" s="101"/>
      <c r="BF40" s="101"/>
      <c r="BG40" s="101"/>
      <c r="BH40" s="101"/>
      <c r="BI40" s="101"/>
      <c r="BJ40" s="101"/>
      <c r="BK40" s="101"/>
      <c r="BL40" s="101"/>
      <c r="BM40" s="101"/>
      <c r="BN40" s="101"/>
      <c r="BO40" s="101"/>
      <c r="BP40" s="101"/>
      <c r="BQ40" s="101"/>
      <c r="BR40" s="101"/>
      <c r="BS40" s="101"/>
      <c r="BT40" s="101"/>
      <c r="BU40" s="101"/>
      <c r="BV40" s="101"/>
      <c r="BW40" s="101"/>
      <c r="BX40" s="101"/>
      <c r="BY40" s="101"/>
    </row>
    <row r="41" customFormat="false" ht="15" hidden="false" customHeight="false" outlineLevel="0" collapsed="false">
      <c r="A41" s="93"/>
      <c r="B41" s="94" t="s">
        <v>651</v>
      </c>
      <c r="C41" s="93"/>
      <c r="D41" s="93"/>
      <c r="E41" s="93"/>
      <c r="F41" s="93"/>
      <c r="G41" s="93"/>
      <c r="H41" s="93"/>
      <c r="I41" s="93"/>
      <c r="J41" s="93"/>
      <c r="K41" s="93"/>
      <c r="L41" s="93"/>
      <c r="M41" s="93"/>
      <c r="N41" s="93"/>
      <c r="O41" s="93"/>
      <c r="P41" s="93"/>
      <c r="Q41" s="93"/>
      <c r="R41" s="93"/>
      <c r="S41" s="93"/>
      <c r="T41" s="93"/>
      <c r="U41" s="93"/>
      <c r="V41" s="93"/>
      <c r="W41" s="93"/>
      <c r="X41" s="93"/>
      <c r="Y41" s="93"/>
      <c r="Z41" s="93"/>
      <c r="AA41" s="93"/>
      <c r="AB41" s="93"/>
      <c r="AC41" s="93"/>
      <c r="AD41" s="93"/>
      <c r="AE41" s="93"/>
      <c r="AF41" s="93"/>
      <c r="AG41" s="93"/>
      <c r="AH41" s="93"/>
      <c r="AI41" s="93"/>
      <c r="AJ41" s="93"/>
      <c r="AK41" s="93"/>
      <c r="AL41" s="93"/>
      <c r="AM41" s="93"/>
      <c r="AN41" s="93"/>
      <c r="AO41" s="93"/>
      <c r="AP41" s="93"/>
      <c r="AQ41" s="93"/>
      <c r="AR41" s="93"/>
      <c r="AS41" s="93"/>
      <c r="AT41" s="93"/>
      <c r="AU41" s="93"/>
      <c r="AV41" s="93"/>
      <c r="AW41" s="93"/>
      <c r="AX41" s="93"/>
      <c r="AY41" s="93"/>
      <c r="AZ41" s="93"/>
      <c r="BA41" s="93"/>
      <c r="BB41" s="93"/>
      <c r="BC41" s="93"/>
      <c r="BD41" s="93"/>
      <c r="BE41" s="93"/>
      <c r="BF41" s="93"/>
      <c r="BG41" s="93"/>
      <c r="BH41" s="93"/>
      <c r="BI41" s="93"/>
      <c r="BJ41" s="93"/>
      <c r="BK41" s="93"/>
      <c r="BL41" s="93"/>
      <c r="BM41" s="93"/>
      <c r="BN41" s="93"/>
      <c r="BO41" s="93"/>
      <c r="BP41" s="93"/>
      <c r="BQ41" s="93"/>
      <c r="BR41" s="93"/>
      <c r="BS41" s="93"/>
      <c r="BT41" s="93"/>
      <c r="BU41" s="93"/>
      <c r="BV41" s="93"/>
      <c r="BW41" s="93"/>
      <c r="BX41" s="93"/>
      <c r="BY41" s="93"/>
    </row>
    <row r="42" customFormat="false" ht="15" hidden="false" customHeight="false" outlineLevel="0" collapsed="false">
      <c r="A42" s="95" t="s">
        <v>496</v>
      </c>
      <c r="B42" s="95" t="s">
        <v>652</v>
      </c>
      <c r="C42" s="95" t="s">
        <v>633</v>
      </c>
      <c r="D42" s="96" t="n">
        <v>2.5</v>
      </c>
      <c r="E42" s="97" t="n">
        <v>46391</v>
      </c>
      <c r="F42" s="97" t="n">
        <v>46393</v>
      </c>
      <c r="G42" s="95" t="n">
        <v>2</v>
      </c>
      <c r="H42" s="98" t="n">
        <f aca="false">IF($E42="",0,IF(H$6+6&lt;$E42,0,IF(H$6&gt;$F42,0,$D42*(IF(H$6+6&lt;$F42,H$6+6,$F42)-IF(H$6&gt;$E42,H$6,$E42)+1)/($F42-$E42+1))))</f>
        <v>0</v>
      </c>
      <c r="I42" s="98" t="n">
        <f aca="false">IF($E42="",0,IF(I$6+6&lt;$E42,0,IF(I$6&gt;$F42,0,$D42*(IF(I$6+6&lt;$F42,I$6+6,$F42)-IF(I$6&gt;$E42,I$6,$E42)+1)/($F42-$E42+1))))</f>
        <v>0</v>
      </c>
      <c r="J42" s="98" t="n">
        <f aca="false">IF($E42="",0,IF(J$6+6&lt;$E42,0,IF(J$6&gt;$F42,0,$D42*(IF(J$6+6&lt;$F42,J$6+6,$F42)-IF(J$6&gt;$E42,J$6,$E42)+1)/($F42-$E42+1))))</f>
        <v>0</v>
      </c>
      <c r="K42" s="98" t="n">
        <f aca="false">IF($E42="",0,IF(K$6+6&lt;$E42,0,IF(K$6&gt;$F42,0,$D42*(IF(K$6+6&lt;$F42,K$6+6,$F42)-IF(K$6&gt;$E42,K$6,$E42)+1)/($F42-$E42+1))))</f>
        <v>0</v>
      </c>
      <c r="L42" s="98" t="n">
        <f aca="false">IF($E42="",0,IF(L$6+6&lt;$E42,0,IF(L$6&gt;$F42,0,$D42*(IF(L$6+6&lt;$F42,L$6+6,$F42)-IF(L$6&gt;$E42,L$6,$E42)+1)/($F42-$E42+1))))</f>
        <v>0</v>
      </c>
      <c r="M42" s="98" t="n">
        <f aca="false">IF($E42="",0,IF(M$6+6&lt;$E42,0,IF(M$6&gt;$F42,0,$D42*(IF(M$6+6&lt;$F42,M$6+6,$F42)-IF(M$6&gt;$E42,M$6,$E42)+1)/($F42-$E42+1))))</f>
        <v>0</v>
      </c>
      <c r="N42" s="98" t="n">
        <f aca="false">IF($E42="",0,IF(N$6+6&lt;$E42,0,IF(N$6&gt;$F42,0,$D42*(IF(N$6+6&lt;$F42,N$6+6,$F42)-IF(N$6&gt;$E42,N$6,$E42)+1)/($F42-$E42+1))))</f>
        <v>0</v>
      </c>
      <c r="O42" s="98" t="n">
        <f aca="false">IF($E42="",0,IF(O$6+6&lt;$E42,0,IF(O$6&gt;$F42,0,$D42*(IF(O$6+6&lt;$F42,O$6+6,$F42)-IF(O$6&gt;$E42,O$6,$E42)+1)/($F42-$E42+1))))</f>
        <v>0</v>
      </c>
      <c r="P42" s="98" t="n">
        <f aca="false">IF($E42="",0,IF(P$6+6&lt;$E42,0,IF(P$6&gt;$F42,0,$D42*(IF(P$6+6&lt;$F42,P$6+6,$F42)-IF(P$6&gt;$E42,P$6,$E42)+1)/($F42-$E42+1))))</f>
        <v>0</v>
      </c>
      <c r="Q42" s="98" t="n">
        <f aca="false">IF($E42="",0,IF(Q$6+6&lt;$E42,0,IF(Q$6&gt;$F42,0,$D42*(IF(Q$6+6&lt;$F42,Q$6+6,$F42)-IF(Q$6&gt;$E42,Q$6,$E42)+1)/($F42-$E42+1))))</f>
        <v>0</v>
      </c>
      <c r="R42" s="98" t="n">
        <f aca="false">IF($E42="",0,IF(R$6+6&lt;$E42,0,IF(R$6&gt;$F42,0,$D42*(IF(R$6+6&lt;$F42,R$6+6,$F42)-IF(R$6&gt;$E42,R$6,$E42)+1)/($F42-$E42+1))))</f>
        <v>2.5</v>
      </c>
      <c r="S42" s="98" t="n">
        <f aca="false">IF($E42="",0,IF(S$6+6&lt;$E42,0,IF(S$6&gt;$F42,0,$D42*(IF(S$6+6&lt;$F42,S$6+6,$F42)-IF(S$6&gt;$E42,S$6,$E42)+1)/($F42-$E42+1))))</f>
        <v>0</v>
      </c>
      <c r="T42" s="98" t="n">
        <f aca="false">IF($E42="",0,IF(T$6+6&lt;$E42,0,IF(T$6&gt;$F42,0,$D42*(IF(T$6+6&lt;$F42,T$6+6,$F42)-IF(T$6&gt;$E42,T$6,$E42)+1)/($F42-$E42+1))))</f>
        <v>0</v>
      </c>
      <c r="U42" s="98" t="n">
        <f aca="false">IF($E42="",0,IF(U$6+6&lt;$E42,0,IF(U$6&gt;$F42,0,$D42*(IF(U$6+6&lt;$F42,U$6+6,$F42)-IF(U$6&gt;$E42,U$6,$E42)+1)/($F42-$E42+1))))</f>
        <v>0</v>
      </c>
      <c r="V42" s="98" t="n">
        <f aca="false">IF($E42="",0,IF(V$6+6&lt;$E42,0,IF(V$6&gt;$F42,0,$D42*(IF(V$6+6&lt;$F42,V$6+6,$F42)-IF(V$6&gt;$E42,V$6,$E42)+1)/($F42-$E42+1))))</f>
        <v>0</v>
      </c>
      <c r="W42" s="98" t="n">
        <f aca="false">IF($E42="",0,IF(W$6+6&lt;$E42,0,IF(W$6&gt;$F42,0,$D42*(IF(W$6+6&lt;$F42,W$6+6,$F42)-IF(W$6&gt;$E42,W$6,$E42)+1)/($F42-$E42+1))))</f>
        <v>0</v>
      </c>
      <c r="X42" s="98" t="n">
        <f aca="false">IF($E42="",0,IF(X$6+6&lt;$E42,0,IF(X$6&gt;$F42,0,$D42*(IF(X$6+6&lt;$F42,X$6+6,$F42)-IF(X$6&gt;$E42,X$6,$E42)+1)/($F42-$E42+1))))</f>
        <v>0</v>
      </c>
      <c r="Y42" s="98" t="n">
        <f aca="false">IF($E42="",0,IF(Y$6+6&lt;$E42,0,IF(Y$6&gt;$F42,0,$D42*(IF(Y$6+6&lt;$F42,Y$6+6,$F42)-IF(Y$6&gt;$E42,Y$6,$E42)+1)/($F42-$E42+1))))</f>
        <v>0</v>
      </c>
      <c r="Z42" s="98" t="n">
        <f aca="false">IF($E42="",0,IF(Z$6+6&lt;$E42,0,IF(Z$6&gt;$F42,0,$D42*(IF(Z$6+6&lt;$F42,Z$6+6,$F42)-IF(Z$6&gt;$E42,Z$6,$E42)+1)/($F42-$E42+1))))</f>
        <v>0</v>
      </c>
      <c r="AA42" s="98" t="n">
        <f aca="false">IF($E42="",0,IF(AA$6+6&lt;$E42,0,IF(AA$6&gt;$F42,0,$D42*(IF(AA$6+6&lt;$F42,AA$6+6,$F42)-IF(AA$6&gt;$E42,AA$6,$E42)+1)/($F42-$E42+1))))</f>
        <v>0</v>
      </c>
      <c r="AB42" s="98" t="n">
        <f aca="false">IF($E42="",0,IF(AB$6+6&lt;$E42,0,IF(AB$6&gt;$F42,0,$D42*(IF(AB$6+6&lt;$F42,AB$6+6,$F42)-IF(AB$6&gt;$E42,AB$6,$E42)+1)/($F42-$E42+1))))</f>
        <v>0</v>
      </c>
      <c r="AC42" s="98" t="n">
        <f aca="false">IF($E42="",0,IF(AC$6+6&lt;$E42,0,IF(AC$6&gt;$F42,0,$D42*(IF(AC$6+6&lt;$F42,AC$6+6,$F42)-IF(AC$6&gt;$E42,AC$6,$E42)+1)/($F42-$E42+1))))</f>
        <v>0</v>
      </c>
      <c r="AD42" s="98" t="n">
        <f aca="false">IF($E42="",0,IF(AD$6+6&lt;$E42,0,IF(AD$6&gt;$F42,0,$D42*(IF(AD$6+6&lt;$F42,AD$6+6,$F42)-IF(AD$6&gt;$E42,AD$6,$E42)+1)/($F42-$E42+1))))</f>
        <v>0</v>
      </c>
      <c r="AE42" s="98" t="n">
        <f aca="false">IF($E42="",0,IF(AE$6+6&lt;$E42,0,IF(AE$6&gt;$F42,0,$D42*(IF(AE$6+6&lt;$F42,AE$6+6,$F42)-IF(AE$6&gt;$E42,AE$6,$E42)+1)/($F42-$E42+1))))</f>
        <v>0</v>
      </c>
      <c r="AF42" s="98" t="n">
        <f aca="false">IF($E42="",0,IF(AF$6+6&lt;$E42,0,IF(AF$6&gt;$F42,0,$D42*(IF(AF$6+6&lt;$F42,AF$6+6,$F42)-IF(AF$6&gt;$E42,AF$6,$E42)+1)/($F42-$E42+1))))</f>
        <v>0</v>
      </c>
      <c r="AG42" s="98" t="n">
        <f aca="false">IF($E42="",0,IF(AG$6+6&lt;$E42,0,IF(AG$6&gt;$F42,0,$D42*(IF(AG$6+6&lt;$F42,AG$6+6,$F42)-IF(AG$6&gt;$E42,AG$6,$E42)+1)/($F42-$E42+1))))</f>
        <v>0</v>
      </c>
      <c r="AH42" s="98" t="n">
        <f aca="false">IF($E42="",0,IF(AH$6+6&lt;$E42,0,IF(AH$6&gt;$F42,0,$D42*(IF(AH$6+6&lt;$F42,AH$6+6,$F42)-IF(AH$6&gt;$E42,AH$6,$E42)+1)/($F42-$E42+1))))</f>
        <v>0</v>
      </c>
      <c r="AI42" s="98" t="n">
        <f aca="false">IF($E42="",0,IF(AI$6+6&lt;$E42,0,IF(AI$6&gt;$F42,0,$D42*(IF(AI$6+6&lt;$F42,AI$6+6,$F42)-IF(AI$6&gt;$E42,AI$6,$E42)+1)/($F42-$E42+1))))</f>
        <v>0</v>
      </c>
      <c r="AJ42" s="98" t="n">
        <f aca="false">IF($E42="",0,IF(AJ$6+6&lt;$E42,0,IF(AJ$6&gt;$F42,0,$D42*(IF(AJ$6+6&lt;$F42,AJ$6+6,$F42)-IF(AJ$6&gt;$E42,AJ$6,$E42)+1)/($F42-$E42+1))))</f>
        <v>0</v>
      </c>
      <c r="AK42" s="98" t="n">
        <f aca="false">IF($E42="",0,IF(AK$6+6&lt;$E42,0,IF(AK$6&gt;$F42,0,$D42*(IF(AK$6+6&lt;$F42,AK$6+6,$F42)-IF(AK$6&gt;$E42,AK$6,$E42)+1)/($F42-$E42+1))))</f>
        <v>0</v>
      </c>
      <c r="AL42" s="98" t="n">
        <f aca="false">IF($E42="",0,IF(AL$6+6&lt;$E42,0,IF(AL$6&gt;$F42,0,$D42*(IF(AL$6+6&lt;$F42,AL$6+6,$F42)-IF(AL$6&gt;$E42,AL$6,$E42)+1)/($F42-$E42+1))))</f>
        <v>0</v>
      </c>
      <c r="AM42" s="98" t="n">
        <f aca="false">IF($E42="",0,IF(AM$6+6&lt;$E42,0,IF(AM$6&gt;$F42,0,$D42*(IF(AM$6+6&lt;$F42,AM$6+6,$F42)-IF(AM$6&gt;$E42,AM$6,$E42)+1)/($F42-$E42+1))))</f>
        <v>0</v>
      </c>
      <c r="AN42" s="98" t="n">
        <f aca="false">IF($E42="",0,IF(AN$6+6&lt;$E42,0,IF(AN$6&gt;$F42,0,$D42*(IF(AN$6+6&lt;$F42,AN$6+6,$F42)-IF(AN$6&gt;$E42,AN$6,$E42)+1)/($F42-$E42+1))))</f>
        <v>0</v>
      </c>
      <c r="AO42" s="98" t="n">
        <f aca="false">IF($E42="",0,IF(AO$6+6&lt;$E42,0,IF(AO$6&gt;$F42,0,$D42*(IF(AO$6+6&lt;$F42,AO$6+6,$F42)-IF(AO$6&gt;$E42,AO$6,$E42)+1)/($F42-$E42+1))))</f>
        <v>0</v>
      </c>
      <c r="AP42" s="98" t="n">
        <f aca="false">IF($E42="",0,IF(AP$6+6&lt;$E42,0,IF(AP$6&gt;$F42,0,$D42*(IF(AP$6+6&lt;$F42,AP$6+6,$F42)-IF(AP$6&gt;$E42,AP$6,$E42)+1)/($F42-$E42+1))))</f>
        <v>0</v>
      </c>
      <c r="AQ42" s="98" t="n">
        <f aca="false">IF($E42="",0,IF(AQ$6+6&lt;$E42,0,IF(AQ$6&gt;$F42,0,$D42*(IF(AQ$6+6&lt;$F42,AQ$6+6,$F42)-IF(AQ$6&gt;$E42,AQ$6,$E42)+1)/($F42-$E42+1))))</f>
        <v>0</v>
      </c>
      <c r="AR42" s="98" t="n">
        <f aca="false">IF($E42="",0,IF(AR$6+6&lt;$E42,0,IF(AR$6&gt;$F42,0,$D42*(IF(AR$6+6&lt;$F42,AR$6+6,$F42)-IF(AR$6&gt;$E42,AR$6,$E42)+1)/($F42-$E42+1))))</f>
        <v>0</v>
      </c>
      <c r="AS42" s="98" t="n">
        <f aca="false">IF($E42="",0,IF(AS$6+6&lt;$E42,0,IF(AS$6&gt;$F42,0,$D42*(IF(AS$6+6&lt;$F42,AS$6+6,$F42)-IF(AS$6&gt;$E42,AS$6,$E42)+1)/($F42-$E42+1))))</f>
        <v>0</v>
      </c>
      <c r="AT42" s="98" t="n">
        <f aca="false">IF($E42="",0,IF(AT$6+6&lt;$E42,0,IF(AT$6&gt;$F42,0,$D42*(IF(AT$6+6&lt;$F42,AT$6+6,$F42)-IF(AT$6&gt;$E42,AT$6,$E42)+1)/($F42-$E42+1))))</f>
        <v>0</v>
      </c>
      <c r="AU42" s="98" t="n">
        <f aca="false">IF($E42="",0,IF(AU$6+6&lt;$E42,0,IF(AU$6&gt;$F42,0,$D42*(IF(AU$6+6&lt;$F42,AU$6+6,$F42)-IF(AU$6&gt;$E42,AU$6,$E42)+1)/($F42-$E42+1))))</f>
        <v>0</v>
      </c>
      <c r="AV42" s="98" t="n">
        <f aca="false">IF($E42="",0,IF(AV$6+6&lt;$E42,0,IF(AV$6&gt;$F42,0,$D42*(IF(AV$6+6&lt;$F42,AV$6+6,$F42)-IF(AV$6&gt;$E42,AV$6,$E42)+1)/($F42-$E42+1))))</f>
        <v>0</v>
      </c>
      <c r="AW42" s="98" t="n">
        <f aca="false">IF($E42="",0,IF(AW$6+6&lt;$E42,0,IF(AW$6&gt;$F42,0,$D42*(IF(AW$6+6&lt;$F42,AW$6+6,$F42)-IF(AW$6&gt;$E42,AW$6,$E42)+1)/($F42-$E42+1))))</f>
        <v>0</v>
      </c>
      <c r="AX42" s="98" t="n">
        <f aca="false">IF($E42="",0,IF(AX$6+6&lt;$E42,0,IF(AX$6&gt;$F42,0,$D42*(IF(AX$6+6&lt;$F42,AX$6+6,$F42)-IF(AX$6&gt;$E42,AX$6,$E42)+1)/($F42-$E42+1))))</f>
        <v>0</v>
      </c>
      <c r="AY42" s="98" t="n">
        <f aca="false">IF($E42="",0,IF(AY$6+6&lt;$E42,0,IF(AY$6&gt;$F42,0,$D42*(IF(AY$6+6&lt;$F42,AY$6+6,$F42)-IF(AY$6&gt;$E42,AY$6,$E42)+1)/($F42-$E42+1))))</f>
        <v>0</v>
      </c>
      <c r="AZ42" s="98" t="n">
        <f aca="false">IF($E42="",0,IF(AZ$6+6&lt;$E42,0,IF(AZ$6&gt;$F42,0,$D42*(IF(AZ$6+6&lt;$F42,AZ$6+6,$F42)-IF(AZ$6&gt;$E42,AZ$6,$E42)+1)/($F42-$E42+1))))</f>
        <v>0</v>
      </c>
      <c r="BA42" s="98" t="n">
        <f aca="false">IF($E42="",0,IF(BA$6+6&lt;$E42,0,IF(BA$6&gt;$F42,0,$D42*(IF(BA$6+6&lt;$F42,BA$6+6,$F42)-IF(BA$6&gt;$E42,BA$6,$E42)+1)/($F42-$E42+1))))</f>
        <v>0</v>
      </c>
      <c r="BB42" s="98" t="n">
        <f aca="false">IF($E42="",0,IF(BB$6+6&lt;$E42,0,IF(BB$6&gt;$F42,0,$D42*(IF(BB$6+6&lt;$F42,BB$6+6,$F42)-IF(BB$6&gt;$E42,BB$6,$E42)+1)/($F42-$E42+1))))</f>
        <v>0</v>
      </c>
      <c r="BC42" s="98" t="n">
        <f aca="false">IF($E42="",0,IF(BC$6+6&lt;$E42,0,IF(BC$6&gt;$F42,0,$D42*(IF(BC$6+6&lt;$F42,BC$6+6,$F42)-IF(BC$6&gt;$E42,BC$6,$E42)+1)/($F42-$E42+1))))</f>
        <v>0</v>
      </c>
      <c r="BD42" s="98" t="n">
        <f aca="false">IF($E42="",0,IF(BD$6+6&lt;$E42,0,IF(BD$6&gt;$F42,0,$D42*(IF(BD$6+6&lt;$F42,BD$6+6,$F42)-IF(BD$6&gt;$E42,BD$6,$E42)+1)/($F42-$E42+1))))</f>
        <v>0</v>
      </c>
      <c r="BE42" s="98" t="n">
        <f aca="false">IF($E42="",0,IF(BE$6+6&lt;$E42,0,IF(BE$6&gt;$F42,0,$D42*(IF(BE$6+6&lt;$F42,BE$6+6,$F42)-IF(BE$6&gt;$E42,BE$6,$E42)+1)/($F42-$E42+1))))</f>
        <v>0</v>
      </c>
      <c r="BF42" s="98" t="n">
        <f aca="false">IF($E42="",0,IF(BF$6+6&lt;$E42,0,IF(BF$6&gt;$F42,0,$D42*(IF(BF$6+6&lt;$F42,BF$6+6,$F42)-IF(BF$6&gt;$E42,BF$6,$E42)+1)/($F42-$E42+1))))</f>
        <v>0</v>
      </c>
      <c r="BG42" s="98" t="n">
        <f aca="false">IF($E42="",0,IF(BG$6+6&lt;$E42,0,IF(BG$6&gt;$F42,0,$D42*(IF(BG$6+6&lt;$F42,BG$6+6,$F42)-IF(BG$6&gt;$E42,BG$6,$E42)+1)/($F42-$E42+1))))</f>
        <v>0</v>
      </c>
      <c r="BH42" s="98" t="n">
        <f aca="false">IF($E42="",0,IF(BH$6+6&lt;$E42,0,IF(BH$6&gt;$F42,0,$D42*(IF(BH$6+6&lt;$F42,BH$6+6,$F42)-IF(BH$6&gt;$E42,BH$6,$E42)+1)/($F42-$E42+1))))</f>
        <v>0</v>
      </c>
      <c r="BI42" s="98" t="n">
        <f aca="false">IF($E42="",0,IF(BI$6+6&lt;$E42,0,IF(BI$6&gt;$F42,0,$D42*(IF(BI$6+6&lt;$F42,BI$6+6,$F42)-IF(BI$6&gt;$E42,BI$6,$E42)+1)/($F42-$E42+1))))</f>
        <v>0</v>
      </c>
      <c r="BJ42" s="98" t="n">
        <f aca="false">IF($E42="",0,IF(BJ$6+6&lt;$E42,0,IF(BJ$6&gt;$F42,0,$D42*(IF(BJ$6+6&lt;$F42,BJ$6+6,$F42)-IF(BJ$6&gt;$E42,BJ$6,$E42)+1)/($F42-$E42+1))))</f>
        <v>0</v>
      </c>
      <c r="BK42" s="98" t="n">
        <f aca="false">IF($E42="",0,IF(BK$6+6&lt;$E42,0,IF(BK$6&gt;$F42,0,$D42*(IF(BK$6+6&lt;$F42,BK$6+6,$F42)-IF(BK$6&gt;$E42,BK$6,$E42)+1)/($F42-$E42+1))))</f>
        <v>0</v>
      </c>
      <c r="BL42" s="98" t="n">
        <f aca="false">IF($E42="",0,IF(BL$6+6&lt;$E42,0,IF(BL$6&gt;$F42,0,$D42*(IF(BL$6+6&lt;$F42,BL$6+6,$F42)-IF(BL$6&gt;$E42,BL$6,$E42)+1)/($F42-$E42+1))))</f>
        <v>0</v>
      </c>
      <c r="BM42" s="98" t="n">
        <f aca="false">IF($E42="",0,IF(BM$6+6&lt;$E42,0,IF(BM$6&gt;$F42,0,$D42*(IF(BM$6+6&lt;$F42,BM$6+6,$F42)-IF(BM$6&gt;$E42,BM$6,$E42)+1)/($F42-$E42+1))))</f>
        <v>0</v>
      </c>
      <c r="BN42" s="98" t="n">
        <f aca="false">IF($E42="",0,IF(BN$6+6&lt;$E42,0,IF(BN$6&gt;$F42,0,$D42*(IF(BN$6+6&lt;$F42,BN$6+6,$F42)-IF(BN$6&gt;$E42,BN$6,$E42)+1)/($F42-$E42+1))))</f>
        <v>0</v>
      </c>
      <c r="BO42" s="98" t="n">
        <f aca="false">IF($E42="",0,IF(BO$6+6&lt;$E42,0,IF(BO$6&gt;$F42,0,$D42*(IF(BO$6+6&lt;$F42,BO$6+6,$F42)-IF(BO$6&gt;$E42,BO$6,$E42)+1)/($F42-$E42+1))))</f>
        <v>0</v>
      </c>
      <c r="BP42" s="98" t="n">
        <f aca="false">IF($E42="",0,IF(BP$6+6&lt;$E42,0,IF(BP$6&gt;$F42,0,$D42*(IF(BP$6+6&lt;$F42,BP$6+6,$F42)-IF(BP$6&gt;$E42,BP$6,$E42)+1)/($F42-$E42+1))))</f>
        <v>0</v>
      </c>
      <c r="BQ42" s="98" t="n">
        <f aca="false">IF($E42="",0,IF(BQ$6+6&lt;$E42,0,IF(BQ$6&gt;$F42,0,$D42*(IF(BQ$6+6&lt;$F42,BQ$6+6,$F42)-IF(BQ$6&gt;$E42,BQ$6,$E42)+1)/($F42-$E42+1))))</f>
        <v>0</v>
      </c>
      <c r="BR42" s="98" t="n">
        <f aca="false">IF($E42="",0,IF(BR$6+6&lt;$E42,0,IF(BR$6&gt;$F42,0,$D42*(IF(BR$6+6&lt;$F42,BR$6+6,$F42)-IF(BR$6&gt;$E42,BR$6,$E42)+1)/($F42-$E42+1))))</f>
        <v>0</v>
      </c>
      <c r="BS42" s="98" t="n">
        <f aca="false">IF($E42="",0,IF(BS$6+6&lt;$E42,0,IF(BS$6&gt;$F42,0,$D42*(IF(BS$6+6&lt;$F42,BS$6+6,$F42)-IF(BS$6&gt;$E42,BS$6,$E42)+1)/($F42-$E42+1))))</f>
        <v>0</v>
      </c>
      <c r="BT42" s="98" t="n">
        <f aca="false">IF($E42="",0,IF(BT$6+6&lt;$E42,0,IF(BT$6&gt;$F42,0,$D42*(IF(BT$6+6&lt;$F42,BT$6+6,$F42)-IF(BT$6&gt;$E42,BT$6,$E42)+1)/($F42-$E42+1))))</f>
        <v>0</v>
      </c>
      <c r="BU42" s="98" t="n">
        <f aca="false">IF($E42="",0,IF(BU$6+6&lt;$E42,0,IF(BU$6&gt;$F42,0,$D42*(IF(BU$6+6&lt;$F42,BU$6+6,$F42)-IF(BU$6&gt;$E42,BU$6,$E42)+1)/($F42-$E42+1))))</f>
        <v>0</v>
      </c>
      <c r="BV42" s="98" t="n">
        <f aca="false">IF($E42="",0,IF(BV$6+6&lt;$E42,0,IF(BV$6&gt;$F42,0,$D42*(IF(BV$6+6&lt;$F42,BV$6+6,$F42)-IF(BV$6&gt;$E42,BV$6,$E42)+1)/($F42-$E42+1))))</f>
        <v>0</v>
      </c>
      <c r="BW42" s="98" t="n">
        <f aca="false">IF($E42="",0,IF(BW$6+6&lt;$E42,0,IF(BW$6&gt;$F42,0,$D42*(IF(BW$6+6&lt;$F42,BW$6+6,$F42)-IF(BW$6&gt;$E42,BW$6,$E42)+1)/($F42-$E42+1))))</f>
        <v>0</v>
      </c>
      <c r="BX42" s="98" t="n">
        <f aca="false">IF($E42="",0,IF(BX$6+6&lt;$E42,0,IF(BX$6&gt;$F42,0,$D42*(IF(BX$6+6&lt;$F42,BX$6+6,$F42)-IF(BX$6&gt;$E42,BX$6,$E42)+1)/($F42-$E42+1))))</f>
        <v>0</v>
      </c>
      <c r="BY42" s="98" t="n">
        <f aca="false">IF($E42="",0,IF(BY$6+6&lt;$E42,0,IF(BY$6&gt;$F42,0,$D42*(IF(BY$6+6&lt;$F42,BY$6+6,$F42)-IF(BY$6&gt;$E42,BY$6,$E42)+1)/($F42-$E42+1))))</f>
        <v>0</v>
      </c>
    </row>
    <row r="43" customFormat="false" ht="15" hidden="false" customHeight="false" outlineLevel="0" collapsed="false">
      <c r="A43" s="95"/>
      <c r="B43" s="95"/>
      <c r="C43" s="95" t="s">
        <v>634</v>
      </c>
      <c r="D43" s="96"/>
      <c r="E43" s="99"/>
      <c r="F43" s="99"/>
      <c r="G43" s="100"/>
      <c r="H43" s="101"/>
      <c r="I43" s="101"/>
      <c r="J43" s="101"/>
      <c r="K43" s="101"/>
      <c r="L43" s="101"/>
      <c r="M43" s="101"/>
      <c r="N43" s="101"/>
      <c r="O43" s="101"/>
      <c r="P43" s="101"/>
      <c r="Q43" s="101"/>
      <c r="R43" s="101"/>
      <c r="S43" s="101"/>
      <c r="T43" s="101"/>
      <c r="U43" s="101"/>
      <c r="V43" s="101"/>
      <c r="W43" s="101"/>
      <c r="X43" s="101"/>
      <c r="Y43" s="101"/>
      <c r="Z43" s="101"/>
      <c r="AA43" s="101"/>
      <c r="AB43" s="101"/>
      <c r="AC43" s="101"/>
      <c r="AD43" s="101"/>
      <c r="AE43" s="101"/>
      <c r="AF43" s="101"/>
      <c r="AG43" s="101"/>
      <c r="AH43" s="101"/>
      <c r="AI43" s="101"/>
      <c r="AJ43" s="101"/>
      <c r="AK43" s="101"/>
      <c r="AL43" s="101"/>
      <c r="AM43" s="101"/>
      <c r="AN43" s="101"/>
      <c r="AO43" s="101"/>
      <c r="AP43" s="101"/>
      <c r="AQ43" s="101"/>
      <c r="AR43" s="101"/>
      <c r="AS43" s="101"/>
      <c r="AT43" s="101"/>
      <c r="AU43" s="101"/>
      <c r="AV43" s="101"/>
      <c r="AW43" s="101"/>
      <c r="AX43" s="101"/>
      <c r="AY43" s="101"/>
      <c r="AZ43" s="101"/>
      <c r="BA43" s="101"/>
      <c r="BB43" s="101"/>
      <c r="BC43" s="101"/>
      <c r="BD43" s="101"/>
      <c r="BE43" s="101"/>
      <c r="BF43" s="101"/>
      <c r="BG43" s="101"/>
      <c r="BH43" s="101"/>
      <c r="BI43" s="101"/>
      <c r="BJ43" s="101"/>
      <c r="BK43" s="101"/>
      <c r="BL43" s="101"/>
      <c r="BM43" s="101"/>
      <c r="BN43" s="101"/>
      <c r="BO43" s="101"/>
      <c r="BP43" s="101"/>
      <c r="BQ43" s="101"/>
      <c r="BR43" s="101"/>
      <c r="BS43" s="101"/>
      <c r="BT43" s="101"/>
      <c r="BU43" s="101"/>
      <c r="BV43" s="101"/>
      <c r="BW43" s="101"/>
      <c r="BX43" s="101"/>
      <c r="BY43" s="101"/>
    </row>
    <row r="44" customFormat="false" ht="15" hidden="false" customHeight="false" outlineLevel="0" collapsed="false">
      <c r="A44" s="95" t="s">
        <v>530</v>
      </c>
      <c r="B44" s="95" t="s">
        <v>653</v>
      </c>
      <c r="C44" s="95" t="s">
        <v>633</v>
      </c>
      <c r="D44" s="96" t="n">
        <v>2.5</v>
      </c>
      <c r="E44" s="97" t="n">
        <v>46440</v>
      </c>
      <c r="F44" s="97" t="n">
        <v>46453</v>
      </c>
      <c r="G44" s="95" t="n">
        <v>13</v>
      </c>
      <c r="H44" s="98" t="n">
        <f aca="false">IF($E44="",0,IF(H$6+6&lt;$E44,0,IF(H$6&gt;$F44,0,$D44*(IF(H$6+6&lt;$F44,H$6+6,$F44)-IF(H$6&gt;$E44,H$6,$E44)+1)/($F44-$E44+1))))</f>
        <v>0</v>
      </c>
      <c r="I44" s="98" t="n">
        <f aca="false">IF($E44="",0,IF(I$6+6&lt;$E44,0,IF(I$6&gt;$F44,0,$D44*(IF(I$6+6&lt;$F44,I$6+6,$F44)-IF(I$6&gt;$E44,I$6,$E44)+1)/($F44-$E44+1))))</f>
        <v>0</v>
      </c>
      <c r="J44" s="98" t="n">
        <f aca="false">IF($E44="",0,IF(J$6+6&lt;$E44,0,IF(J$6&gt;$F44,0,$D44*(IF(J$6+6&lt;$F44,J$6+6,$F44)-IF(J$6&gt;$E44,J$6,$E44)+1)/($F44-$E44+1))))</f>
        <v>0</v>
      </c>
      <c r="K44" s="98" t="n">
        <f aca="false">IF($E44="",0,IF(K$6+6&lt;$E44,0,IF(K$6&gt;$F44,0,$D44*(IF(K$6+6&lt;$F44,K$6+6,$F44)-IF(K$6&gt;$E44,K$6,$E44)+1)/($F44-$E44+1))))</f>
        <v>0</v>
      </c>
      <c r="L44" s="98" t="n">
        <f aca="false">IF($E44="",0,IF(L$6+6&lt;$E44,0,IF(L$6&gt;$F44,0,$D44*(IF(L$6+6&lt;$F44,L$6+6,$F44)-IF(L$6&gt;$E44,L$6,$E44)+1)/($F44-$E44+1))))</f>
        <v>0</v>
      </c>
      <c r="M44" s="98" t="n">
        <f aca="false">IF($E44="",0,IF(M$6+6&lt;$E44,0,IF(M$6&gt;$F44,0,$D44*(IF(M$6+6&lt;$F44,M$6+6,$F44)-IF(M$6&gt;$E44,M$6,$E44)+1)/($F44-$E44+1))))</f>
        <v>0</v>
      </c>
      <c r="N44" s="98" t="n">
        <f aca="false">IF($E44="",0,IF(N$6+6&lt;$E44,0,IF(N$6&gt;$F44,0,$D44*(IF(N$6+6&lt;$F44,N$6+6,$F44)-IF(N$6&gt;$E44,N$6,$E44)+1)/($F44-$E44+1))))</f>
        <v>0</v>
      </c>
      <c r="O44" s="98" t="n">
        <f aca="false">IF($E44="",0,IF(O$6+6&lt;$E44,0,IF(O$6&gt;$F44,0,$D44*(IF(O$6+6&lt;$F44,O$6+6,$F44)-IF(O$6&gt;$E44,O$6,$E44)+1)/($F44-$E44+1))))</f>
        <v>0</v>
      </c>
      <c r="P44" s="98" t="n">
        <f aca="false">IF($E44="",0,IF(P$6+6&lt;$E44,0,IF(P$6&gt;$F44,0,$D44*(IF(P$6+6&lt;$F44,P$6+6,$F44)-IF(P$6&gt;$E44,P$6,$E44)+1)/($F44-$E44+1))))</f>
        <v>0</v>
      </c>
      <c r="Q44" s="98" t="n">
        <f aca="false">IF($E44="",0,IF(Q$6+6&lt;$E44,0,IF(Q$6&gt;$F44,0,$D44*(IF(Q$6+6&lt;$F44,Q$6+6,$F44)-IF(Q$6&gt;$E44,Q$6,$E44)+1)/($F44-$E44+1))))</f>
        <v>0</v>
      </c>
      <c r="R44" s="98" t="n">
        <f aca="false">IF($E44="",0,IF(R$6+6&lt;$E44,0,IF(R$6&gt;$F44,0,$D44*(IF(R$6+6&lt;$F44,R$6+6,$F44)-IF(R$6&gt;$E44,R$6,$E44)+1)/($F44-$E44+1))))</f>
        <v>0</v>
      </c>
      <c r="S44" s="98" t="n">
        <f aca="false">IF($E44="",0,IF(S$6+6&lt;$E44,0,IF(S$6&gt;$F44,0,$D44*(IF(S$6+6&lt;$F44,S$6+6,$F44)-IF(S$6&gt;$E44,S$6,$E44)+1)/($F44-$E44+1))))</f>
        <v>0</v>
      </c>
      <c r="T44" s="98" t="n">
        <f aca="false">IF($E44="",0,IF(T$6+6&lt;$E44,0,IF(T$6&gt;$F44,0,$D44*(IF(T$6+6&lt;$F44,T$6+6,$F44)-IF(T$6&gt;$E44,T$6,$E44)+1)/($F44-$E44+1))))</f>
        <v>0</v>
      </c>
      <c r="U44" s="98" t="n">
        <f aca="false">IF($E44="",0,IF(U$6+6&lt;$E44,0,IF(U$6&gt;$F44,0,$D44*(IF(U$6+6&lt;$F44,U$6+6,$F44)-IF(U$6&gt;$E44,U$6,$E44)+1)/($F44-$E44+1))))</f>
        <v>0</v>
      </c>
      <c r="V44" s="98" t="n">
        <f aca="false">IF($E44="",0,IF(V$6+6&lt;$E44,0,IF(V$6&gt;$F44,0,$D44*(IF(V$6+6&lt;$F44,V$6+6,$F44)-IF(V$6&gt;$E44,V$6,$E44)+1)/($F44-$E44+1))))</f>
        <v>0</v>
      </c>
      <c r="W44" s="98" t="n">
        <f aca="false">IF($E44="",0,IF(W$6+6&lt;$E44,0,IF(W$6&gt;$F44,0,$D44*(IF(W$6+6&lt;$F44,W$6+6,$F44)-IF(W$6&gt;$E44,W$6,$E44)+1)/($F44-$E44+1))))</f>
        <v>0</v>
      </c>
      <c r="X44" s="98" t="n">
        <f aca="false">IF($E44="",0,IF(X$6+6&lt;$E44,0,IF(X$6&gt;$F44,0,$D44*(IF(X$6+6&lt;$F44,X$6+6,$F44)-IF(X$6&gt;$E44,X$6,$E44)+1)/($F44-$E44+1))))</f>
        <v>0</v>
      </c>
      <c r="Y44" s="98" t="n">
        <f aca="false">IF($E44="",0,IF(Y$6+6&lt;$E44,0,IF(Y$6&gt;$F44,0,$D44*(IF(Y$6+6&lt;$F44,Y$6+6,$F44)-IF(Y$6&gt;$E44,Y$6,$E44)+1)/($F44-$E44+1))))</f>
        <v>1.25</v>
      </c>
      <c r="Z44" s="98" t="n">
        <f aca="false">IF($E44="",0,IF(Z$6+6&lt;$E44,0,IF(Z$6&gt;$F44,0,$D44*(IF(Z$6+6&lt;$F44,Z$6+6,$F44)-IF(Z$6&gt;$E44,Z$6,$E44)+1)/($F44-$E44+1))))</f>
        <v>1.25</v>
      </c>
      <c r="AA44" s="98" t="n">
        <f aca="false">IF($E44="",0,IF(AA$6+6&lt;$E44,0,IF(AA$6&gt;$F44,0,$D44*(IF(AA$6+6&lt;$F44,AA$6+6,$F44)-IF(AA$6&gt;$E44,AA$6,$E44)+1)/($F44-$E44+1))))</f>
        <v>0</v>
      </c>
      <c r="AB44" s="98" t="n">
        <f aca="false">IF($E44="",0,IF(AB$6+6&lt;$E44,0,IF(AB$6&gt;$F44,0,$D44*(IF(AB$6+6&lt;$F44,AB$6+6,$F44)-IF(AB$6&gt;$E44,AB$6,$E44)+1)/($F44-$E44+1))))</f>
        <v>0</v>
      </c>
      <c r="AC44" s="98" t="n">
        <f aca="false">IF($E44="",0,IF(AC$6+6&lt;$E44,0,IF(AC$6&gt;$F44,0,$D44*(IF(AC$6+6&lt;$F44,AC$6+6,$F44)-IF(AC$6&gt;$E44,AC$6,$E44)+1)/($F44-$E44+1))))</f>
        <v>0</v>
      </c>
      <c r="AD44" s="98" t="n">
        <f aca="false">IF($E44="",0,IF(AD$6+6&lt;$E44,0,IF(AD$6&gt;$F44,0,$D44*(IF(AD$6+6&lt;$F44,AD$6+6,$F44)-IF(AD$6&gt;$E44,AD$6,$E44)+1)/($F44-$E44+1))))</f>
        <v>0</v>
      </c>
      <c r="AE44" s="98" t="n">
        <f aca="false">IF($E44="",0,IF(AE$6+6&lt;$E44,0,IF(AE$6&gt;$F44,0,$D44*(IF(AE$6+6&lt;$F44,AE$6+6,$F44)-IF(AE$6&gt;$E44,AE$6,$E44)+1)/($F44-$E44+1))))</f>
        <v>0</v>
      </c>
      <c r="AF44" s="98" t="n">
        <f aca="false">IF($E44="",0,IF(AF$6+6&lt;$E44,0,IF(AF$6&gt;$F44,0,$D44*(IF(AF$6+6&lt;$F44,AF$6+6,$F44)-IF(AF$6&gt;$E44,AF$6,$E44)+1)/($F44-$E44+1))))</f>
        <v>0</v>
      </c>
      <c r="AG44" s="98" t="n">
        <f aca="false">IF($E44="",0,IF(AG$6+6&lt;$E44,0,IF(AG$6&gt;$F44,0,$D44*(IF(AG$6+6&lt;$F44,AG$6+6,$F44)-IF(AG$6&gt;$E44,AG$6,$E44)+1)/($F44-$E44+1))))</f>
        <v>0</v>
      </c>
      <c r="AH44" s="98" t="n">
        <f aca="false">IF($E44="",0,IF(AH$6+6&lt;$E44,0,IF(AH$6&gt;$F44,0,$D44*(IF(AH$6+6&lt;$F44,AH$6+6,$F44)-IF(AH$6&gt;$E44,AH$6,$E44)+1)/($F44-$E44+1))))</f>
        <v>0</v>
      </c>
      <c r="AI44" s="98" t="n">
        <f aca="false">IF($E44="",0,IF(AI$6+6&lt;$E44,0,IF(AI$6&gt;$F44,0,$D44*(IF(AI$6+6&lt;$F44,AI$6+6,$F44)-IF(AI$6&gt;$E44,AI$6,$E44)+1)/($F44-$E44+1))))</f>
        <v>0</v>
      </c>
      <c r="AJ44" s="98" t="n">
        <f aca="false">IF($E44="",0,IF(AJ$6+6&lt;$E44,0,IF(AJ$6&gt;$F44,0,$D44*(IF(AJ$6+6&lt;$F44,AJ$6+6,$F44)-IF(AJ$6&gt;$E44,AJ$6,$E44)+1)/($F44-$E44+1))))</f>
        <v>0</v>
      </c>
      <c r="AK44" s="98" t="n">
        <f aca="false">IF($E44="",0,IF(AK$6+6&lt;$E44,0,IF(AK$6&gt;$F44,0,$D44*(IF(AK$6+6&lt;$F44,AK$6+6,$F44)-IF(AK$6&gt;$E44,AK$6,$E44)+1)/($F44-$E44+1))))</f>
        <v>0</v>
      </c>
      <c r="AL44" s="98" t="n">
        <f aca="false">IF($E44="",0,IF(AL$6+6&lt;$E44,0,IF(AL$6&gt;$F44,0,$D44*(IF(AL$6+6&lt;$F44,AL$6+6,$F44)-IF(AL$6&gt;$E44,AL$6,$E44)+1)/($F44-$E44+1))))</f>
        <v>0</v>
      </c>
      <c r="AM44" s="98" t="n">
        <f aca="false">IF($E44="",0,IF(AM$6+6&lt;$E44,0,IF(AM$6&gt;$F44,0,$D44*(IF(AM$6+6&lt;$F44,AM$6+6,$F44)-IF(AM$6&gt;$E44,AM$6,$E44)+1)/($F44-$E44+1))))</f>
        <v>0</v>
      </c>
      <c r="AN44" s="98" t="n">
        <f aca="false">IF($E44="",0,IF(AN$6+6&lt;$E44,0,IF(AN$6&gt;$F44,0,$D44*(IF(AN$6+6&lt;$F44,AN$6+6,$F44)-IF(AN$6&gt;$E44,AN$6,$E44)+1)/($F44-$E44+1))))</f>
        <v>0</v>
      </c>
      <c r="AO44" s="98" t="n">
        <f aca="false">IF($E44="",0,IF(AO$6+6&lt;$E44,0,IF(AO$6&gt;$F44,0,$D44*(IF(AO$6+6&lt;$F44,AO$6+6,$F44)-IF(AO$6&gt;$E44,AO$6,$E44)+1)/($F44-$E44+1))))</f>
        <v>0</v>
      </c>
      <c r="AP44" s="98" t="n">
        <f aca="false">IF($E44="",0,IF(AP$6+6&lt;$E44,0,IF(AP$6&gt;$F44,0,$D44*(IF(AP$6+6&lt;$F44,AP$6+6,$F44)-IF(AP$6&gt;$E44,AP$6,$E44)+1)/($F44-$E44+1))))</f>
        <v>0</v>
      </c>
      <c r="AQ44" s="98" t="n">
        <f aca="false">IF($E44="",0,IF(AQ$6+6&lt;$E44,0,IF(AQ$6&gt;$F44,0,$D44*(IF(AQ$6+6&lt;$F44,AQ$6+6,$F44)-IF(AQ$6&gt;$E44,AQ$6,$E44)+1)/($F44-$E44+1))))</f>
        <v>0</v>
      </c>
      <c r="AR44" s="98" t="n">
        <f aca="false">IF($E44="",0,IF(AR$6+6&lt;$E44,0,IF(AR$6&gt;$F44,0,$D44*(IF(AR$6+6&lt;$F44,AR$6+6,$F44)-IF(AR$6&gt;$E44,AR$6,$E44)+1)/($F44-$E44+1))))</f>
        <v>0</v>
      </c>
      <c r="AS44" s="98" t="n">
        <f aca="false">IF($E44="",0,IF(AS$6+6&lt;$E44,0,IF(AS$6&gt;$F44,0,$D44*(IF(AS$6+6&lt;$F44,AS$6+6,$F44)-IF(AS$6&gt;$E44,AS$6,$E44)+1)/($F44-$E44+1))))</f>
        <v>0</v>
      </c>
      <c r="AT44" s="98" t="n">
        <f aca="false">IF($E44="",0,IF(AT$6+6&lt;$E44,0,IF(AT$6&gt;$F44,0,$D44*(IF(AT$6+6&lt;$F44,AT$6+6,$F44)-IF(AT$6&gt;$E44,AT$6,$E44)+1)/($F44-$E44+1))))</f>
        <v>0</v>
      </c>
      <c r="AU44" s="98" t="n">
        <f aca="false">IF($E44="",0,IF(AU$6+6&lt;$E44,0,IF(AU$6&gt;$F44,0,$D44*(IF(AU$6+6&lt;$F44,AU$6+6,$F44)-IF(AU$6&gt;$E44,AU$6,$E44)+1)/($F44-$E44+1))))</f>
        <v>0</v>
      </c>
      <c r="AV44" s="98" t="n">
        <f aca="false">IF($E44="",0,IF(AV$6+6&lt;$E44,0,IF(AV$6&gt;$F44,0,$D44*(IF(AV$6+6&lt;$F44,AV$6+6,$F44)-IF(AV$6&gt;$E44,AV$6,$E44)+1)/($F44-$E44+1))))</f>
        <v>0</v>
      </c>
      <c r="AW44" s="98" t="n">
        <f aca="false">IF($E44="",0,IF(AW$6+6&lt;$E44,0,IF(AW$6&gt;$F44,0,$D44*(IF(AW$6+6&lt;$F44,AW$6+6,$F44)-IF(AW$6&gt;$E44,AW$6,$E44)+1)/($F44-$E44+1))))</f>
        <v>0</v>
      </c>
      <c r="AX44" s="98" t="n">
        <f aca="false">IF($E44="",0,IF(AX$6+6&lt;$E44,0,IF(AX$6&gt;$F44,0,$D44*(IF(AX$6+6&lt;$F44,AX$6+6,$F44)-IF(AX$6&gt;$E44,AX$6,$E44)+1)/($F44-$E44+1))))</f>
        <v>0</v>
      </c>
      <c r="AY44" s="98" t="n">
        <f aca="false">IF($E44="",0,IF(AY$6+6&lt;$E44,0,IF(AY$6&gt;$F44,0,$D44*(IF(AY$6+6&lt;$F44,AY$6+6,$F44)-IF(AY$6&gt;$E44,AY$6,$E44)+1)/($F44-$E44+1))))</f>
        <v>0</v>
      </c>
      <c r="AZ44" s="98" t="n">
        <f aca="false">IF($E44="",0,IF(AZ$6+6&lt;$E44,0,IF(AZ$6&gt;$F44,0,$D44*(IF(AZ$6+6&lt;$F44,AZ$6+6,$F44)-IF(AZ$6&gt;$E44,AZ$6,$E44)+1)/($F44-$E44+1))))</f>
        <v>0</v>
      </c>
      <c r="BA44" s="98" t="n">
        <f aca="false">IF($E44="",0,IF(BA$6+6&lt;$E44,0,IF(BA$6&gt;$F44,0,$D44*(IF(BA$6+6&lt;$F44,BA$6+6,$F44)-IF(BA$6&gt;$E44,BA$6,$E44)+1)/($F44-$E44+1))))</f>
        <v>0</v>
      </c>
      <c r="BB44" s="98" t="n">
        <f aca="false">IF($E44="",0,IF(BB$6+6&lt;$E44,0,IF(BB$6&gt;$F44,0,$D44*(IF(BB$6+6&lt;$F44,BB$6+6,$F44)-IF(BB$6&gt;$E44,BB$6,$E44)+1)/($F44-$E44+1))))</f>
        <v>0</v>
      </c>
      <c r="BC44" s="98" t="n">
        <f aca="false">IF($E44="",0,IF(BC$6+6&lt;$E44,0,IF(BC$6&gt;$F44,0,$D44*(IF(BC$6+6&lt;$F44,BC$6+6,$F44)-IF(BC$6&gt;$E44,BC$6,$E44)+1)/($F44-$E44+1))))</f>
        <v>0</v>
      </c>
      <c r="BD44" s="98" t="n">
        <f aca="false">IF($E44="",0,IF(BD$6+6&lt;$E44,0,IF(BD$6&gt;$F44,0,$D44*(IF(BD$6+6&lt;$F44,BD$6+6,$F44)-IF(BD$6&gt;$E44,BD$6,$E44)+1)/($F44-$E44+1))))</f>
        <v>0</v>
      </c>
      <c r="BE44" s="98" t="n">
        <f aca="false">IF($E44="",0,IF(BE$6+6&lt;$E44,0,IF(BE$6&gt;$F44,0,$D44*(IF(BE$6+6&lt;$F44,BE$6+6,$F44)-IF(BE$6&gt;$E44,BE$6,$E44)+1)/($F44-$E44+1))))</f>
        <v>0</v>
      </c>
      <c r="BF44" s="98" t="n">
        <f aca="false">IF($E44="",0,IF(BF$6+6&lt;$E44,0,IF(BF$6&gt;$F44,0,$D44*(IF(BF$6+6&lt;$F44,BF$6+6,$F44)-IF(BF$6&gt;$E44,BF$6,$E44)+1)/($F44-$E44+1))))</f>
        <v>0</v>
      </c>
      <c r="BG44" s="98" t="n">
        <f aca="false">IF($E44="",0,IF(BG$6+6&lt;$E44,0,IF(BG$6&gt;$F44,0,$D44*(IF(BG$6+6&lt;$F44,BG$6+6,$F44)-IF(BG$6&gt;$E44,BG$6,$E44)+1)/($F44-$E44+1))))</f>
        <v>0</v>
      </c>
      <c r="BH44" s="98" t="n">
        <f aca="false">IF($E44="",0,IF(BH$6+6&lt;$E44,0,IF(BH$6&gt;$F44,0,$D44*(IF(BH$6+6&lt;$F44,BH$6+6,$F44)-IF(BH$6&gt;$E44,BH$6,$E44)+1)/($F44-$E44+1))))</f>
        <v>0</v>
      </c>
      <c r="BI44" s="98" t="n">
        <f aca="false">IF($E44="",0,IF(BI$6+6&lt;$E44,0,IF(BI$6&gt;$F44,0,$D44*(IF(BI$6+6&lt;$F44,BI$6+6,$F44)-IF(BI$6&gt;$E44,BI$6,$E44)+1)/($F44-$E44+1))))</f>
        <v>0</v>
      </c>
      <c r="BJ44" s="98" t="n">
        <f aca="false">IF($E44="",0,IF(BJ$6+6&lt;$E44,0,IF(BJ$6&gt;$F44,0,$D44*(IF(BJ$6+6&lt;$F44,BJ$6+6,$F44)-IF(BJ$6&gt;$E44,BJ$6,$E44)+1)/($F44-$E44+1))))</f>
        <v>0</v>
      </c>
      <c r="BK44" s="98" t="n">
        <f aca="false">IF($E44="",0,IF(BK$6+6&lt;$E44,0,IF(BK$6&gt;$F44,0,$D44*(IF(BK$6+6&lt;$F44,BK$6+6,$F44)-IF(BK$6&gt;$E44,BK$6,$E44)+1)/($F44-$E44+1))))</f>
        <v>0</v>
      </c>
      <c r="BL44" s="98" t="n">
        <f aca="false">IF($E44="",0,IF(BL$6+6&lt;$E44,0,IF(BL$6&gt;$F44,0,$D44*(IF(BL$6+6&lt;$F44,BL$6+6,$F44)-IF(BL$6&gt;$E44,BL$6,$E44)+1)/($F44-$E44+1))))</f>
        <v>0</v>
      </c>
      <c r="BM44" s="98" t="n">
        <f aca="false">IF($E44="",0,IF(BM$6+6&lt;$E44,0,IF(BM$6&gt;$F44,0,$D44*(IF(BM$6+6&lt;$F44,BM$6+6,$F44)-IF(BM$6&gt;$E44,BM$6,$E44)+1)/($F44-$E44+1))))</f>
        <v>0</v>
      </c>
      <c r="BN44" s="98" t="n">
        <f aca="false">IF($E44="",0,IF(BN$6+6&lt;$E44,0,IF(BN$6&gt;$F44,0,$D44*(IF(BN$6+6&lt;$F44,BN$6+6,$F44)-IF(BN$6&gt;$E44,BN$6,$E44)+1)/($F44-$E44+1))))</f>
        <v>0</v>
      </c>
      <c r="BO44" s="98" t="n">
        <f aca="false">IF($E44="",0,IF(BO$6+6&lt;$E44,0,IF(BO$6&gt;$F44,0,$D44*(IF(BO$6+6&lt;$F44,BO$6+6,$F44)-IF(BO$6&gt;$E44,BO$6,$E44)+1)/($F44-$E44+1))))</f>
        <v>0</v>
      </c>
      <c r="BP44" s="98" t="n">
        <f aca="false">IF($E44="",0,IF(BP$6+6&lt;$E44,0,IF(BP$6&gt;$F44,0,$D44*(IF(BP$6+6&lt;$F44,BP$6+6,$F44)-IF(BP$6&gt;$E44,BP$6,$E44)+1)/($F44-$E44+1))))</f>
        <v>0</v>
      </c>
      <c r="BQ44" s="98" t="n">
        <f aca="false">IF($E44="",0,IF(BQ$6+6&lt;$E44,0,IF(BQ$6&gt;$F44,0,$D44*(IF(BQ$6+6&lt;$F44,BQ$6+6,$F44)-IF(BQ$6&gt;$E44,BQ$6,$E44)+1)/($F44-$E44+1))))</f>
        <v>0</v>
      </c>
      <c r="BR44" s="98" t="n">
        <f aca="false">IF($E44="",0,IF(BR$6+6&lt;$E44,0,IF(BR$6&gt;$F44,0,$D44*(IF(BR$6+6&lt;$F44,BR$6+6,$F44)-IF(BR$6&gt;$E44,BR$6,$E44)+1)/($F44-$E44+1))))</f>
        <v>0</v>
      </c>
      <c r="BS44" s="98" t="n">
        <f aca="false">IF($E44="",0,IF(BS$6+6&lt;$E44,0,IF(BS$6&gt;$F44,0,$D44*(IF(BS$6+6&lt;$F44,BS$6+6,$F44)-IF(BS$6&gt;$E44,BS$6,$E44)+1)/($F44-$E44+1))))</f>
        <v>0</v>
      </c>
      <c r="BT44" s="98" t="n">
        <f aca="false">IF($E44="",0,IF(BT$6+6&lt;$E44,0,IF(BT$6&gt;$F44,0,$D44*(IF(BT$6+6&lt;$F44,BT$6+6,$F44)-IF(BT$6&gt;$E44,BT$6,$E44)+1)/($F44-$E44+1))))</f>
        <v>0</v>
      </c>
      <c r="BU44" s="98" t="n">
        <f aca="false">IF($E44="",0,IF(BU$6+6&lt;$E44,0,IF(BU$6&gt;$F44,0,$D44*(IF(BU$6+6&lt;$F44,BU$6+6,$F44)-IF(BU$6&gt;$E44,BU$6,$E44)+1)/($F44-$E44+1))))</f>
        <v>0</v>
      </c>
      <c r="BV44" s="98" t="n">
        <f aca="false">IF($E44="",0,IF(BV$6+6&lt;$E44,0,IF(BV$6&gt;$F44,0,$D44*(IF(BV$6+6&lt;$F44,BV$6+6,$F44)-IF(BV$6&gt;$E44,BV$6,$E44)+1)/($F44-$E44+1))))</f>
        <v>0</v>
      </c>
      <c r="BW44" s="98" t="n">
        <f aca="false">IF($E44="",0,IF(BW$6+6&lt;$E44,0,IF(BW$6&gt;$F44,0,$D44*(IF(BW$6+6&lt;$F44,BW$6+6,$F44)-IF(BW$6&gt;$E44,BW$6,$E44)+1)/($F44-$E44+1))))</f>
        <v>0</v>
      </c>
      <c r="BX44" s="98" t="n">
        <f aca="false">IF($E44="",0,IF(BX$6+6&lt;$E44,0,IF(BX$6&gt;$F44,0,$D44*(IF(BX$6+6&lt;$F44,BX$6+6,$F44)-IF(BX$6&gt;$E44,BX$6,$E44)+1)/($F44-$E44+1))))</f>
        <v>0</v>
      </c>
      <c r="BY44" s="98" t="n">
        <f aca="false">IF($E44="",0,IF(BY$6+6&lt;$E44,0,IF(BY$6&gt;$F44,0,$D44*(IF(BY$6+6&lt;$F44,BY$6+6,$F44)-IF(BY$6&gt;$E44,BY$6,$E44)+1)/($F44-$E44+1))))</f>
        <v>0</v>
      </c>
    </row>
    <row r="45" customFormat="false" ht="15" hidden="false" customHeight="false" outlineLevel="0" collapsed="false">
      <c r="A45" s="95"/>
      <c r="B45" s="95"/>
      <c r="C45" s="95" t="s">
        <v>634</v>
      </c>
      <c r="D45" s="96"/>
      <c r="E45" s="99"/>
      <c r="F45" s="99"/>
      <c r="G45" s="100"/>
      <c r="H45" s="101"/>
      <c r="I45" s="101"/>
      <c r="J45" s="101"/>
      <c r="K45" s="101"/>
      <c r="L45" s="101"/>
      <c r="M45" s="101"/>
      <c r="N45" s="101"/>
      <c r="O45" s="101"/>
      <c r="P45" s="101"/>
      <c r="Q45" s="101"/>
      <c r="R45" s="101"/>
      <c r="S45" s="101"/>
      <c r="T45" s="101"/>
      <c r="U45" s="101"/>
      <c r="V45" s="101"/>
      <c r="W45" s="101"/>
      <c r="X45" s="101"/>
      <c r="Y45" s="101"/>
      <c r="Z45" s="101"/>
      <c r="AA45" s="101"/>
      <c r="AB45" s="101"/>
      <c r="AC45" s="101"/>
      <c r="AD45" s="101"/>
      <c r="AE45" s="101"/>
      <c r="AF45" s="101"/>
      <c r="AG45" s="101"/>
      <c r="AH45" s="101"/>
      <c r="AI45" s="101"/>
      <c r="AJ45" s="101"/>
      <c r="AK45" s="101"/>
      <c r="AL45" s="101"/>
      <c r="AM45" s="101"/>
      <c r="AN45" s="101"/>
      <c r="AO45" s="101"/>
      <c r="AP45" s="101"/>
      <c r="AQ45" s="101"/>
      <c r="AR45" s="101"/>
      <c r="AS45" s="101"/>
      <c r="AT45" s="101"/>
      <c r="AU45" s="101"/>
      <c r="AV45" s="101"/>
      <c r="AW45" s="101"/>
      <c r="AX45" s="101"/>
      <c r="AY45" s="101"/>
      <c r="AZ45" s="101"/>
      <c r="BA45" s="101"/>
      <c r="BB45" s="101"/>
      <c r="BC45" s="101"/>
      <c r="BD45" s="101"/>
      <c r="BE45" s="101"/>
      <c r="BF45" s="101"/>
      <c r="BG45" s="101"/>
      <c r="BH45" s="101"/>
      <c r="BI45" s="101"/>
      <c r="BJ45" s="101"/>
      <c r="BK45" s="101"/>
      <c r="BL45" s="101"/>
      <c r="BM45" s="101"/>
      <c r="BN45" s="101"/>
      <c r="BO45" s="101"/>
      <c r="BP45" s="101"/>
      <c r="BQ45" s="101"/>
      <c r="BR45" s="101"/>
      <c r="BS45" s="101"/>
      <c r="BT45" s="101"/>
      <c r="BU45" s="101"/>
      <c r="BV45" s="101"/>
      <c r="BW45" s="101"/>
      <c r="BX45" s="101"/>
      <c r="BY45" s="101"/>
    </row>
    <row r="47" customFormat="false" ht="15" hidden="false" customHeight="false" outlineLevel="0" collapsed="false">
      <c r="B47" s="102" t="s">
        <v>654</v>
      </c>
      <c r="H47" s="103" t="n">
        <f aca="false">SUMIF($C$7:$C$45,"Plan",H$7:H$45)</f>
        <v>0</v>
      </c>
      <c r="I47" s="103" t="n">
        <f aca="false">SUMIF($C$7:$C$45,"Plan",I$7:I$45)</f>
        <v>0.5</v>
      </c>
      <c r="J47" s="103" t="n">
        <f aca="false">SUMIF($C$7:$C$45,"Plan",J$7:J$45)</f>
        <v>1.2</v>
      </c>
      <c r="K47" s="103" t="n">
        <f aca="false">SUMIF($C$7:$C$45,"Plan",K$7:K$45)</f>
        <v>0.8</v>
      </c>
      <c r="L47" s="103" t="n">
        <f aca="false">SUMIF($C$7:$C$45,"Plan",L$7:L$45)</f>
        <v>0</v>
      </c>
      <c r="M47" s="103" t="n">
        <f aca="false">SUMIF($C$7:$C$45,"Plan",M$7:M$45)</f>
        <v>2.72222222222222</v>
      </c>
      <c r="N47" s="103" t="n">
        <f aca="false">SUMIF($C$7:$C$45,"Plan",N$7:N$45)</f>
        <v>7.77777777777778</v>
      </c>
      <c r="O47" s="103" t="n">
        <f aca="false">SUMIF($C$7:$C$45,"Plan",O$7:O$45)</f>
        <v>7.77777777777778</v>
      </c>
      <c r="P47" s="103" t="n">
        <f aca="false">SUMIF($C$7:$C$45,"Plan",P$7:P$45)</f>
        <v>37.4484126984127</v>
      </c>
      <c r="Q47" s="103" t="n">
        <f aca="false">SUMIF($C$7:$C$45,"Plan",Q$7:Q$45)</f>
        <v>34.7738095238095</v>
      </c>
      <c r="R47" s="103" t="n">
        <f aca="false">SUMIF($C$7:$C$45,"Plan",R$7:R$45)</f>
        <v>3.65217391304348</v>
      </c>
      <c r="S47" s="103" t="n">
        <f aca="false">SUMIF($C$7:$C$45,"Plan",S$7:S$45)</f>
        <v>0.152173913043478</v>
      </c>
      <c r="T47" s="103" t="n">
        <f aca="false">SUMIF($C$7:$C$45,"Plan",T$7:T$45)</f>
        <v>0.152173913043478</v>
      </c>
      <c r="U47" s="103" t="n">
        <f aca="false">SUMIF($C$7:$C$45,"Plan",U$7:U$45)</f>
        <v>0.152173913043478</v>
      </c>
      <c r="V47" s="103" t="n">
        <f aca="false">SUMIF($C$7:$C$45,"Plan",V$7:V$45)</f>
        <v>0.152173913043478</v>
      </c>
      <c r="W47" s="103" t="n">
        <f aca="false">SUMIF($C$7:$C$45,"Plan",W$7:W$45)</f>
        <v>0.152173913043478</v>
      </c>
      <c r="X47" s="103" t="n">
        <f aca="false">SUMIF($C$7:$C$45,"Plan",X$7:X$45)</f>
        <v>0.0869565217391304</v>
      </c>
      <c r="Y47" s="103" t="n">
        <f aca="false">SUMIF($C$7:$C$45,"Plan",Y$7:Y$45)</f>
        <v>1.25</v>
      </c>
      <c r="Z47" s="103" t="n">
        <f aca="false">SUMIF($C$7:$C$45,"Plan",Z$7:Z$45)</f>
        <v>1.25</v>
      </c>
      <c r="AA47" s="103" t="n">
        <f aca="false">SUMIF($C$7:$C$45,"Plan",AA$7:AA$45)</f>
        <v>0</v>
      </c>
      <c r="AB47" s="103" t="n">
        <f aca="false">SUMIF($C$7:$C$45,"Plan",AB$7:AB$45)</f>
        <v>0</v>
      </c>
      <c r="AC47" s="103" t="n">
        <f aca="false">SUMIF($C$7:$C$45,"Plan",AC$7:AC$45)</f>
        <v>0</v>
      </c>
      <c r="AD47" s="103" t="n">
        <f aca="false">SUMIF($C$7:$C$45,"Plan",AD$7:AD$45)</f>
        <v>0</v>
      </c>
      <c r="AE47" s="103" t="n">
        <f aca="false">SUMIF($C$7:$C$45,"Plan",AE$7:AE$45)</f>
        <v>0</v>
      </c>
      <c r="AF47" s="103" t="n">
        <f aca="false">SUMIF($C$7:$C$45,"Plan",AF$7:AF$45)</f>
        <v>0</v>
      </c>
      <c r="AG47" s="103" t="n">
        <f aca="false">SUMIF($C$7:$C$45,"Plan",AG$7:AG$45)</f>
        <v>0</v>
      </c>
      <c r="AH47" s="103" t="n">
        <f aca="false">SUMIF($C$7:$C$45,"Plan",AH$7:AH$45)</f>
        <v>0</v>
      </c>
      <c r="AI47" s="103" t="n">
        <f aca="false">SUMIF($C$7:$C$45,"Plan",AI$7:AI$45)</f>
        <v>0</v>
      </c>
      <c r="AJ47" s="103" t="n">
        <f aca="false">SUMIF($C$7:$C$45,"Plan",AJ$7:AJ$45)</f>
        <v>0</v>
      </c>
      <c r="AK47" s="103" t="n">
        <f aca="false">SUMIF($C$7:$C$45,"Plan",AK$7:AK$45)</f>
        <v>0</v>
      </c>
      <c r="AL47" s="103" t="n">
        <f aca="false">SUMIF($C$7:$C$45,"Plan",AL$7:AL$45)</f>
        <v>0</v>
      </c>
      <c r="AM47" s="103" t="n">
        <f aca="false">SUMIF($C$7:$C$45,"Plan",AM$7:AM$45)</f>
        <v>0</v>
      </c>
      <c r="AN47" s="103" t="n">
        <f aca="false">SUMIF($C$7:$C$45,"Plan",AN$7:AN$45)</f>
        <v>0</v>
      </c>
      <c r="AO47" s="103" t="n">
        <f aca="false">SUMIF($C$7:$C$45,"Plan",AO$7:AO$45)</f>
        <v>0</v>
      </c>
      <c r="AP47" s="103" t="n">
        <f aca="false">SUMIF($C$7:$C$45,"Plan",AP$7:AP$45)</f>
        <v>0</v>
      </c>
      <c r="AQ47" s="103" t="n">
        <f aca="false">SUMIF($C$7:$C$45,"Plan",AQ$7:AQ$45)</f>
        <v>0</v>
      </c>
      <c r="AR47" s="103" t="n">
        <f aca="false">SUMIF($C$7:$C$45,"Plan",AR$7:AR$45)</f>
        <v>0</v>
      </c>
      <c r="AS47" s="103" t="n">
        <f aca="false">SUMIF($C$7:$C$45,"Plan",AS$7:AS$45)</f>
        <v>0</v>
      </c>
      <c r="AT47" s="103" t="n">
        <f aca="false">SUMIF($C$7:$C$45,"Plan",AT$7:AT$45)</f>
        <v>0</v>
      </c>
      <c r="AU47" s="103" t="n">
        <f aca="false">SUMIF($C$7:$C$45,"Plan",AU$7:AU$45)</f>
        <v>0</v>
      </c>
      <c r="AV47" s="103" t="n">
        <f aca="false">SUMIF($C$7:$C$45,"Plan",AV$7:AV$45)</f>
        <v>0</v>
      </c>
      <c r="AW47" s="103" t="n">
        <f aca="false">SUMIF($C$7:$C$45,"Plan",AW$7:AW$45)</f>
        <v>0</v>
      </c>
      <c r="AX47" s="103" t="n">
        <f aca="false">SUMIF($C$7:$C$45,"Plan",AX$7:AX$45)</f>
        <v>0</v>
      </c>
      <c r="AY47" s="103" t="n">
        <f aca="false">SUMIF($C$7:$C$45,"Plan",AY$7:AY$45)</f>
        <v>0</v>
      </c>
      <c r="AZ47" s="103" t="n">
        <f aca="false">SUMIF($C$7:$C$45,"Plan",AZ$7:AZ$45)</f>
        <v>0</v>
      </c>
      <c r="BA47" s="103" t="n">
        <f aca="false">SUMIF($C$7:$C$45,"Plan",BA$7:BA$45)</f>
        <v>0</v>
      </c>
      <c r="BB47" s="103" t="n">
        <f aca="false">SUMIF($C$7:$C$45,"Plan",BB$7:BB$45)</f>
        <v>0</v>
      </c>
      <c r="BC47" s="103" t="n">
        <f aca="false">SUMIF($C$7:$C$45,"Plan",BC$7:BC$45)</f>
        <v>0</v>
      </c>
      <c r="BD47" s="103" t="n">
        <f aca="false">SUMIF($C$7:$C$45,"Plan",BD$7:BD$45)</f>
        <v>0</v>
      </c>
      <c r="BE47" s="103" t="n">
        <f aca="false">SUMIF($C$7:$C$45,"Plan",BE$7:BE$45)</f>
        <v>0</v>
      </c>
      <c r="BF47" s="103" t="n">
        <f aca="false">SUMIF($C$7:$C$45,"Plan",BF$7:BF$45)</f>
        <v>0</v>
      </c>
      <c r="BG47" s="103" t="n">
        <f aca="false">SUMIF($C$7:$C$45,"Plan",BG$7:BG$45)</f>
        <v>0</v>
      </c>
      <c r="BH47" s="103" t="n">
        <f aca="false">SUMIF($C$7:$C$45,"Plan",BH$7:BH$45)</f>
        <v>0</v>
      </c>
      <c r="BI47" s="103" t="n">
        <f aca="false">SUMIF($C$7:$C$45,"Plan",BI$7:BI$45)</f>
        <v>0</v>
      </c>
      <c r="BJ47" s="103" t="n">
        <f aca="false">SUMIF($C$7:$C$45,"Plan",BJ$7:BJ$45)</f>
        <v>0</v>
      </c>
      <c r="BK47" s="103" t="n">
        <f aca="false">SUMIF($C$7:$C$45,"Plan",BK$7:BK$45)</f>
        <v>0</v>
      </c>
      <c r="BL47" s="103" t="n">
        <f aca="false">SUMIF($C$7:$C$45,"Plan",BL$7:BL$45)</f>
        <v>0</v>
      </c>
      <c r="BM47" s="103" t="n">
        <f aca="false">SUMIF($C$7:$C$45,"Plan",BM$7:BM$45)</f>
        <v>0</v>
      </c>
      <c r="BN47" s="103" t="n">
        <f aca="false">SUMIF($C$7:$C$45,"Plan",BN$7:BN$45)</f>
        <v>0</v>
      </c>
      <c r="BO47" s="103" t="n">
        <f aca="false">SUMIF($C$7:$C$45,"Plan",BO$7:BO$45)</f>
        <v>0</v>
      </c>
      <c r="BP47" s="103" t="n">
        <f aca="false">SUMIF($C$7:$C$45,"Plan",BP$7:BP$45)</f>
        <v>0</v>
      </c>
      <c r="BQ47" s="103" t="n">
        <f aca="false">SUMIF($C$7:$C$45,"Plan",BQ$7:BQ$45)</f>
        <v>0</v>
      </c>
      <c r="BR47" s="103" t="n">
        <f aca="false">SUMIF($C$7:$C$45,"Plan",BR$7:BR$45)</f>
        <v>0</v>
      </c>
      <c r="BS47" s="103" t="n">
        <f aca="false">SUMIF($C$7:$C$45,"Plan",BS$7:BS$45)</f>
        <v>0</v>
      </c>
      <c r="BT47" s="103" t="n">
        <f aca="false">SUMIF($C$7:$C$45,"Plan",BT$7:BT$45)</f>
        <v>0</v>
      </c>
      <c r="BU47" s="103" t="n">
        <f aca="false">SUMIF($C$7:$C$45,"Plan",BU$7:BU$45)</f>
        <v>0</v>
      </c>
      <c r="BV47" s="103" t="n">
        <f aca="false">SUMIF($C$7:$C$45,"Plan",BV$7:BV$45)</f>
        <v>0</v>
      </c>
      <c r="BW47" s="103" t="n">
        <f aca="false">SUMIF($C$7:$C$45,"Plan",BW$7:BW$45)</f>
        <v>0</v>
      </c>
      <c r="BX47" s="103" t="n">
        <f aca="false">SUMIF($C$7:$C$45,"Plan",BX$7:BX$45)</f>
        <v>0</v>
      </c>
      <c r="BY47" s="103" t="n">
        <f aca="false">SUMIF($C$7:$C$45,"Plan",BY$7:BY$45)</f>
        <v>0</v>
      </c>
    </row>
    <row r="48" customFormat="false" ht="15" hidden="false" customHeight="false" outlineLevel="0" collapsed="false">
      <c r="B48" s="102" t="s">
        <v>655</v>
      </c>
      <c r="H48" s="103" t="n">
        <f aca="false">SUMIF($C$7:$C$45,"Actual",H$7:H$45)</f>
        <v>0</v>
      </c>
      <c r="I48" s="103" t="n">
        <f aca="false">SUMIF($C$7:$C$45,"Actual",I$7:I$45)</f>
        <v>0</v>
      </c>
      <c r="J48" s="103" t="n">
        <f aca="false">SUMIF($C$7:$C$45,"Actual",J$7:J$45)</f>
        <v>0</v>
      </c>
      <c r="K48" s="103" t="n">
        <f aca="false">SUMIF($C$7:$C$45,"Actual",K$7:K$45)</f>
        <v>0</v>
      </c>
      <c r="L48" s="103" t="n">
        <f aca="false">SUMIF($C$7:$C$45,"Actual",L$7:L$45)</f>
        <v>0</v>
      </c>
      <c r="M48" s="103" t="n">
        <f aca="false">SUMIF($C$7:$C$45,"Actual",M$7:M$45)</f>
        <v>0</v>
      </c>
      <c r="N48" s="103" t="n">
        <f aca="false">SUMIF($C$7:$C$45,"Actual",N$7:N$45)</f>
        <v>0</v>
      </c>
      <c r="O48" s="103" t="n">
        <f aca="false">SUMIF($C$7:$C$45,"Actual",O$7:O$45)</f>
        <v>0</v>
      </c>
      <c r="P48" s="103" t="n">
        <f aca="false">SUMIF($C$7:$C$45,"Actual",P$7:P$45)</f>
        <v>0</v>
      </c>
      <c r="Q48" s="103" t="n">
        <f aca="false">SUMIF($C$7:$C$45,"Actual",Q$7:Q$45)</f>
        <v>0</v>
      </c>
      <c r="R48" s="103" t="n">
        <f aca="false">SUMIF($C$7:$C$45,"Actual",R$7:R$45)</f>
        <v>0</v>
      </c>
      <c r="S48" s="103" t="n">
        <f aca="false">SUMIF($C$7:$C$45,"Actual",S$7:S$45)</f>
        <v>0</v>
      </c>
      <c r="T48" s="103" t="n">
        <f aca="false">SUMIF($C$7:$C$45,"Actual",T$7:T$45)</f>
        <v>0</v>
      </c>
      <c r="U48" s="103" t="n">
        <f aca="false">SUMIF($C$7:$C$45,"Actual",U$7:U$45)</f>
        <v>0</v>
      </c>
      <c r="V48" s="103" t="n">
        <f aca="false">SUMIF($C$7:$C$45,"Actual",V$7:V$45)</f>
        <v>0</v>
      </c>
      <c r="W48" s="103" t="n">
        <f aca="false">SUMIF($C$7:$C$45,"Actual",W$7:W$45)</f>
        <v>0</v>
      </c>
      <c r="X48" s="103" t="n">
        <f aca="false">SUMIF($C$7:$C$45,"Actual",X$7:X$45)</f>
        <v>0</v>
      </c>
      <c r="Y48" s="103" t="n">
        <f aca="false">SUMIF($C$7:$C$45,"Actual",Y$7:Y$45)</f>
        <v>0</v>
      </c>
      <c r="Z48" s="103" t="n">
        <f aca="false">SUMIF($C$7:$C$45,"Actual",Z$7:Z$45)</f>
        <v>0</v>
      </c>
      <c r="AA48" s="103" t="n">
        <f aca="false">SUMIF($C$7:$C$45,"Actual",AA$7:AA$45)</f>
        <v>0</v>
      </c>
      <c r="AB48" s="103" t="n">
        <f aca="false">SUMIF($C$7:$C$45,"Actual",AB$7:AB$45)</f>
        <v>0</v>
      </c>
      <c r="AC48" s="103" t="n">
        <f aca="false">SUMIF($C$7:$C$45,"Actual",AC$7:AC$45)</f>
        <v>0</v>
      </c>
      <c r="AD48" s="103" t="n">
        <f aca="false">SUMIF($C$7:$C$45,"Actual",AD$7:AD$45)</f>
        <v>0</v>
      </c>
      <c r="AE48" s="103" t="n">
        <f aca="false">SUMIF($C$7:$C$45,"Actual",AE$7:AE$45)</f>
        <v>0</v>
      </c>
      <c r="AF48" s="103" t="n">
        <f aca="false">SUMIF($C$7:$C$45,"Actual",AF$7:AF$45)</f>
        <v>0</v>
      </c>
      <c r="AG48" s="103" t="n">
        <f aca="false">SUMIF($C$7:$C$45,"Actual",AG$7:AG$45)</f>
        <v>0</v>
      </c>
      <c r="AH48" s="103" t="n">
        <f aca="false">SUMIF($C$7:$C$45,"Actual",AH$7:AH$45)</f>
        <v>0</v>
      </c>
      <c r="AI48" s="103" t="n">
        <f aca="false">SUMIF($C$7:$C$45,"Actual",AI$7:AI$45)</f>
        <v>0</v>
      </c>
      <c r="AJ48" s="103" t="n">
        <f aca="false">SUMIF($C$7:$C$45,"Actual",AJ$7:AJ$45)</f>
        <v>0</v>
      </c>
      <c r="AK48" s="103" t="n">
        <f aca="false">SUMIF($C$7:$C$45,"Actual",AK$7:AK$45)</f>
        <v>0</v>
      </c>
      <c r="AL48" s="103" t="n">
        <f aca="false">SUMIF($C$7:$C$45,"Actual",AL$7:AL$45)</f>
        <v>0</v>
      </c>
      <c r="AM48" s="103" t="n">
        <f aca="false">SUMIF($C$7:$C$45,"Actual",AM$7:AM$45)</f>
        <v>0</v>
      </c>
      <c r="AN48" s="103" t="n">
        <f aca="false">SUMIF($C$7:$C$45,"Actual",AN$7:AN$45)</f>
        <v>0</v>
      </c>
      <c r="AO48" s="103" t="n">
        <f aca="false">SUMIF($C$7:$C$45,"Actual",AO$7:AO$45)</f>
        <v>0</v>
      </c>
      <c r="AP48" s="103" t="n">
        <f aca="false">SUMIF($C$7:$C$45,"Actual",AP$7:AP$45)</f>
        <v>0</v>
      </c>
      <c r="AQ48" s="103" t="n">
        <f aca="false">SUMIF($C$7:$C$45,"Actual",AQ$7:AQ$45)</f>
        <v>0</v>
      </c>
      <c r="AR48" s="103" t="n">
        <f aca="false">SUMIF($C$7:$C$45,"Actual",AR$7:AR$45)</f>
        <v>0</v>
      </c>
      <c r="AS48" s="103" t="n">
        <f aca="false">SUMIF($C$7:$C$45,"Actual",AS$7:AS$45)</f>
        <v>0</v>
      </c>
      <c r="AT48" s="103" t="n">
        <f aca="false">SUMIF($C$7:$C$45,"Actual",AT$7:AT$45)</f>
        <v>0</v>
      </c>
      <c r="AU48" s="103" t="n">
        <f aca="false">SUMIF($C$7:$C$45,"Actual",AU$7:AU$45)</f>
        <v>0</v>
      </c>
      <c r="AV48" s="103" t="n">
        <f aca="false">SUMIF($C$7:$C$45,"Actual",AV$7:AV$45)</f>
        <v>0</v>
      </c>
      <c r="AW48" s="103" t="n">
        <f aca="false">SUMIF($C$7:$C$45,"Actual",AW$7:AW$45)</f>
        <v>0</v>
      </c>
      <c r="AX48" s="103" t="n">
        <f aca="false">SUMIF($C$7:$C$45,"Actual",AX$7:AX$45)</f>
        <v>0</v>
      </c>
      <c r="AY48" s="103" t="n">
        <f aca="false">SUMIF($C$7:$C$45,"Actual",AY$7:AY$45)</f>
        <v>0</v>
      </c>
      <c r="AZ48" s="103" t="n">
        <f aca="false">SUMIF($C$7:$C$45,"Actual",AZ$7:AZ$45)</f>
        <v>0</v>
      </c>
      <c r="BA48" s="103" t="n">
        <f aca="false">SUMIF($C$7:$C$45,"Actual",BA$7:BA$45)</f>
        <v>0</v>
      </c>
      <c r="BB48" s="103" t="n">
        <f aca="false">SUMIF($C$7:$C$45,"Actual",BB$7:BB$45)</f>
        <v>0</v>
      </c>
      <c r="BC48" s="103" t="n">
        <f aca="false">SUMIF($C$7:$C$45,"Actual",BC$7:BC$45)</f>
        <v>0</v>
      </c>
      <c r="BD48" s="103" t="n">
        <f aca="false">SUMIF($C$7:$C$45,"Actual",BD$7:BD$45)</f>
        <v>0</v>
      </c>
      <c r="BE48" s="103" t="n">
        <f aca="false">SUMIF($C$7:$C$45,"Actual",BE$7:BE$45)</f>
        <v>0</v>
      </c>
      <c r="BF48" s="103" t="n">
        <f aca="false">SUMIF($C$7:$C$45,"Actual",BF$7:BF$45)</f>
        <v>0</v>
      </c>
      <c r="BG48" s="103" t="n">
        <f aca="false">SUMIF($C$7:$C$45,"Actual",BG$7:BG$45)</f>
        <v>0</v>
      </c>
      <c r="BH48" s="103" t="n">
        <f aca="false">SUMIF($C$7:$C$45,"Actual",BH$7:BH$45)</f>
        <v>0</v>
      </c>
      <c r="BI48" s="103" t="n">
        <f aca="false">SUMIF($C$7:$C$45,"Actual",BI$7:BI$45)</f>
        <v>0</v>
      </c>
      <c r="BJ48" s="103" t="n">
        <f aca="false">SUMIF($C$7:$C$45,"Actual",BJ$7:BJ$45)</f>
        <v>0</v>
      </c>
      <c r="BK48" s="103" t="n">
        <f aca="false">SUMIF($C$7:$C$45,"Actual",BK$7:BK$45)</f>
        <v>0</v>
      </c>
      <c r="BL48" s="103" t="n">
        <f aca="false">SUMIF($C$7:$C$45,"Actual",BL$7:BL$45)</f>
        <v>0</v>
      </c>
      <c r="BM48" s="103" t="n">
        <f aca="false">SUMIF($C$7:$C$45,"Actual",BM$7:BM$45)</f>
        <v>0</v>
      </c>
      <c r="BN48" s="103" t="n">
        <f aca="false">SUMIF($C$7:$C$45,"Actual",BN$7:BN$45)</f>
        <v>0</v>
      </c>
      <c r="BO48" s="103" t="n">
        <f aca="false">SUMIF($C$7:$C$45,"Actual",BO$7:BO$45)</f>
        <v>0</v>
      </c>
      <c r="BP48" s="103" t="n">
        <f aca="false">SUMIF($C$7:$C$45,"Actual",BP$7:BP$45)</f>
        <v>0</v>
      </c>
      <c r="BQ48" s="103" t="n">
        <f aca="false">SUMIF($C$7:$C$45,"Actual",BQ$7:BQ$45)</f>
        <v>0</v>
      </c>
      <c r="BR48" s="103" t="n">
        <f aca="false">SUMIF($C$7:$C$45,"Actual",BR$7:BR$45)</f>
        <v>0</v>
      </c>
      <c r="BS48" s="103" t="n">
        <f aca="false">SUMIF($C$7:$C$45,"Actual",BS$7:BS$45)</f>
        <v>0</v>
      </c>
      <c r="BT48" s="103" t="n">
        <f aca="false">SUMIF($C$7:$C$45,"Actual",BT$7:BT$45)</f>
        <v>0</v>
      </c>
      <c r="BU48" s="103" t="n">
        <f aca="false">SUMIF($C$7:$C$45,"Actual",BU$7:BU$45)</f>
        <v>0</v>
      </c>
      <c r="BV48" s="103" t="n">
        <f aca="false">SUMIF($C$7:$C$45,"Actual",BV$7:BV$45)</f>
        <v>0</v>
      </c>
      <c r="BW48" s="103" t="n">
        <f aca="false">SUMIF($C$7:$C$45,"Actual",BW$7:BW$45)</f>
        <v>0</v>
      </c>
      <c r="BX48" s="103" t="n">
        <f aca="false">SUMIF($C$7:$C$45,"Actual",BX$7:BX$45)</f>
        <v>0</v>
      </c>
      <c r="BY48" s="103" t="n">
        <f aca="false">SUMIF($C$7:$C$45,"Actual",BY$7:BY$45)</f>
        <v>0</v>
      </c>
    </row>
    <row r="49" customFormat="false" ht="15" hidden="false" customHeight="false" outlineLevel="0" collapsed="false">
      <c r="B49" s="104" t="s">
        <v>656</v>
      </c>
      <c r="H49" s="105" t="n">
        <f aca="false">H47</f>
        <v>0</v>
      </c>
      <c r="I49" s="105" t="n">
        <f aca="false">H49+I47</f>
        <v>0.5</v>
      </c>
      <c r="J49" s="105" t="n">
        <f aca="false">I49+J47</f>
        <v>1.7</v>
      </c>
      <c r="K49" s="105" t="n">
        <f aca="false">J49+K47</f>
        <v>2.5</v>
      </c>
      <c r="L49" s="105" t="n">
        <f aca="false">K49+L47</f>
        <v>2.5</v>
      </c>
      <c r="M49" s="105" t="n">
        <f aca="false">L49+M47</f>
        <v>5.22222222222222</v>
      </c>
      <c r="N49" s="105" t="n">
        <f aca="false">M49+N47</f>
        <v>13</v>
      </c>
      <c r="O49" s="105" t="n">
        <f aca="false">N49+O47</f>
        <v>20.7777777777778</v>
      </c>
      <c r="P49" s="105" t="n">
        <f aca="false">O49+P47</f>
        <v>58.2261904761905</v>
      </c>
      <c r="Q49" s="105" t="n">
        <f aca="false">P49+Q47</f>
        <v>93</v>
      </c>
      <c r="R49" s="105" t="n">
        <f aca="false">Q49+R47</f>
        <v>96.6521739130435</v>
      </c>
      <c r="S49" s="105" t="n">
        <f aca="false">R49+S47</f>
        <v>96.804347826087</v>
      </c>
      <c r="T49" s="105" t="n">
        <f aca="false">S49+T47</f>
        <v>96.9565217391305</v>
      </c>
      <c r="U49" s="105" t="n">
        <f aca="false">T49+U47</f>
        <v>97.1086956521739</v>
      </c>
      <c r="V49" s="105" t="n">
        <f aca="false">U49+V47</f>
        <v>97.2608695652174</v>
      </c>
      <c r="W49" s="105" t="n">
        <f aca="false">V49+W47</f>
        <v>97.4130434782609</v>
      </c>
      <c r="X49" s="105" t="n">
        <f aca="false">W49+X47</f>
        <v>97.5</v>
      </c>
      <c r="Y49" s="105" t="n">
        <f aca="false">X49+Y47</f>
        <v>98.75</v>
      </c>
      <c r="Z49" s="105" t="n">
        <f aca="false">Y49+Z47</f>
        <v>100</v>
      </c>
      <c r="AA49" s="105" t="n">
        <f aca="false">Z49+AA47</f>
        <v>100</v>
      </c>
      <c r="AB49" s="105" t="n">
        <f aca="false">AA49+AB47</f>
        <v>100</v>
      </c>
      <c r="AC49" s="105" t="n">
        <f aca="false">AB49+AC47</f>
        <v>100</v>
      </c>
      <c r="AD49" s="105" t="n">
        <f aca="false">AC49+AD47</f>
        <v>100</v>
      </c>
      <c r="AE49" s="105" t="n">
        <f aca="false">AD49+AE47</f>
        <v>100</v>
      </c>
      <c r="AF49" s="105" t="n">
        <f aca="false">AE49+AF47</f>
        <v>100</v>
      </c>
      <c r="AG49" s="105" t="n">
        <f aca="false">AF49+AG47</f>
        <v>100</v>
      </c>
      <c r="AH49" s="105" t="n">
        <f aca="false">AG49+AH47</f>
        <v>100</v>
      </c>
      <c r="AI49" s="105" t="n">
        <f aca="false">AH49+AI47</f>
        <v>100</v>
      </c>
      <c r="AJ49" s="105" t="n">
        <f aca="false">AI49+AJ47</f>
        <v>100</v>
      </c>
      <c r="AK49" s="105" t="n">
        <f aca="false">AJ49+AK47</f>
        <v>100</v>
      </c>
      <c r="AL49" s="105" t="n">
        <f aca="false">AK49+AL47</f>
        <v>100</v>
      </c>
      <c r="AM49" s="105" t="n">
        <f aca="false">AL49+AM47</f>
        <v>100</v>
      </c>
      <c r="AN49" s="105" t="n">
        <f aca="false">AM49+AN47</f>
        <v>100</v>
      </c>
      <c r="AO49" s="105" t="n">
        <f aca="false">AN49+AO47</f>
        <v>100</v>
      </c>
      <c r="AP49" s="105" t="n">
        <f aca="false">AO49+AP47</f>
        <v>100</v>
      </c>
      <c r="AQ49" s="105" t="n">
        <f aca="false">AP49+AQ47</f>
        <v>100</v>
      </c>
      <c r="AR49" s="105" t="n">
        <f aca="false">AQ49+AR47</f>
        <v>100</v>
      </c>
      <c r="AS49" s="105" t="n">
        <f aca="false">AR49+AS47</f>
        <v>100</v>
      </c>
      <c r="AT49" s="105" t="n">
        <f aca="false">AS49+AT47</f>
        <v>100</v>
      </c>
      <c r="AU49" s="105" t="n">
        <f aca="false">AT49+AU47</f>
        <v>100</v>
      </c>
      <c r="AV49" s="105" t="n">
        <f aca="false">AU49+AV47</f>
        <v>100</v>
      </c>
      <c r="AW49" s="105" t="n">
        <f aca="false">AV49+AW47</f>
        <v>100</v>
      </c>
      <c r="AX49" s="105" t="n">
        <f aca="false">AW49+AX47</f>
        <v>100</v>
      </c>
      <c r="AY49" s="105" t="n">
        <f aca="false">AX49+AY47</f>
        <v>100</v>
      </c>
      <c r="AZ49" s="105" t="n">
        <f aca="false">AY49+AZ47</f>
        <v>100</v>
      </c>
      <c r="BA49" s="105" t="n">
        <f aca="false">AZ49+BA47</f>
        <v>100</v>
      </c>
      <c r="BB49" s="105" t="n">
        <f aca="false">BA49+BB47</f>
        <v>100</v>
      </c>
      <c r="BC49" s="105" t="n">
        <f aca="false">BB49+BC47</f>
        <v>100</v>
      </c>
      <c r="BD49" s="105" t="n">
        <f aca="false">BC49+BD47</f>
        <v>100</v>
      </c>
      <c r="BE49" s="105" t="n">
        <f aca="false">BD49+BE47</f>
        <v>100</v>
      </c>
      <c r="BF49" s="105" t="n">
        <f aca="false">BE49+BF47</f>
        <v>100</v>
      </c>
      <c r="BG49" s="105" t="n">
        <f aca="false">BF49+BG47</f>
        <v>100</v>
      </c>
      <c r="BH49" s="105" t="n">
        <f aca="false">BG49+BH47</f>
        <v>100</v>
      </c>
      <c r="BI49" s="105" t="n">
        <f aca="false">BH49+BI47</f>
        <v>100</v>
      </c>
      <c r="BJ49" s="105" t="n">
        <f aca="false">BI49+BJ47</f>
        <v>100</v>
      </c>
      <c r="BK49" s="105" t="n">
        <f aca="false">BJ49+BK47</f>
        <v>100</v>
      </c>
      <c r="BL49" s="105" t="n">
        <f aca="false">BK49+BL47</f>
        <v>100</v>
      </c>
      <c r="BM49" s="105" t="n">
        <f aca="false">BL49+BM47</f>
        <v>100</v>
      </c>
      <c r="BN49" s="105" t="n">
        <f aca="false">BM49+BN47</f>
        <v>100</v>
      </c>
      <c r="BO49" s="105" t="n">
        <f aca="false">BN49+BO47</f>
        <v>100</v>
      </c>
      <c r="BP49" s="105" t="n">
        <f aca="false">BO49+BP47</f>
        <v>100</v>
      </c>
      <c r="BQ49" s="105" t="n">
        <f aca="false">BP49+BQ47</f>
        <v>100</v>
      </c>
      <c r="BR49" s="105" t="n">
        <f aca="false">BQ49+BR47</f>
        <v>100</v>
      </c>
      <c r="BS49" s="105" t="n">
        <f aca="false">BR49+BS47</f>
        <v>100</v>
      </c>
      <c r="BT49" s="105" t="n">
        <f aca="false">BS49+BT47</f>
        <v>100</v>
      </c>
      <c r="BU49" s="105" t="n">
        <f aca="false">BT49+BU47</f>
        <v>100</v>
      </c>
      <c r="BV49" s="105" t="n">
        <f aca="false">BU49+BV47</f>
        <v>100</v>
      </c>
      <c r="BW49" s="105" t="n">
        <f aca="false">BV49+BW47</f>
        <v>100</v>
      </c>
      <c r="BX49" s="105" t="n">
        <f aca="false">BW49+BX47</f>
        <v>100</v>
      </c>
      <c r="BY49" s="105" t="n">
        <f aca="false">BX49+BY47</f>
        <v>100</v>
      </c>
    </row>
    <row r="50" customFormat="false" ht="15" hidden="false" customHeight="false" outlineLevel="0" collapsed="false">
      <c r="B50" s="106" t="s">
        <v>657</v>
      </c>
      <c r="H50" s="105" t="n">
        <f aca="false">H48</f>
        <v>0</v>
      </c>
      <c r="I50" s="105" t="n">
        <f aca="false">IF(I$6&gt;46328,"",H50+I48)</f>
        <v>0</v>
      </c>
      <c r="J50" s="105" t="str">
        <f aca="false">IF(J$6&gt;46328,"",I50+J48)</f>
        <v/>
      </c>
      <c r="K50" s="105" t="str">
        <f aca="false">IF(K$6&gt;46328,"",J50+K48)</f>
        <v/>
      </c>
      <c r="L50" s="105" t="str">
        <f aca="false">IF(L$6&gt;46328,"",K50+L48)</f>
        <v/>
      </c>
      <c r="M50" s="105" t="str">
        <f aca="false">IF(M$6&gt;46328,"",L50+M48)</f>
        <v/>
      </c>
      <c r="N50" s="105" t="str">
        <f aca="false">IF(N$6&gt;46328,"",M50+N48)</f>
        <v/>
      </c>
      <c r="O50" s="105" t="str">
        <f aca="false">IF(O$6&gt;46328,"",N50+O48)</f>
        <v/>
      </c>
      <c r="P50" s="105" t="str">
        <f aca="false">IF(P$6&gt;46328,"",O50+P48)</f>
        <v/>
      </c>
      <c r="Q50" s="105" t="str">
        <f aca="false">IF(Q$6&gt;46328,"",P50+Q48)</f>
        <v/>
      </c>
      <c r="R50" s="105" t="str">
        <f aca="false">IF(R$6&gt;46328,"",Q50+R48)</f>
        <v/>
      </c>
      <c r="S50" s="105" t="str">
        <f aca="false">IF(S$6&gt;46328,"",R50+S48)</f>
        <v/>
      </c>
      <c r="T50" s="105" t="str">
        <f aca="false">IF(T$6&gt;46328,"",S50+T48)</f>
        <v/>
      </c>
      <c r="U50" s="105" t="str">
        <f aca="false">IF(U$6&gt;46328,"",T50+U48)</f>
        <v/>
      </c>
      <c r="V50" s="105" t="str">
        <f aca="false">IF(V$6&gt;46328,"",U50+V48)</f>
        <v/>
      </c>
      <c r="W50" s="105" t="str">
        <f aca="false">IF(W$6&gt;46328,"",V50+W48)</f>
        <v/>
      </c>
      <c r="X50" s="105" t="str">
        <f aca="false">IF(X$6&gt;46328,"",W50+X48)</f>
        <v/>
      </c>
      <c r="Y50" s="105" t="str">
        <f aca="false">IF(Y$6&gt;46328,"",X50+Y48)</f>
        <v/>
      </c>
      <c r="Z50" s="105" t="str">
        <f aca="false">IF(Z$6&gt;46328,"",Y50+Z48)</f>
        <v/>
      </c>
      <c r="AA50" s="105" t="str">
        <f aca="false">IF(AA$6&gt;46328,"",Z50+AA48)</f>
        <v/>
      </c>
      <c r="AB50" s="105" t="str">
        <f aca="false">IF(AB$6&gt;46328,"",AA50+AB48)</f>
        <v/>
      </c>
      <c r="AC50" s="105" t="str">
        <f aca="false">IF(AC$6&gt;46328,"",AB50+AC48)</f>
        <v/>
      </c>
      <c r="AD50" s="105" t="str">
        <f aca="false">IF(AD$6&gt;46328,"",AC50+AD48)</f>
        <v/>
      </c>
      <c r="AE50" s="105" t="str">
        <f aca="false">IF(AE$6&gt;46328,"",AD50+AE48)</f>
        <v/>
      </c>
      <c r="AF50" s="105" t="str">
        <f aca="false">IF(AF$6&gt;46328,"",AE50+AF48)</f>
        <v/>
      </c>
      <c r="AG50" s="105" t="str">
        <f aca="false">IF(AG$6&gt;46328,"",AF50+AG48)</f>
        <v/>
      </c>
      <c r="AH50" s="105" t="str">
        <f aca="false">IF(AH$6&gt;46328,"",AG50+AH48)</f>
        <v/>
      </c>
      <c r="AI50" s="105" t="str">
        <f aca="false">IF(AI$6&gt;46328,"",AH50+AI48)</f>
        <v/>
      </c>
      <c r="AJ50" s="105" t="str">
        <f aca="false">IF(AJ$6&gt;46328,"",AI50+AJ48)</f>
        <v/>
      </c>
      <c r="AK50" s="105" t="str">
        <f aca="false">IF(AK$6&gt;46328,"",AJ50+AK48)</f>
        <v/>
      </c>
      <c r="AL50" s="105" t="str">
        <f aca="false">IF(AL$6&gt;46328,"",AK50+AL48)</f>
        <v/>
      </c>
      <c r="AM50" s="105" t="str">
        <f aca="false">IF(AM$6&gt;46328,"",AL50+AM48)</f>
        <v/>
      </c>
      <c r="AN50" s="105" t="str">
        <f aca="false">IF(AN$6&gt;46328,"",AM50+AN48)</f>
        <v/>
      </c>
      <c r="AO50" s="105" t="str">
        <f aca="false">IF(AO$6&gt;46328,"",AN50+AO48)</f>
        <v/>
      </c>
      <c r="AP50" s="105" t="str">
        <f aca="false">IF(AP$6&gt;46328,"",AO50+AP48)</f>
        <v/>
      </c>
      <c r="AQ50" s="105" t="str">
        <f aca="false">IF(AQ$6&gt;46328,"",AP50+AQ48)</f>
        <v/>
      </c>
      <c r="AR50" s="105" t="str">
        <f aca="false">IF(AR$6&gt;46328,"",AQ50+AR48)</f>
        <v/>
      </c>
      <c r="AS50" s="105" t="str">
        <f aca="false">IF(AS$6&gt;46328,"",AR50+AS48)</f>
        <v/>
      </c>
      <c r="AT50" s="105" t="str">
        <f aca="false">IF(AT$6&gt;46328,"",AS50+AT48)</f>
        <v/>
      </c>
      <c r="AU50" s="105" t="str">
        <f aca="false">IF(AU$6&gt;46328,"",AT50+AU48)</f>
        <v/>
      </c>
      <c r="AV50" s="105" t="str">
        <f aca="false">IF(AV$6&gt;46328,"",AU50+AV48)</f>
        <v/>
      </c>
      <c r="AW50" s="105" t="str">
        <f aca="false">IF(AW$6&gt;46328,"",AV50+AW48)</f>
        <v/>
      </c>
      <c r="AX50" s="105" t="str">
        <f aca="false">IF(AX$6&gt;46328,"",AW50+AX48)</f>
        <v/>
      </c>
      <c r="AY50" s="105" t="str">
        <f aca="false">IF(AY$6&gt;46328,"",AX50+AY48)</f>
        <v/>
      </c>
      <c r="AZ50" s="105" t="str">
        <f aca="false">IF(AZ$6&gt;46328,"",AY50+AZ48)</f>
        <v/>
      </c>
      <c r="BA50" s="105" t="str">
        <f aca="false">IF(BA$6&gt;46328,"",AZ50+BA48)</f>
        <v/>
      </c>
      <c r="BB50" s="105" t="str">
        <f aca="false">IF(BB$6&gt;46328,"",BA50+BB48)</f>
        <v/>
      </c>
      <c r="BC50" s="105" t="str">
        <f aca="false">IF(BC$6&gt;46328,"",BB50+BC48)</f>
        <v/>
      </c>
      <c r="BD50" s="105" t="str">
        <f aca="false">IF(BD$6&gt;46328,"",BC50+BD48)</f>
        <v/>
      </c>
      <c r="BE50" s="105" t="str">
        <f aca="false">IF(BE$6&gt;46328,"",BD50+BE48)</f>
        <v/>
      </c>
      <c r="BF50" s="105" t="str">
        <f aca="false">IF(BF$6&gt;46328,"",BE50+BF48)</f>
        <v/>
      </c>
      <c r="BG50" s="105" t="str">
        <f aca="false">IF(BG$6&gt;46328,"",BF50+BG48)</f>
        <v/>
      </c>
      <c r="BH50" s="105" t="str">
        <f aca="false">IF(BH$6&gt;46328,"",BG50+BH48)</f>
        <v/>
      </c>
      <c r="BI50" s="105" t="str">
        <f aca="false">IF(BI$6&gt;46328,"",BH50+BI48)</f>
        <v/>
      </c>
      <c r="BJ50" s="105" t="str">
        <f aca="false">IF(BJ$6&gt;46328,"",BI50+BJ48)</f>
        <v/>
      </c>
      <c r="BK50" s="105" t="str">
        <f aca="false">IF(BK$6&gt;46328,"",BJ50+BK48)</f>
        <v/>
      </c>
      <c r="BL50" s="105" t="str">
        <f aca="false">IF(BL$6&gt;46328,"",BK50+BL48)</f>
        <v/>
      </c>
      <c r="BM50" s="105" t="str">
        <f aca="false">IF(BM$6&gt;46328,"",BL50+BM48)</f>
        <v/>
      </c>
      <c r="BN50" s="105" t="str">
        <f aca="false">IF(BN$6&gt;46328,"",BM50+BN48)</f>
        <v/>
      </c>
      <c r="BO50" s="105" t="str">
        <f aca="false">IF(BO$6&gt;46328,"",BN50+BO48)</f>
        <v/>
      </c>
      <c r="BP50" s="105" t="str">
        <f aca="false">IF(BP$6&gt;46328,"",BO50+BP48)</f>
        <v/>
      </c>
      <c r="BQ50" s="105" t="str">
        <f aca="false">IF(BQ$6&gt;46328,"",BP50+BQ48)</f>
        <v/>
      </c>
      <c r="BR50" s="105" t="str">
        <f aca="false">IF(BR$6&gt;46328,"",BQ50+BR48)</f>
        <v/>
      </c>
      <c r="BS50" s="105" t="str">
        <f aca="false">IF(BS$6&gt;46328,"",BR50+BS48)</f>
        <v/>
      </c>
      <c r="BT50" s="105" t="str">
        <f aca="false">IF(BT$6&gt;46328,"",BS50+BT48)</f>
        <v/>
      </c>
      <c r="BU50" s="105" t="str">
        <f aca="false">IF(BU$6&gt;46328,"",BT50+BU48)</f>
        <v/>
      </c>
      <c r="BV50" s="105" t="str">
        <f aca="false">IF(BV$6&gt;46328,"",BU50+BV48)</f>
        <v/>
      </c>
      <c r="BW50" s="105" t="str">
        <f aca="false">IF(BW$6&gt;46328,"",BV50+BW48)</f>
        <v/>
      </c>
      <c r="BX50" s="105" t="str">
        <f aca="false">IF(BX$6&gt;46328,"",BW50+BX48)</f>
        <v/>
      </c>
      <c r="BY50" s="105" t="str">
        <f aca="false">IF(BY$6&gt;46328,"",BX50+BY48)</f>
        <v/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8" scale="100" fitToWidth="1" fitToHeight="1" pageOrder="downThenOver" orientation="landscape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2026-10-26T04:49:05Z</dcterms:created>
  <dc:creator>openpyxl</dc:creator>
  <dc:description/>
  <dc:language>en-US</dc:language>
  <cp:lastModifiedBy/>
  <dcterms:modified xsi:type="dcterms:W3CDTF">2026-10-26T11:49:44Z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