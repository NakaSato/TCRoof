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<sst xmlns="http://schemas.openxmlformats.org/spreadsheetml/2006/main" count="1307" uniqueCount="670">
  <si>
    <t xml:space="preserve">แผนโครงการ P3-024 – สถานีผลิตน้ำบ้านทรายขาว 112.86 kWp</t>
  </si>
  <si>
    <t xml:space="preserve">กปภ.สาขาวังสะพุง, ภาคอีสาน, กฟภ. เขต ฉ.1, Inverter 125 kW (ไม่ต้อง พค.2), Zero export LV, คำขอ PPIM1A5081BF, วิศวกร อ๋อง, Admin ฝ้าย,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</si>
  <si>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</si>
  <si>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</si>
  <si>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</si>
  <si>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</si>
  <si>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</si>
  <si>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</si>
  <si>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</si>
  <si>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</si>
  <si>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</si>
  <si>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</si>
  <si>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</si>
  <si>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</si>
  <si>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</si>
  <si>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</si>
  <si>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</si>
  <si>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</si>
  <si>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</si>
  <si>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</si>
  <si>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</si>
  <si>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</si>
  <si>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</si>
  <si>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</si>
  <si>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</si>
  <si>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</si>
  <si>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</si>
  <si>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</si>
  <si>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ค่าธรรมเนียม + สัญญาเชื่อมต่อ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</si>
  <si>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</si>
  <si>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</si>
  <si>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</si>
  <si>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</si>
  <si>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</si>
  <si>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</si>
  <si>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</si>
  <si>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</si>
  <si>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</si>
  <si>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</si>
  <si>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</si>
  <si>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</si>
  <si>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</si>
  <si>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</si>
  <si>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</si>
  <si>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</si>
  <si>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</si>
  <si>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</si>
  <si>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</si>
  <si>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</si>
  <si>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</si>
  <si>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</si>
  <si>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</si>
  <si>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</si>
  <si>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</si>
  <si>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</si>
  <si>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</si>
  <si>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</si>
  <si>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</si>
  <si>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</si>
  <si>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</si>
  <si>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</si>
  <si>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</si>
  <si>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</si>
  <si>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</si>
  <si>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</si>
  <si>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</si>
  <si>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</si>
  <si>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</si>
  <si>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</si>
  <si>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</si>
  <si>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</si>
  <si>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</si>
  <si>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</si>
  <si>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</si>
  <si>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</si>
  <si>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</si>
  <si>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</si>
  <si>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</si>
  <si>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</si>
  <si>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</si>
  <si>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</si>
  <si>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</si>
  <si>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</si>
  <si>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</si>
  <si>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</si>
  <si>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</si>
  <si>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</si>
  <si>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</si>
  <si>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</si>
  <si>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</si>
  <si>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</si>
  <si>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</si>
  <si>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</si>
  <si>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</si>
  <si>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</si>
  <si>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</si>
  <si>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</si>
  <si>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</si>
  <si>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</si>
  <si>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</si>
  <si>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</si>
  <si>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</si>
  <si>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</si>
  <si>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</si>
  <si>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</si>
  <si>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</si>
  <si>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</si>
  <si>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</si>
  <si>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WBS'!L5169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</si>
  <si>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</si>
  <si>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</si>
  <si>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</si>
  <si>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</si>
  <si>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</si>
  <si>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</si>
  <si>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</si>
  <si>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</si>
  <si>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</si>
  <si>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</si>
  <si>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</si>
  <si>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</si>
  <si>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</si>
  <si>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</si>
  <si>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</si>
  <si>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</si>
  <si>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</si>
  <si>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</si>
  <si>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</si>
  <si>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</si>
  <si>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</si>
  <si>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</si>
  <si>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</si>
  <si>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</si>
  <si>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</si>
  <si>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</si>
  <si>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</si>
  <si>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</si>
  <si>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</si>
  <si>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</si>
  <si>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</si>
  <si>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</si>
  <si>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</si>
  <si>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</si>
  <si>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</si>
  <si>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</si>
  <si>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</si>
  <si>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</si>
  <si>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</si>
  <si>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</si>
  <si>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</si>
  <si>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</si>
  <si>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</si>
  <si>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</si>
  <si>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WBS'!L5176</t>
    </r>
  </si>
  <si>
    <t xml:space="preserve">0.3</t>
  </si>
  <si>
    <t xml:space="preserve">หนังสือแจ้งขอดับไฟ</t>
  </si>
  <si>
    <t xml:space="preserve">TC-PML-2026-574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</si>
  <si>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</si>
  <si>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</si>
  <si>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</si>
  <si>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</si>
  <si>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</si>
  <si>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</si>
  <si>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</si>
  <si>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</si>
  <si>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</si>
  <si>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</si>
  <si>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</si>
  <si>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</si>
  <si>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</si>
  <si>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</si>
  <si>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</si>
  <si>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WBS'!L5179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</si>
  <si>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</si>
  <si>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</si>
  <si>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</si>
  <si>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</si>
  <si>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</si>
  <si>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</si>
  <si>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</si>
  <si>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</si>
  <si>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</si>
  <si>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</si>
  <si>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</si>
  <si>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</si>
  <si>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</si>
  <si>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</si>
  <si>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</si>
  <si>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</si>
  <si>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</si>
  <si>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</si>
  <si>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</si>
  <si>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</si>
  <si>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</si>
  <si>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</si>
  <si>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</si>
  <si>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</si>
  <si>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</si>
  <si>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</si>
  <si>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</si>
  <si>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</si>
  <si>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</si>
  <si>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</si>
  <si>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</si>
  <si>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</si>
  <si>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</si>
  <si>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</si>
  <si>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</si>
  <si>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</si>
  <si>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</si>
  <si>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</si>
  <si>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</si>
  <si>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</si>
  <si>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</si>
  <si>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</si>
  <si>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</si>
  <si>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</si>
  <si>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</si>
  <si>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</si>
  <si>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</si>
  <si>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</si>
  <si>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</si>
  <si>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</si>
  <si>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</si>
  <si>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</si>
  <si>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</si>
  <si>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WBS'!L5189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</si>
  <si>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</si>
  <si>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</si>
  <si>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</si>
  <si>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</si>
  <si>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</si>
  <si>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</si>
  <si>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</si>
  <si>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</si>
  <si>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</si>
  <si>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</si>
  <si>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</si>
  <si>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</si>
  <si>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</si>
  <si>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</si>
  <si>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</si>
  <si>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</si>
  <si>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</si>
  <si>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</si>
  <si>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</si>
  <si>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</si>
  <si>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</si>
  <si>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</si>
  <si>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</si>
  <si>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</si>
  <si>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</si>
  <si>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</si>
  <si>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</si>
  <si>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</si>
  <si>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</si>
  <si>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</si>
  <si>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</si>
  <si>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</si>
  <si>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</si>
  <si>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</si>
  <si>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</si>
  <si>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</si>
  <si>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</si>
  <si>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</si>
  <si>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</si>
  <si>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</si>
  <si>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</si>
  <si>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</si>
  <si>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</si>
  <si>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</si>
  <si>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</si>
  <si>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WBS'!L5194</t>
    </r>
  </si>
  <si>
    <t xml:space="preserve">1.7.1</t>
  </si>
  <si>
    <t xml:space="preserve">คำขอขนานไฟ PPIM (ชุด 11 ไฟล์)</t>
  </si>
  <si>
    <t xml:space="preserve">PPIM1A5081BF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</si>
  <si>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</si>
  <si>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</si>
  <si>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</si>
  <si>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</si>
  <si>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</si>
  <si>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</si>
  <si>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</si>
  <si>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</si>
  <si>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</si>
  <si>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</si>
  <si>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</si>
  <si>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</si>
  <si>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</si>
  <si>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</si>
  <si>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</si>
  <si>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</si>
  <si>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</si>
  <si>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</si>
  <si>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</si>
  <si>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</si>
  <si>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</si>
  <si>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</si>
  <si>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</si>
  <si>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</si>
  <si>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</si>
  <si>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</si>
  <si>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</si>
  <si>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</si>
  <si>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</si>
  <si>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</si>
  <si>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</si>
  <si>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</si>
  <si>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</si>
  <si>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</si>
  <si>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</si>
  <si>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</si>
  <si>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</si>
  <si>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</si>
  <si>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</si>
  <si>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</si>
  <si>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</si>
  <si>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</si>
  <si>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</si>
  <si>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</si>
  <si>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</si>
  <si>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WBS'!L5199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</si>
  <si>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</si>
  <si>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</si>
  <si>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</si>
  <si>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</si>
  <si>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</si>
  <si>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</si>
  <si>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</si>
  <si>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</si>
  <si>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</si>
  <si>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</si>
  <si>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</si>
  <si>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</si>
  <si>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</si>
  <si>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</si>
  <si>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</si>
  <si>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</si>
  <si>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</si>
  <si>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</si>
  <si>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</si>
  <si>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</si>
  <si>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</si>
  <si>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</si>
  <si>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</si>
  <si>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</si>
  <si>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</si>
  <si>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</si>
  <si>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</si>
  <si>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</si>
  <si>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</si>
  <si>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</si>
  <si>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</si>
  <si>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</si>
  <si>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</si>
  <si>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</si>
  <si>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</si>
  <si>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</si>
  <si>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</si>
  <si>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</si>
  <si>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</si>
  <si>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</si>
  <si>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</si>
  <si>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</si>
  <si>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</si>
  <si>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</si>
  <si>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</si>
  <si>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</si>
  <si>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</si>
  <si>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WBS'!L5209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</si>
  <si>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</si>
  <si>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</si>
  <si>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</si>
  <si>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</si>
  <si>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</si>
  <si>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</si>
  <si>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</si>
  <si>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</si>
  <si>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</si>
  <si>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</si>
  <si>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</si>
  <si>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</si>
  <si>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</si>
  <si>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</si>
  <si>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</si>
  <si>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</si>
  <si>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</si>
  <si>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</si>
  <si>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</si>
  <si>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WBS'!L5213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</si>
  <si>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</si>
  <si>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</si>
  <si>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</si>
  <si>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</si>
  <si>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</si>
  <si>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</si>
  <si>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</si>
  <si>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</si>
  <si>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</si>
  <si>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</si>
  <si>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</si>
  <si>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</si>
  <si>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</si>
  <si>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</si>
  <si>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</si>
  <si>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</si>
  <si>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</si>
  <si>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</si>
  <si>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</si>
  <si>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</si>
  <si>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</si>
  <si>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</si>
  <si>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</si>
  <si>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</si>
  <si>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</si>
  <si>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</si>
  <si>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</si>
  <si>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</si>
  <si>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</si>
  <si>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</si>
  <si>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</si>
  <si>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</si>
  <si>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WBS'!L5219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</si>
  <si>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</si>
  <si>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</si>
  <si>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</si>
  <si>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</si>
  <si>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</si>
  <si>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</si>
  <si>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</si>
  <si>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</si>
  <si>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</si>
  <si>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</si>
  <si>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</si>
  <si>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</si>
  <si>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</si>
  <si>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</si>
  <si>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</si>
  <si>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</si>
  <si>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</si>
  <si>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</si>
  <si>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</si>
  <si>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</si>
  <si>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</si>
  <si>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</si>
  <si>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</si>
  <si>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</si>
  <si>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</si>
  <si>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</si>
  <si>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</si>
  <si>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</si>
  <si>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</si>
  <si>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</si>
  <si>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</si>
  <si>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</si>
  <si>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</si>
  <si>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</si>
  <si>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</si>
  <si>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</si>
  <si>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</si>
  <si>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</si>
  <si>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</si>
  <si>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</si>
  <si>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</si>
  <si>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</si>
  <si>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</si>
  <si>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</si>
  <si>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</si>
  <si>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</si>
  <si>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</si>
  <si>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</si>
  <si>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</si>
  <si>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</si>
  <si>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</si>
  <si>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</si>
  <si>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WBS'!L5229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</si>
  <si>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</si>
  <si>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</si>
  <si>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</si>
  <si>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</si>
  <si>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</si>
  <si>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</si>
  <si>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</si>
  <si>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</si>
  <si>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</si>
  <si>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</si>
  <si>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</si>
  <si>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</si>
  <si>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</si>
  <si>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</si>
  <si>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</si>
  <si>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</si>
  <si>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</si>
  <si>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</si>
  <si>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</si>
  <si>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</si>
  <si>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</si>
  <si>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</si>
  <si>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</si>
  <si>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</si>
  <si>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</si>
  <si>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</si>
  <si>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</si>
  <si>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</si>
  <si>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</si>
  <si>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</si>
  <si>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</si>
  <si>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</si>
  <si>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</si>
  <si>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</si>
  <si>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</si>
  <si>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</si>
  <si>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</si>
  <si>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</si>
  <si>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</si>
  <si>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</si>
  <si>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</si>
  <si>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</si>
  <si>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</si>
  <si>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</si>
  <si>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</si>
  <si>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</si>
  <si>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</si>
  <si>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</si>
  <si>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</si>
  <si>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</si>
  <si>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</si>
  <si>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</si>
  <si>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</si>
  <si>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</si>
  <si>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WBS'!L5239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</si>
  <si>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</si>
  <si>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</si>
  <si>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</si>
  <si>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</si>
  <si>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</si>
  <si>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</si>
  <si>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</si>
  <si>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</si>
  <si>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</si>
  <si>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</si>
  <si>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</si>
  <si>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</si>
  <si>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</si>
  <si>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</si>
  <si>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</si>
  <si>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</si>
  <si>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</si>
  <si>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</si>
  <si>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</si>
  <si>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</si>
  <si>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</si>
  <si>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</si>
  <si>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</si>
  <si>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</si>
  <si>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</si>
  <si>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</si>
  <si>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</si>
  <si>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</si>
  <si>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</si>
  <si>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</si>
  <si>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</si>
  <si>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</si>
  <si>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</si>
  <si>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</si>
  <si>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</si>
  <si>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</si>
  <si>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</si>
  <si>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</si>
  <si>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</si>
  <si>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</si>
  <si>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</si>
  <si>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</si>
  <si>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</si>
  <si>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</si>
  <si>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</si>
  <si>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</si>
  <si>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</si>
  <si>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</si>
  <si>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</si>
  <si>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</si>
  <si>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</si>
  <si>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</si>
  <si>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</si>
  <si>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</si>
  <si>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</si>
  <si>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</si>
  <si>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</si>
  <si>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</si>
  <si>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</si>
  <si>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</si>
  <si>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</si>
  <si>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</si>
  <si>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</si>
  <si>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</si>
  <si>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</si>
  <si>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</si>
  <si>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</si>
  <si>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</si>
  <si>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</si>
  <si>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</si>
  <si>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</si>
  <si>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</si>
  <si>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</si>
  <si>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</si>
  <si>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</si>
  <si>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</si>
  <si>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</si>
  <si>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</si>
  <si>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</si>
  <si>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</si>
  <si>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</si>
  <si>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</si>
  <si>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</si>
  <si>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</si>
  <si>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สถานีผลิตน้ำบ้านทรายขาว การประปาส่วนภูมิภาคสาขาวังสะพุง ขนาดกำลังผลิต </t>
    </r>
    <r>
      <rPr>
        <sz val="10"/>
        <rFont val="Tahoma"/>
        <family val="0"/>
        <charset val="1"/>
      </rPr>
      <t xml:space="preserve">112.86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</si>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</sst>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3.4999</c:v>
                </c:pt>
                <c:pt idx="12">
                  <c:v>10.1666</c:v>
                </c:pt>
                <c:pt idx="13">
                  <c:v>16.8333</c:v>
                </c:pt>
                <c:pt idx="14">
                  <c:v>47.25</c:v>
                </c:pt>
                <c:pt idx="15">
                  <c:v>93.5</c:v>
                </c:pt>
                <c:pt idx="16">
                  <c:v>93.5</c:v>
                </c:pt>
                <c:pt idx="17">
                  <c:v>93.5</c:v>
                </c:pt>
                <c:pt idx="18">
                  <c:v>93.5</c:v>
                </c:pt>
                <c:pt idx="19">
                  <c:v>93.5</c:v>
                </c:pt>
                <c:pt idx="20">
                  <c:v>93.5</c:v>
                </c:pt>
                <c:pt idx="21">
                  <c:v>94.25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326988"/>
        <c:axId val="11686135"/>
      </c:lineChart>
      <c:catAx>
        <c:axId val="8732698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86135"/>
        <c:crosses val="autoZero"/>
        <c:auto val="1"/>
        <c:lblAlgn val="ctr"/>
        <c:lblOffset val="100"/>
        <c:noMultiLvlLbl val="0"/>
      </c:catAx>
      <c:valAx>
        <c:axId val="11686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269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46384</v>
      </c>
      <c r="G4" s="10"/>
      <c r="H4" s="10"/>
      <c r="J4" s="11" t="n">
        <v>0.95</v>
      </c>
      <c r="K4" s="11"/>
      <c r="L4" s="12" t="n">
        <v>42</v>
      </c>
      <c r="M4" s="12"/>
      <c r="N4" s="12" t="n">
        <v>68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46405</v>
      </c>
      <c r="P8" s="34" t="s">
        <v>75</v>
      </c>
      <c r="Q8" s="31" t="n">
        <v>72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46405</v>
      </c>
      <c r="P9" s="46" t="s">
        <v>75</v>
      </c>
      <c r="Q9" s="37" t="n">
        <v>72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46228</v>
      </c>
      <c r="P10" s="50" t="s">
        <v>75</v>
      </c>
      <c r="Q10" s="52" t="n">
        <v>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46228</v>
      </c>
      <c r="P11" s="50" t="s">
        <v>75</v>
      </c>
      <c r="Q11" s="52" t="n">
        <v>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46228</v>
      </c>
      <c r="P12" s="50" t="s">
        <v>75</v>
      </c>
      <c r="Q12" s="52" t="n">
        <v>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46238</v>
      </c>
      <c r="P13" s="50" t="s">
        <v>75</v>
      </c>
      <c r="Q13" s="52" t="n">
        <v>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46228</v>
      </c>
      <c r="O14" s="55" t="n">
        <v>46405</v>
      </c>
      <c r="P14" s="50" t="s">
        <v>75</v>
      </c>
      <c r="Q14" s="52" t="n">
        <v>72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46228</v>
      </c>
      <c r="O15" s="55" t="n">
        <v>46405</v>
      </c>
      <c r="P15" s="50" t="s">
        <v>75</v>
      </c>
      <c r="Q15" s="52" t="n">
        <v>72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46261</v>
      </c>
      <c r="M25" s="43"/>
      <c r="N25" s="44" t="n">
        <v>46261</v>
      </c>
      <c r="O25" s="45" t="n">
        <v>46261</v>
      </c>
      <c r="P25" s="46" t="s">
        <v>60</v>
      </c>
      <c r="Q25" s="37" t="n">
        <v>29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46261</v>
      </c>
      <c r="O26" s="55" t="n">
        <v>46261</v>
      </c>
      <c r="P26" s="50" t="s">
        <v>124</v>
      </c>
      <c r="Q26" s="52" t="n">
        <v>29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46261</v>
      </c>
      <c r="O27" s="55" t="n">
        <v>46261</v>
      </c>
      <c r="P27" s="50" t="s">
        <v>124</v>
      </c>
      <c r="Q27" s="52" t="n">
        <v>29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46261</v>
      </c>
      <c r="O28" s="55" t="n">
        <v>46261</v>
      </c>
      <c r="P28" s="50" t="s">
        <v>124</v>
      </c>
      <c r="Q28" s="52" t="n">
        <v>29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46384</v>
      </c>
      <c r="P29" s="34" t="s">
        <v>75</v>
      </c>
      <c r="Q29" s="31" t="n">
        <v>68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36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46307</v>
      </c>
      <c r="L57" s="42"/>
      <c r="M57" s="43" t="s">
        <v>114</v>
      </c>
      <c r="N57" s="44" t="n">
        <v>46307</v>
      </c>
      <c r="O57" s="45" t="n">
        <v>46314</v>
      </c>
      <c r="P57" s="46" t="s">
        <v>115</v>
      </c>
      <c r="Q57" s="37" t="n">
        <v>22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</v>
      </c>
      <c r="C58" s="38" t="s">
        <v>284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46315</v>
      </c>
      <c r="O58" s="45" t="n">
        <v>46321</v>
      </c>
      <c r="P58" s="46" t="s">
        <v>285</v>
      </c>
      <c r="Q58" s="37" t="n">
        <v>22</v>
      </c>
      <c r="R58" s="39"/>
      <c r="S58" s="39" t="n">
        <v>1</v>
      </c>
      <c r="T58" s="39" t="s">
        <v>286</v>
      </c>
      <c r="U58" s="58" t="n">
        <v>46315.0058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46338</v>
      </c>
      <c r="O59" s="45" t="n">
        <v>46338</v>
      </c>
      <c r="P59" s="46" t="s">
        <v>285</v>
      </c>
      <c r="Q59" s="37" t="n">
        <v>38</v>
      </c>
      <c r="R59" s="39"/>
      <c r="S59" s="39" t="n">
        <v>1</v>
      </c>
      <c r="T59" s="39" t="s">
        <v>286</v>
      </c>
      <c r="U59" s="58" t="n">
        <v>46338.0059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46343</v>
      </c>
      <c r="O60" s="60" t="n">
        <v>46384</v>
      </c>
      <c r="P60" s="46" t="s">
        <v>285</v>
      </c>
      <c r="Q60" s="37" t="n">
        <v>68</v>
      </c>
      <c r="R60" s="39"/>
      <c r="S60" s="39" t="n">
        <v>1</v>
      </c>
      <c r="T60" s="39" t="s">
        <v>286</v>
      </c>
      <c r="U60" s="58" t="n">
        <v>46343.006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46248</v>
      </c>
      <c r="O61" s="33" t="n">
        <v>46282</v>
      </c>
      <c r="P61" s="34" t="s">
        <v>60</v>
      </c>
      <c r="Q61" s="31" t="n">
        <v>12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11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46248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305</v>
      </c>
      <c r="N63" s="55" t="n">
        <v>46248</v>
      </c>
      <c r="O63" s="55" t="n">
        <v>46249</v>
      </c>
      <c r="P63" s="50" t="s">
        <v>124</v>
      </c>
      <c r="Q63" s="52" t="n">
        <v>6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309</v>
      </c>
      <c r="N64" s="55" t="n">
        <v>46248</v>
      </c>
      <c r="O64" s="55" t="n">
        <v>46250</v>
      </c>
      <c r="P64" s="50" t="s">
        <v>124</v>
      </c>
      <c r="Q64" s="52" t="n">
        <v>6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313</v>
      </c>
      <c r="N65" s="55" t="n">
        <v>46249</v>
      </c>
      <c r="O65" s="55" t="n">
        <v>46253</v>
      </c>
      <c r="P65" s="50" t="s">
        <v>124</v>
      </c>
      <c r="Q65" s="52" t="n">
        <v>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317</v>
      </c>
      <c r="N66" s="55" t="n">
        <v>46252</v>
      </c>
      <c r="O66" s="55" t="n">
        <v>46257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321</v>
      </c>
      <c r="N67" s="55" t="n">
        <v>46254</v>
      </c>
      <c r="O67" s="55" t="n">
        <v>46258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325</v>
      </c>
      <c r="N68" s="55" t="n">
        <v>46256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329</v>
      </c>
      <c r="N69" s="55" t="n">
        <v>46258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337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341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345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349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353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5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46264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361</v>
      </c>
      <c r="N77" s="55" t="n">
        <v>46264</v>
      </c>
      <c r="O77" s="55" t="n">
        <v>46265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365</v>
      </c>
      <c r="N78" s="55" t="n">
        <v>46264</v>
      </c>
      <c r="O78" s="55" t="n">
        <v>46267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369</v>
      </c>
      <c r="N79" s="55" t="n">
        <v>46266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373</v>
      </c>
      <c r="N80" s="55" t="n">
        <v>46267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377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385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389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397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401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405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409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418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422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426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430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434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441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445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449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463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414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467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471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475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482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486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490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46282</v>
      </c>
      <c r="M111" s="43"/>
      <c r="N111" s="44" t="n">
        <v>46282</v>
      </c>
      <c r="O111" s="45" t="n">
        <v>46282</v>
      </c>
      <c r="P111" s="46" t="s">
        <v>60</v>
      </c>
      <c r="Q111" s="37" t="n">
        <v>12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498</v>
      </c>
      <c r="N112" s="55" t="n">
        <v>46282</v>
      </c>
      <c r="O112" s="55" t="n">
        <v>46282</v>
      </c>
      <c r="P112" s="50" t="s">
        <v>124</v>
      </c>
      <c r="Q112" s="52" t="n">
        <v>12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502</v>
      </c>
      <c r="N113" s="55" t="n">
        <v>46282</v>
      </c>
      <c r="O113" s="55" t="n">
        <v>46282</v>
      </c>
      <c r="P113" s="50" t="s">
        <v>124</v>
      </c>
      <c r="Q113" s="52" t="n">
        <v>12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46267</v>
      </c>
      <c r="O114" s="33" t="n">
        <v>46405</v>
      </c>
      <c r="P114" s="34" t="s">
        <v>75</v>
      </c>
      <c r="Q114" s="31" t="n">
        <v>72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46325</v>
      </c>
      <c r="M115" s="43"/>
      <c r="N115" s="44" t="n">
        <v>46325</v>
      </c>
      <c r="O115" s="45" t="n">
        <v>46325</v>
      </c>
      <c r="P115" s="46" t="s">
        <v>507</v>
      </c>
      <c r="Q115" s="37" t="n">
        <v>52</v>
      </c>
      <c r="R115" s="39"/>
      <c r="S115" s="39" t="n">
        <v>1</v>
      </c>
      <c r="T115" s="39" t="s">
        <v>508</v>
      </c>
      <c r="U115" s="58" t="n">
        <v>46325.0115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514</v>
      </c>
      <c r="N116" s="55" t="n">
        <v>46325</v>
      </c>
      <c r="O116" s="55" t="n">
        <v>46325</v>
      </c>
      <c r="P116" s="50" t="s">
        <v>285</v>
      </c>
      <c r="Q116" s="52" t="n">
        <v>54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518</v>
      </c>
      <c r="N117" s="55" t="n">
        <v>46325</v>
      </c>
      <c r="O117" s="55" t="n">
        <v>46325</v>
      </c>
      <c r="P117" s="50" t="s">
        <v>285</v>
      </c>
      <c r="Q117" s="52" t="n">
        <v>53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522</v>
      </c>
      <c r="N118" s="55" t="n">
        <v>46325</v>
      </c>
      <c r="O118" s="55" t="n">
        <v>46325</v>
      </c>
      <c r="P118" s="50" t="s">
        <v>285</v>
      </c>
      <c r="Q118" s="52" t="n">
        <v>53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526</v>
      </c>
      <c r="N119" s="55" t="n">
        <v>46325</v>
      </c>
      <c r="O119" s="55" t="n">
        <v>46325</v>
      </c>
      <c r="P119" s="50" t="s">
        <v>285</v>
      </c>
      <c r="Q119" s="52" t="n">
        <v>53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530</v>
      </c>
      <c r="N120" s="55" t="n">
        <v>46325</v>
      </c>
      <c r="O120" s="55" t="n">
        <v>46325</v>
      </c>
      <c r="P120" s="50" t="s">
        <v>285</v>
      </c>
      <c r="Q120" s="52" t="n">
        <v>52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534</v>
      </c>
      <c r="N121" s="55" t="n">
        <v>46325</v>
      </c>
      <c r="O121" s="55" t="n">
        <v>46325</v>
      </c>
      <c r="P121" s="50" t="s">
        <v>285</v>
      </c>
      <c r="Q121" s="52" t="n">
        <v>52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46335</v>
      </c>
      <c r="O122" s="45" t="n">
        <v>46335</v>
      </c>
      <c r="P122" s="46" t="s">
        <v>285</v>
      </c>
      <c r="Q122" s="37" t="n">
        <v>62</v>
      </c>
      <c r="R122" s="39"/>
      <c r="S122" s="39" t="n">
        <v>1</v>
      </c>
      <c r="T122" s="39" t="s">
        <v>286</v>
      </c>
      <c r="U122" s="58" t="n">
        <v>46335.0122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46267</v>
      </c>
      <c r="L123" s="42" t="n">
        <v>46273</v>
      </c>
      <c r="M123" s="43"/>
      <c r="N123" s="44" t="n">
        <v>46267</v>
      </c>
      <c r="O123" s="45" t="n">
        <v>46273</v>
      </c>
      <c r="P123" s="46" t="s">
        <v>60</v>
      </c>
      <c r="Q123" s="37" t="n">
        <v>-2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46392</v>
      </c>
      <c r="O124" s="45" t="n">
        <v>46405</v>
      </c>
      <c r="P124" s="46" t="s">
        <v>285</v>
      </c>
      <c r="Q124" s="37" t="n">
        <v>72</v>
      </c>
      <c r="R124" s="39"/>
      <c r="S124" s="39" t="n">
        <v>1</v>
      </c>
      <c r="T124" s="39" t="s">
        <v>286</v>
      </c>
      <c r="U124" s="58" t="n">
        <v>46392.0124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549</v>
      </c>
      <c r="N125" s="55" t="n">
        <v>46392</v>
      </c>
      <c r="O125" s="55" t="n">
        <v>46396</v>
      </c>
      <c r="P125" s="50" t="s">
        <v>285</v>
      </c>
      <c r="Q125" s="52" t="n">
        <v>72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553</v>
      </c>
      <c r="N126" s="55" t="n">
        <v>46395</v>
      </c>
      <c r="O126" s="55" t="n">
        <v>46402</v>
      </c>
      <c r="P126" s="50" t="s">
        <v>285</v>
      </c>
      <c r="Q126" s="52" t="n">
        <v>72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557</v>
      </c>
      <c r="N127" s="55" t="n">
        <v>46402</v>
      </c>
      <c r="O127" s="55" t="n">
        <v>46405</v>
      </c>
      <c r="P127" s="50" t="s">
        <v>285</v>
      </c>
      <c r="Q127" s="52" t="n">
        <v>72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46325</v>
      </c>
      <c r="M128" s="43"/>
      <c r="N128" s="44" t="n">
        <v>46325</v>
      </c>
      <c r="O128" s="45" t="n">
        <v>46325</v>
      </c>
      <c r="P128" s="46" t="s">
        <v>507</v>
      </c>
      <c r="Q128" s="37" t="n">
        <v>42</v>
      </c>
      <c r="R128" s="39"/>
      <c r="S128" s="39" t="n">
        <v>1</v>
      </c>
      <c r="T128" s="39" t="s">
        <v>508</v>
      </c>
      <c r="U128" s="58" t="n">
        <v>46325.0128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 t="s">
        <v>563</v>
      </c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114</v>
      </c>
      <c r="N129" s="44" t="n">
        <v>46283</v>
      </c>
      <c r="O129" s="45" t="n">
        <v>46283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564</v>
      </c>
      <c r="B130" s="38" t="s">
        <v>565</v>
      </c>
      <c r="C130" s="39"/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46326</v>
      </c>
      <c r="O130" s="45" t="n">
        <v>46330</v>
      </c>
      <c r="P130" s="46" t="s">
        <v>285</v>
      </c>
      <c r="Q130" s="37" t="n">
        <v>47</v>
      </c>
      <c r="R130" s="39"/>
      <c r="S130" s="39" t="n">
        <v>1</v>
      </c>
      <c r="T130" s="39" t="s">
        <v>286</v>
      </c>
      <c r="U130" s="58" t="n">
        <v>46326.013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46385</v>
      </c>
      <c r="O131" s="45" t="n">
        <v>46391</v>
      </c>
      <c r="P131" s="46" t="s">
        <v>285</v>
      </c>
      <c r="Q131" s="37" t="n">
        <v>72</v>
      </c>
      <c r="R131" s="39"/>
      <c r="S131" s="39" t="n">
        <v>1</v>
      </c>
      <c r="T131" s="39" t="s">
        <v>286</v>
      </c>
      <c r="U131" s="58" t="n">
        <v>46385.0131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568</v>
      </c>
      <c r="D134" s="6" t="s">
        <v>569</v>
      </c>
    </row>
    <row r="135" customFormat="false" ht="15" hidden="false" customHeight="true" outlineLevel="0" collapsed="false">
      <c r="B135" s="62" t="s">
        <v>570</v>
      </c>
      <c r="D135" s="62" t="s">
        <v>571</v>
      </c>
      <c r="E135" s="62" t="s">
        <v>572</v>
      </c>
      <c r="I135" s="63" t="s">
        <v>573</v>
      </c>
      <c r="J135" s="63" t="s">
        <v>574</v>
      </c>
      <c r="K135" s="63" t="s">
        <v>575</v>
      </c>
      <c r="L135" s="63" t="s">
        <v>576</v>
      </c>
      <c r="O135" s="62" t="s">
        <v>577</v>
      </c>
      <c r="P135" s="62" t="s">
        <v>578</v>
      </c>
    </row>
    <row r="136" customFormat="false" ht="15" hidden="false" customHeight="true" outlineLevel="0" collapsed="false">
      <c r="B136" s="64" t="s">
        <v>579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580</v>
      </c>
    </row>
    <row r="137" customFormat="false" ht="15" hidden="false" customHeight="true" outlineLevel="0" collapsed="false">
      <c r="B137" s="64" t="s">
        <v>581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582</v>
      </c>
    </row>
    <row r="138" customFormat="false" ht="15" hidden="false" customHeight="true" outlineLevel="0" collapsed="false">
      <c r="B138" s="64" t="s">
        <v>583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584</v>
      </c>
    </row>
    <row r="139" customFormat="false" ht="15" hidden="false" customHeight="true" outlineLevel="0" collapsed="false">
      <c r="B139" s="64" t="s">
        <v>585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586</v>
      </c>
    </row>
    <row r="140" customFormat="false" ht="15" hidden="false" customHeight="true" outlineLevel="0" collapsed="false">
      <c r="B140" s="64" t="s">
        <v>587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588</v>
      </c>
    </row>
    <row r="141" customFormat="false" ht="15" hidden="false" customHeight="true" outlineLevel="0" collapsed="false">
      <c r="B141" s="69" t="s">
        <v>589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590</v>
      </c>
    </row>
    <row r="142" customFormat="false" ht="15" hidden="false" customHeight="true" outlineLevel="0" collapsed="false">
      <c r="B142" s="71" t="s">
        <v>591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592</v>
      </c>
    </row>
    <row r="145" customFormat="false" ht="15.75" hidden="false" customHeight="true" outlineLevel="0" collapsed="false">
      <c r="A145" s="76" t="s">
        <v>593</v>
      </c>
    </row>
    <row r="146" customFormat="false" ht="15" hidden="false" customHeight="true" outlineLevel="0" collapsed="false">
      <c r="B146" s="17" t="s">
        <v>594</v>
      </c>
      <c r="D146" s="77" t="s">
        <v>595</v>
      </c>
      <c r="E146" s="77"/>
      <c r="F146" s="77"/>
      <c r="G146" s="77"/>
      <c r="H146" s="77"/>
      <c r="I146" s="77"/>
      <c r="J146" s="77"/>
      <c r="K146" s="19" t="s">
        <v>596</v>
      </c>
    </row>
    <row r="147" customFormat="false" ht="15" hidden="false" customHeight="true" outlineLevel="0" collapsed="false">
      <c r="B147" s="78" t="s">
        <v>597</v>
      </c>
      <c r="E147" s="79" t="s">
        <v>598</v>
      </c>
      <c r="I147" s="78" t="s">
        <v>599</v>
      </c>
    </row>
    <row r="148" customFormat="false" ht="24" hidden="false" customHeight="true" outlineLevel="0" collapsed="false">
      <c r="A148" s="80" t="s">
        <v>600</v>
      </c>
      <c r="B148" s="81" t="s">
        <v>601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602</v>
      </c>
      <c r="B149" s="81" t="s">
        <v>603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604</v>
      </c>
      <c r="B150" s="81" t="s">
        <v>605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606</v>
      </c>
      <c r="B151" s="81" t="s">
        <v>607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608</v>
      </c>
      <c r="B152" s="81" t="s">
        <v>609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610</v>
      </c>
      <c r="B153" s="81" t="s">
        <v>611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612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613</v>
      </c>
    </row>
    <row r="2" customFormat="false" ht="15" hidden="false" customHeight="false" outlineLevel="0" collapsed="false">
      <c r="B2" s="87" t="s">
        <v>614</v>
      </c>
      <c r="C2" s="88" t="s">
        <v>615</v>
      </c>
    </row>
    <row r="3" customFormat="false" ht="15" hidden="false" customHeight="false" outlineLevel="0" collapsed="false">
      <c r="B3" s="87" t="s">
        <v>616</v>
      </c>
      <c r="C3" s="88" t="s">
        <v>617</v>
      </c>
    </row>
    <row r="4" customFormat="false" ht="15" hidden="false" customHeight="false" outlineLevel="0" collapsed="false">
      <c r="B4" s="89" t="s">
        <v>618</v>
      </c>
      <c r="C4" s="88" t="s">
        <v>619</v>
      </c>
    </row>
    <row r="5" customFormat="false" ht="15" hidden="false" customHeight="false" outlineLevel="0" collapsed="false">
      <c r="H5" s="90" t="s">
        <v>620</v>
      </c>
      <c r="I5" s="90"/>
      <c r="J5" s="90" t="s">
        <v>621</v>
      </c>
      <c r="K5" s="90"/>
      <c r="L5" s="90"/>
      <c r="M5" s="90"/>
      <c r="N5" s="90"/>
      <c r="O5" s="90" t="s">
        <v>622</v>
      </c>
      <c r="P5" s="90"/>
      <c r="Q5" s="90"/>
      <c r="R5" s="90"/>
      <c r="S5" s="90" t="s">
        <v>623</v>
      </c>
      <c r="T5" s="90"/>
      <c r="U5" s="90"/>
      <c r="V5" s="90"/>
      <c r="W5" s="90"/>
      <c r="X5" s="90" t="s">
        <v>624</v>
      </c>
      <c r="Y5" s="90"/>
      <c r="Z5" s="90"/>
      <c r="AA5" s="90"/>
      <c r="AB5" s="90" t="s">
        <v>625</v>
      </c>
      <c r="AC5" s="90"/>
      <c r="AD5" s="90"/>
      <c r="AE5" s="90"/>
      <c r="AF5" s="90" t="s">
        <v>626</v>
      </c>
      <c r="AG5" s="90"/>
      <c r="AH5" s="90"/>
      <c r="AI5" s="90"/>
      <c r="AJ5" s="90"/>
      <c r="AK5" s="90" t="s">
        <v>627</v>
      </c>
      <c r="AL5" s="90"/>
      <c r="AM5" s="90"/>
      <c r="AN5" s="90"/>
      <c r="AO5" s="90" t="s">
        <v>628</v>
      </c>
      <c r="AP5" s="90"/>
      <c r="AQ5" s="90"/>
      <c r="AR5" s="90"/>
      <c r="AS5" s="90" t="s">
        <v>629</v>
      </c>
      <c r="AT5" s="90"/>
      <c r="AU5" s="90"/>
      <c r="AV5" s="90"/>
      <c r="AW5" s="90" t="s">
        <v>630</v>
      </c>
      <c r="AX5" s="90"/>
      <c r="AY5" s="90"/>
      <c r="AZ5" s="90"/>
      <c r="BA5" s="90"/>
      <c r="BB5" s="90" t="s">
        <v>631</v>
      </c>
      <c r="BC5" s="90"/>
      <c r="BD5" s="90"/>
      <c r="BE5" s="90"/>
      <c r="BF5" s="90" t="s">
        <v>632</v>
      </c>
      <c r="BG5" s="90"/>
      <c r="BH5" s="90"/>
      <c r="BI5" s="90"/>
      <c r="BJ5" s="90"/>
      <c r="BK5" s="90" t="s">
        <v>633</v>
      </c>
      <c r="BL5" s="90"/>
      <c r="BM5" s="90"/>
      <c r="BN5" s="90"/>
      <c r="BO5" s="90" t="s">
        <v>634</v>
      </c>
      <c r="BP5" s="90"/>
      <c r="BQ5" s="90"/>
      <c r="BR5" s="90"/>
      <c r="BS5" s="90" t="s">
        <v>635</v>
      </c>
      <c r="BT5" s="90"/>
      <c r="BU5" s="90"/>
      <c r="BV5" s="90"/>
      <c r="BW5" s="90"/>
      <c r="BX5" s="90" t="s">
        <v>636</v>
      </c>
      <c r="BY5" s="90"/>
    </row>
    <row r="6" customFormat="false" ht="43.5" hidden="false" customHeight="true" outlineLevel="0" collapsed="false">
      <c r="A6" s="91" t="s">
        <v>637</v>
      </c>
      <c r="B6" s="91" t="s">
        <v>638</v>
      </c>
      <c r="C6" s="91" t="s">
        <v>639</v>
      </c>
      <c r="D6" s="91" t="s">
        <v>640</v>
      </c>
      <c r="E6" s="91" t="s">
        <v>641</v>
      </c>
      <c r="F6" s="91" t="s">
        <v>642</v>
      </c>
      <c r="G6" s="91" t="s">
        <v>643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644</v>
      </c>
      <c r="C8" s="95" t="s">
        <v>645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646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647</v>
      </c>
      <c r="C10" s="95" t="s">
        <v>645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646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648</v>
      </c>
      <c r="C12" s="95" t="s">
        <v>645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646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649</v>
      </c>
      <c r="C14" s="95" t="s">
        <v>645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646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650</v>
      </c>
      <c r="C16" s="95" t="s">
        <v>645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646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651</v>
      </c>
      <c r="C18" s="95" t="s">
        <v>645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652</v>
      </c>
      <c r="B20" s="95" t="s">
        <v>653</v>
      </c>
      <c r="C20" s="95" t="s">
        <v>645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646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654</v>
      </c>
      <c r="C23" s="95" t="s">
        <v>645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646</v>
      </c>
      <c r="D24" s="96"/>
      <c r="E24" s="99" t="n">
        <v>46248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 t="n">
        <v>6.6667</v>
      </c>
      <c r="U24" s="101" t="n">
        <v>6.6667</v>
      </c>
      <c r="V24" s="101" t="n">
        <v>6.6667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655</v>
      </c>
      <c r="C25" s="95" t="s">
        <v>645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646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656</v>
      </c>
      <c r="C27" s="95" t="s">
        <v>645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646</v>
      </c>
      <c r="D28" s="96"/>
      <c r="E28" s="99" t="n">
        <v>46264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 t="n">
        <v>10</v>
      </c>
      <c r="W28" s="101" t="n">
        <v>10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657</v>
      </c>
      <c r="C29" s="95" t="s">
        <v>645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646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658</v>
      </c>
      <c r="C31" s="95" t="s">
        <v>645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646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659</v>
      </c>
      <c r="C33" s="95" t="s">
        <v>645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646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660</v>
      </c>
      <c r="C35" s="95" t="s">
        <v>645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646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661</v>
      </c>
      <c r="C37" s="95" t="s">
        <v>645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646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662</v>
      </c>
      <c r="C39" s="95" t="s">
        <v>645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646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664</v>
      </c>
      <c r="C42" s="95" t="s">
        <v>645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665</v>
      </c>
      <c r="C44" s="95" t="s">
        <v>645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666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0.5</v>
      </c>
      <c r="T48" s="103" t="n">
        <f aca="false">SUMIF($C$7:$C$45,"Actual",T$7:T$45)</f>
        <v>6.6667</v>
      </c>
      <c r="U48" s="103" t="n">
        <f aca="false">SUMIF($C$7:$C$45,"Actual",U$7:U$45)</f>
        <v>6.6667</v>
      </c>
      <c r="V48" s="103" t="n">
        <f aca="false">SUMIF($C$7:$C$45,"Actual",V$7:V$45)</f>
        <v>30.4167</v>
      </c>
      <c r="W48" s="103" t="n">
        <f aca="false">SUMIF($C$7:$C$45,"Actual",W$7:W$45)</f>
        <v>46.25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668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669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3.4999</v>
      </c>
      <c r="T50" s="105" t="n">
        <f aca="false">IF(T$6&gt;46314,"",S50+T48)</f>
        <v>10.1666</v>
      </c>
      <c r="U50" s="105" t="n">
        <f aca="false">IF(U$6&gt;46314,"",T50+U48)</f>
        <v>16.8333</v>
      </c>
      <c r="V50" s="105" t="n">
        <f aca="false">IF(V$6&gt;46314,"",U50+V48)</f>
        <v>47.25</v>
      </c>
      <c r="W50" s="105" t="n">
        <f aca="false">IF(W$6&gt;46314,"",V50+W48)</f>
        <v>93.5</v>
      </c>
      <c r="X50" s="105" t="n">
        <f aca="false">IF(X$6&gt;46314,"",W50+X48)</f>
        <v>93.5</v>
      </c>
      <c r="Y50" s="105" t="n">
        <f aca="false">IF(Y$6&gt;46314,"",X50+Y48)</f>
        <v>93.5</v>
      </c>
      <c r="Z50" s="105" t="n">
        <f aca="false">IF(Z$6&gt;46314,"",Y50+Z48)</f>
        <v>93.5</v>
      </c>
      <c r="AA50" s="105" t="n">
        <f aca="false">IF(AA$6&gt;46314,"",Z50+AA48)</f>
        <v>93.5</v>
      </c>
      <c r="AB50" s="105" t="n">
        <f aca="false">IF(AB$6&gt;46314,"",AA50+AB48)</f>
        <v>93.5</v>
      </c>
      <c r="AC50" s="105" t="n">
        <f aca="false">IF(AC$6&gt;46314,"",AB50+AC48)</f>
        <v>94.25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2026-10-26T04:41:19Z</dcterms:created>
  <dc:creator>openpyxl</dc:creator>
  <dc:description/>
  <dc:language>en-US</dc:language>
  <cp:lastModifiedBy/>
  <dcterms:modified xsi:type="dcterms:W3CDTF">2026-10-26T11:45:52Z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