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<sst xmlns="http://schemas.openxmlformats.org/spreadsheetml/2006/main" count="1301" uniqueCount="674">
  <si>
    <t xml:space="preserve">แผนโครงการ P4-019 – สถานีผลิตน้ำปลายคลอง 2 342.00 kWp</t>
  </si>
  <si>
    <t xml:space="preserve">กปภ.สาขาตราด, ภาคเหนือ-กลาง, กฟภ. เขต ก.2, Inverter 330 kW (ต้องยื่น พค.2), Zero export HV, คำขอ PPIM1A506548, วิศวกร ต้า, Admin กิ่ง, ผรม. C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</si>
  <si>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</si>
  <si>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</si>
  <si>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</si>
  <si>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</si>
  <si>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</si>
  <si>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</si>
  <si>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</si>
  <si>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</si>
  <si>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</si>
  <si>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</si>
  <si>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</si>
  <si>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</si>
  <si>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</si>
  <si>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</si>
  <si>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</si>
  <si>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</si>
  <si>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</si>
  <si>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</si>
  <si>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</si>
  <si>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</si>
  <si>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</si>
  <si>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</si>
  <si>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</si>
  <si>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</si>
  <si>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</si>
  <si>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</si>
  <si>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</si>
  <si>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</si>
  <si>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</si>
  <si>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</si>
  <si>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</si>
  <si>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</si>
  <si>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</si>
  <si>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</si>
  <si>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</si>
  <si>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</si>
  <si>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</si>
  <si>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</si>
  <si>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</si>
  <si>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</si>
  <si>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</si>
  <si>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</si>
  <si>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</si>
  <si>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</si>
  <si>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</si>
  <si>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</si>
  <si>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</si>
  <si>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</si>
  <si>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</si>
  <si>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</si>
  <si>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</si>
  <si>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</si>
  <si>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</si>
  <si>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</si>
  <si>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</si>
  <si>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</si>
  <si>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</si>
  <si>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</si>
  <si>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</si>
  <si>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</si>
  <si>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</si>
  <si>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</si>
  <si>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</si>
  <si>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</si>
  <si>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</si>
  <si>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</si>
  <si>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</si>
  <si>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</si>
  <si>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</si>
  <si>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</si>
  <si>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</si>
  <si>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</si>
  <si>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</si>
  <si>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</si>
  <si>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</si>
  <si>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</si>
  <si>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</si>
  <si>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</si>
  <si>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</si>
  <si>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</si>
  <si>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</si>
  <si>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</si>
  <si>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</si>
  <si>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</si>
  <si>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</si>
  <si>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</si>
  <si>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</si>
  <si>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</si>
  <si>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</si>
  <si>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</si>
  <si>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</si>
  <si>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</si>
  <si>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</si>
  <si>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</si>
  <si>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</si>
  <si>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</si>
  <si>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</si>
  <si>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</si>
  <si>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</si>
  <si>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</si>
  <si>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</si>
  <si>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</si>
  <si>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</si>
  <si>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</si>
  <si>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</si>
  <si>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</si>
  <si>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</si>
  <si>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</si>
  <si>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</si>
  <si>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</si>
  <si>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</si>
  <si>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</si>
  <si>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</si>
  <si>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</si>
  <si>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</si>
  <si>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</si>
  <si>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</si>
  <si>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</si>
  <si>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</si>
  <si>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</si>
  <si>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</si>
  <si>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</si>
  <si>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</si>
  <si>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</si>
  <si>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</si>
  <si>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</si>
  <si>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</si>
  <si>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</si>
  <si>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</si>
  <si>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</si>
  <si>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</si>
  <si>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</si>
  <si>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</si>
  <si>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</si>
  <si>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</si>
  <si>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</si>
  <si>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</si>
  <si>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</si>
  <si>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</si>
  <si>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</si>
  <si>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</si>
  <si>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</si>
  <si>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</si>
  <si>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</si>
  <si>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</si>
  <si>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</si>
  <si>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</si>
  <si>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</si>
  <si>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</si>
  <si>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</si>
  <si>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</t>
    </r>
  </si>
  <si>
    <t xml:space="preserve">0.3</t>
  </si>
  <si>
    <t xml:space="preserve">หนังสือแจ้งขอดับไฟ</t>
  </si>
  <si>
    <t xml:space="preserve">TC-PML-2026-398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</si>
  <si>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</si>
  <si>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</si>
  <si>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</si>
  <si>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</si>
  <si>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</si>
  <si>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</si>
  <si>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</si>
  <si>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</si>
  <si>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</si>
  <si>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</si>
  <si>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</si>
  <si>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</si>
  <si>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</si>
  <si>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</si>
  <si>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</si>
  <si>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</si>
  <si>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</si>
  <si>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</si>
  <si>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</si>
  <si>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</si>
  <si>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</si>
  <si>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</si>
  <si>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</si>
  <si>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</si>
  <si>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</si>
  <si>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</si>
  <si>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</si>
  <si>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</si>
  <si>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</si>
  <si>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</si>
  <si>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</si>
  <si>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</si>
  <si>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</si>
  <si>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</si>
  <si>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</si>
  <si>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</si>
  <si>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</si>
  <si>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</si>
  <si>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</si>
  <si>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</si>
  <si>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</si>
  <si>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</si>
  <si>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</si>
  <si>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</si>
  <si>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</si>
  <si>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</si>
  <si>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</si>
  <si>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</si>
  <si>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</si>
  <si>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</si>
  <si>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</si>
  <si>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</si>
  <si>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</si>
  <si>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</si>
  <si>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</si>
  <si>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</si>
  <si>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</si>
  <si>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</si>
  <si>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</si>
  <si>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</si>
  <si>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</si>
  <si>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</si>
  <si>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</si>
  <si>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</si>
  <si>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</si>
  <si>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</si>
  <si>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</si>
  <si>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</si>
  <si>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</si>
  <si>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</si>
  <si>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</si>
  <si>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</si>
  <si>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</si>
  <si>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</si>
  <si>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</si>
  <si>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</si>
  <si>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</si>
  <si>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</si>
  <si>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</si>
  <si>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</si>
  <si>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</si>
  <si>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</si>
  <si>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</si>
  <si>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</si>
  <si>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</si>
  <si>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</si>
  <si>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WBS'!L764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</si>
  <si>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</si>
  <si>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</si>
  <si>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</si>
  <si>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</si>
  <si>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</si>
  <si>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</si>
  <si>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</si>
  <si>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</si>
  <si>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WBS'!L765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</si>
  <si>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</si>
  <si>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</si>
  <si>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</si>
  <si>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WBS'!L766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</si>
  <si>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</si>
  <si>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</si>
  <si>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</si>
  <si>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</si>
  <si>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</si>
  <si>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WBS'!L767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</si>
  <si>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</si>
  <si>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</si>
  <si>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</si>
  <si>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</si>
  <si>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</si>
  <si>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</si>
  <si>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</si>
  <si>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</si>
  <si>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</si>
  <si>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</si>
  <si>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</si>
  <si>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</si>
  <si>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WBS'!L769</t>
    </r>
  </si>
  <si>
    <t xml:space="preserve">1.7.1</t>
  </si>
  <si>
    <t xml:space="preserve">คำขอขนานไฟ PPIM (ชุด 11 ไฟล์)</t>
  </si>
  <si>
    <t xml:space="preserve">PPIM1A506548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</si>
  <si>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</si>
  <si>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</si>
  <si>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</si>
  <si>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</si>
  <si>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</si>
  <si>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</si>
  <si>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</si>
  <si>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</si>
  <si>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</si>
  <si>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</si>
  <si>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</si>
  <si>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</si>
  <si>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</si>
  <si>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</si>
  <si>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</si>
  <si>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</si>
  <si>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</si>
  <si>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</si>
  <si>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</si>
  <si>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</si>
  <si>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</si>
  <si>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</si>
  <si>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</si>
  <si>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</si>
  <si>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</si>
  <si>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(16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</si>
  <si>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</si>
  <si>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</si>
  <si>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</si>
  <si>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</si>
  <si>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</si>
  <si>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WBS'!L770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</si>
  <si>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</si>
  <si>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</si>
  <si>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</si>
  <si>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WBS'!L771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</si>
  <si>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</si>
  <si>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</si>
  <si>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</si>
  <si>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WBS'!L772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</si>
  <si>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</si>
  <si>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</si>
  <si>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</si>
  <si>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</si>
  <si>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</si>
  <si>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</si>
  <si>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</si>
  <si>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</si>
  <si>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</si>
  <si>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</si>
  <si>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</si>
  <si>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</si>
  <si>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</si>
  <si>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</si>
  <si>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</si>
  <si>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</si>
  <si>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</si>
  <si>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</si>
  <si>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</si>
  <si>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</si>
  <si>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</si>
  <si>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</si>
  <si>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</si>
  <si>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</si>
  <si>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</si>
  <si>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</si>
  <si>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</si>
  <si>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WBS'!L778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</si>
  <si>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</si>
  <si>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</si>
  <si>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</si>
  <si>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WBS'!L779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</si>
  <si>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</si>
  <si>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</si>
  <si>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</si>
  <si>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WBS'!L780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</si>
  <si>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</si>
  <si>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</si>
  <si>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</si>
  <si>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WBS'!L781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</si>
  <si>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</si>
  <si>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</si>
  <si>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</si>
  <si>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</si>
  <si>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</si>
  <si>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</si>
  <si>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</si>
  <si>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WBS'!L782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</si>
  <si>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</si>
  <si>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</si>
  <si>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</si>
  <si>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</si>
  <si>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</si>
  <si>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</si>
  <si>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</si>
  <si>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WBS'!L784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</si>
  <si>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</si>
  <si>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</si>
  <si>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</si>
  <si>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WBS'!L785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</si>
  <si>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</si>
  <si>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</si>
  <si>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</si>
  <si>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</si>
  <si>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</si>
  <si>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</si>
  <si>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</si>
  <si>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</si>
  <si>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</si>
  <si>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</si>
  <si>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</si>
  <si>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WBS'!L787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</si>
  <si>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</si>
  <si>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</si>
  <si>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</si>
  <si>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WBS'!L788</t>
    </r>
  </si>
  <si>
    <t xml:space="preserve">2.5</t>
  </si>
  <si>
    <t xml:space="preserve">ติดตั้ง Inverter</t>
  </si>
  <si>
    <t xml:space="preserve">Inverter 330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</si>
  <si>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</si>
  <si>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</si>
  <si>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</si>
  <si>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</si>
  <si>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WBS'!L789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</si>
  <si>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</si>
  <si>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</si>
  <si>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</si>
  <si>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WBS'!L790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</si>
  <si>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</si>
  <si>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</si>
  <si>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</si>
  <si>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WBS'!L791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</si>
  <si>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</si>
  <si>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</si>
  <si>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</si>
  <si>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WBS'!L792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</si>
  <si>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</si>
  <si>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</si>
  <si>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</si>
  <si>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</si>
  <si>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</si>
  <si>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</si>
  <si>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</si>
  <si>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WBS'!L793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</si>
  <si>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</si>
  <si>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</si>
  <si>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</si>
  <si>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WBS'!L794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</si>
  <si>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</si>
  <si>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</si>
  <si>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</si>
  <si>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WBS'!L795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</si>
  <si>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</si>
  <si>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</si>
  <si>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</si>
  <si>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WBS'!L796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</si>
  <si>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</si>
  <si>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</si>
  <si>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</si>
  <si>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WBS'!L797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</si>
  <si>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</si>
  <si>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</si>
  <si>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</si>
  <si>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</si>
  <si>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</si>
  <si>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</si>
  <si>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WBS'!L798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</si>
  <si>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</si>
  <si>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</si>
  <si>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</si>
  <si>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WBS'!L799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</si>
  <si>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</si>
  <si>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</si>
  <si>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</si>
  <si>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WBS'!L800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</si>
  <si>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</si>
  <si>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</si>
  <si>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</si>
  <si>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</si>
  <si>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</si>
  <si>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</si>
  <si>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</si>
  <si>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</si>
  <si>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</si>
  <si>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</si>
  <si>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WBS'!L801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</si>
  <si>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</si>
  <si>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</si>
  <si>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</si>
  <si>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</si>
  <si>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</si>
  <si>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</si>
  <si>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</si>
  <si>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</si>
  <si>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</si>
  <si>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</si>
  <si>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</si>
  <si>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</si>
  <si>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</si>
  <si>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</si>
  <si>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</si>
  <si>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</si>
  <si>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</si>
  <si>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</si>
  <si>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</si>
  <si>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</si>
  <si>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</si>
  <si>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</si>
  <si>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</si>
  <si>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</si>
  <si>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</si>
  <si>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</si>
  <si>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</si>
  <si>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</si>
  <si>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</si>
  <si>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</si>
  <si>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</si>
  <si>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</si>
  <si>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</si>
  <si>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</si>
  <si>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4/8/69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</si>
  <si>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</si>
  <si>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</si>
  <si>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</si>
  <si>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</si>
  <si>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</si>
  <si>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</si>
  <si>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</si>
  <si>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</si>
  <si>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</si>
  <si>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</si>
  <si>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</si>
  <si>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</si>
  <si>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</si>
  <si>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</si>
  <si>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</si>
  <si>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</si>
  <si>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</si>
  <si>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</si>
  <si>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</si>
  <si>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</si>
  <si>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</si>
  <si>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</si>
  <si>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</si>
  <si>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</si>
  <si>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</si>
  <si>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</si>
  <si>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</si>
  <si>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</si>
  <si>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</si>
  <si>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</si>
  <si>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</si>
  <si>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</si>
  <si>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</si>
  <si>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</si>
  <si>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</si>
  <si>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</si>
  <si>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</si>
  <si>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</si>
  <si>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</si>
  <si>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</si>
  <si>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</si>
  <si>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</si>
  <si>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</si>
  <si>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</si>
  <si>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</si>
  <si>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</si>
  <si>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</si>
  <si>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</si>
  <si>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</si>
  <si>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</si>
  <si>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</si>
  <si>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</si>
  <si>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</si>
  <si>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</si>
  <si>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</si>
  <si>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</si>
  <si>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</si>
  <si>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</si>
  <si>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</si>
  <si>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</si>
  <si>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</si>
  <si>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</si>
  <si>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</si>
  <si>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</si>
  <si>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</si>
  <si>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</si>
  <si>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</si>
  <si>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</si>
  <si>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</si>
  <si>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</si>
  <si>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</si>
  <si>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</si>
  <si>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</si>
  <si>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</si>
  <si>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</si>
  <si>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</si>
  <si>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</si>
  <si>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</si>
  <si>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</si>
  <si>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</si>
  <si>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</si>
  <si>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</si>
  <si>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</si>
  <si>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</si>
  <si>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</si>
  <si>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</si>
  <si>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</si>
  <si>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</si>
  <si>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</si>
  <si>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</si>
  <si>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</si>
  <si>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</si>
  <si>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</si>
  <si>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</si>
  <si>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</si>
  <si>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</si>
  <si>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</si>
  <si>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</si>
  <si>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</si>
  <si>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</si>
  <si>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</si>
  <si>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125+125+80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</si>
  <si>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</si>
  <si>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</si>
  <si>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</si>
  <si>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</si>
  <si>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</si>
  <si>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</si>
  <si>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</si>
  <si>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</si>
  <si>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</si>
  <si>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</si>
  <si>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</si>
  <si>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</si>
  <si>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</si>
  <si>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</si>
  <si>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</si>
  <si>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</si>
  <si>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</si>
  <si>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</si>
  <si>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สถานีผลิตน้ำปลายคลอง </t>
    </r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</rPr>
      <t xml:space="preserve">การประปาส่วนภูมิภาคสาขาตราด ขนาดกำลังผลิต </t>
    </r>
    <r>
      <rPr>
        <sz val="10"/>
        <rFont val="Tahoma"/>
        <family val="0"/>
        <charset val="1"/>
      </rPr>
      <t xml:space="preserve">342.00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</si>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</sst>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1.35714285714286</c:v>
                </c:pt>
                <c:pt idx="3">
                  <c:v>2.35714285714286</c:v>
                </c:pt>
                <c:pt idx="4">
                  <c:v>2.5</c:v>
                </c:pt>
                <c:pt idx="5">
                  <c:v>3</c:v>
                </c:pt>
                <c:pt idx="6">
                  <c:v>10.7777777777778</c:v>
                </c:pt>
                <c:pt idx="7">
                  <c:v>18.5555555555556</c:v>
                </c:pt>
                <c:pt idx="8">
                  <c:v>43.3809523809524</c:v>
                </c:pt>
                <c:pt idx="9">
                  <c:v>92.5</c:v>
                </c:pt>
                <c:pt idx="10">
                  <c:v>96.6086956521739</c:v>
                </c:pt>
                <c:pt idx="11">
                  <c:v>96.7608695652174</c:v>
                </c:pt>
                <c:pt idx="12">
                  <c:v>96.9130434782609</c:v>
                </c:pt>
                <c:pt idx="13">
                  <c:v>97.0652173913044</c:v>
                </c:pt>
                <c:pt idx="14">
                  <c:v>97.2173913043478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1.3333</c:v>
                </c:pt>
                <c:pt idx="3">
                  <c:v>5.4999</c:v>
                </c:pt>
                <c:pt idx="4">
                  <c:v>9.1665</c:v>
                </c:pt>
                <c:pt idx="5">
                  <c:v>12.9998</c:v>
                </c:pt>
                <c:pt idx="6">
                  <c:v>16.3331</c:v>
                </c:pt>
                <c:pt idx="7">
                  <c:v>19.6664</c:v>
                </c:pt>
                <c:pt idx="8">
                  <c:v>32.9997</c:v>
                </c:pt>
                <c:pt idx="9">
                  <c:v>91.7497</c:v>
                </c:pt>
                <c:pt idx="10">
                  <c:v>92.9997</c:v>
                </c:pt>
                <c:pt idx="11">
                  <c:v>92.9997</c:v>
                </c:pt>
                <c:pt idx="12">
                  <c:v>92.9997</c:v>
                </c:pt>
                <c:pt idx="13">
                  <c:v>92.9997</c:v>
                </c:pt>
                <c:pt idx="14">
                  <c:v>93.1108</c:v>
                </c:pt>
                <c:pt idx="15">
                  <c:v>93.2219</c:v>
                </c:pt>
                <c:pt idx="16">
                  <c:v>94.333</c:v>
                </c:pt>
                <c:pt idx="17">
                  <c:v>94.4441</c:v>
                </c:pt>
                <c:pt idx="18">
                  <c:v>94.5552</c:v>
                </c:pt>
                <c:pt idx="19">
                  <c:v>94.6663</c:v>
                </c:pt>
                <c:pt idx="20">
                  <c:v>94.7773999999999</c:v>
                </c:pt>
                <c:pt idx="21">
                  <c:v>94.8884999999999</c:v>
                </c:pt>
                <c:pt idx="22">
                  <c:v>94.9995999999999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693228"/>
        <c:axId val="97432132"/>
      </c:lineChart>
      <c:catAx>
        <c:axId val="2169322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32132"/>
        <c:crosses val="autoZero"/>
        <c:auto val="1"/>
        <c:lblAlgn val="ctr"/>
        <c:lblOffset val="100"/>
        <c:noMultiLvlLbl val="0"/>
      </c:catAx>
      <c:valAx>
        <c:axId val="9743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932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123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46386</v>
      </c>
      <c r="P8" s="34" t="s">
        <v>75</v>
      </c>
      <c r="Q8" s="31" t="n">
        <v>92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46386</v>
      </c>
      <c r="P9" s="46" t="s">
        <v>75</v>
      </c>
      <c r="Q9" s="37" t="n">
        <v>92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46191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46191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46191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46202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46191</v>
      </c>
      <c r="O14" s="55" t="n">
        <v>46386</v>
      </c>
      <c r="P14" s="50" t="s">
        <v>75</v>
      </c>
      <c r="Q14" s="52" t="n">
        <v>92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46191</v>
      </c>
      <c r="O15" s="55" t="n">
        <v>46386</v>
      </c>
      <c r="P15" s="50" t="s">
        <v>75</v>
      </c>
      <c r="Q15" s="52" t="n">
        <v>92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46194</v>
      </c>
      <c r="J23" s="53" t="n">
        <v>46199</v>
      </c>
      <c r="K23" s="52"/>
      <c r="L23" s="52"/>
      <c r="M23" s="54" t="s">
        <v>148</v>
      </c>
      <c r="N23" s="55" t="n">
        <v>46195</v>
      </c>
      <c r="O23" s="55" t="n">
        <v>46199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152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46213</v>
      </c>
      <c r="M25" s="43"/>
      <c r="N25" s="44" t="n">
        <v>46213</v>
      </c>
      <c r="O25" s="45" t="n">
        <v>46213</v>
      </c>
      <c r="P25" s="46" t="s">
        <v>60</v>
      </c>
      <c r="Q25" s="37" t="n">
        <v>20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163</v>
      </c>
      <c r="N26" s="55" t="n">
        <v>46213</v>
      </c>
      <c r="O26" s="55" t="n">
        <v>46213</v>
      </c>
      <c r="P26" s="50" t="s">
        <v>124</v>
      </c>
      <c r="Q26" s="52" t="n">
        <v>20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167</v>
      </c>
      <c r="N27" s="55" t="n">
        <v>46213</v>
      </c>
      <c r="O27" s="55" t="n">
        <v>46213</v>
      </c>
      <c r="P27" s="50" t="s">
        <v>124</v>
      </c>
      <c r="Q27" s="52" t="n">
        <v>20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171</v>
      </c>
      <c r="N28" s="55" t="n">
        <v>46213</v>
      </c>
      <c r="O28" s="55" t="n">
        <v>46213</v>
      </c>
      <c r="P28" s="50" t="s">
        <v>124</v>
      </c>
      <c r="Q28" s="52" t="n">
        <v>20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46357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181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185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189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197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201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205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209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217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221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225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234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238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242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46232</v>
      </c>
      <c r="J47" s="41" t="n">
        <v>46232</v>
      </c>
      <c r="K47" s="42"/>
      <c r="L47" s="42" t="n">
        <v>46276</v>
      </c>
      <c r="M47" s="43"/>
      <c r="N47" s="44" t="n">
        <v>46276</v>
      </c>
      <c r="O47" s="45" t="n">
        <v>46276</v>
      </c>
      <c r="P47" s="46" t="s">
        <v>60</v>
      </c>
      <c r="Q47" s="37" t="n">
        <v>44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46232</v>
      </c>
      <c r="J48" s="53" t="n">
        <v>46232</v>
      </c>
      <c r="K48" s="52"/>
      <c r="L48" s="52"/>
      <c r="M48" s="54" t="s">
        <v>251</v>
      </c>
      <c r="N48" s="55" t="n">
        <v>46276</v>
      </c>
      <c r="O48" s="55" t="n">
        <v>46276</v>
      </c>
      <c r="P48" s="50" t="s">
        <v>124</v>
      </c>
      <c r="Q48" s="52" t="n">
        <v>44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46232</v>
      </c>
      <c r="J49" s="53" t="n">
        <v>46232</v>
      </c>
      <c r="K49" s="52"/>
      <c r="L49" s="52"/>
      <c r="M49" s="54" t="s">
        <v>255</v>
      </c>
      <c r="N49" s="55" t="n">
        <v>46276</v>
      </c>
      <c r="O49" s="55" t="n">
        <v>46276</v>
      </c>
      <c r="P49" s="50" t="s">
        <v>124</v>
      </c>
      <c r="Q49" s="52" t="n">
        <v>44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46233</v>
      </c>
      <c r="J50" s="41" t="n">
        <v>46262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81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46232</v>
      </c>
      <c r="J51" s="53" t="n">
        <v>46232</v>
      </c>
      <c r="K51" s="52"/>
      <c r="L51" s="52"/>
      <c r="M51" s="54" t="s">
        <v>261</v>
      </c>
      <c r="N51" s="55" t="n">
        <v>46276</v>
      </c>
      <c r="O51" s="55" t="n">
        <v>46276</v>
      </c>
      <c r="P51" s="50" t="s">
        <v>124</v>
      </c>
      <c r="Q51" s="52" t="n">
        <v>44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27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46233</v>
      </c>
      <c r="J57" s="41" t="n">
        <v>46253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53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80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46186</v>
      </c>
      <c r="O61" s="33" t="n">
        <v>46238</v>
      </c>
      <c r="P61" s="34" t="s">
        <v>60</v>
      </c>
      <c r="Q61" s="31" t="n">
        <v>7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34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46186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309</v>
      </c>
      <c r="N63" s="55" t="n">
        <v>46186</v>
      </c>
      <c r="O63" s="55" t="n">
        <v>46189</v>
      </c>
      <c r="P63" s="50" t="s">
        <v>124</v>
      </c>
      <c r="Q63" s="52" t="n">
        <v>-15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313</v>
      </c>
      <c r="N64" s="55" t="n">
        <v>46186</v>
      </c>
      <c r="O64" s="55" t="n">
        <v>46193</v>
      </c>
      <c r="P64" s="50" t="s">
        <v>124</v>
      </c>
      <c r="Q64" s="52" t="n">
        <v>-12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317</v>
      </c>
      <c r="N65" s="55" t="n">
        <v>46189</v>
      </c>
      <c r="O65" s="55" t="n">
        <v>46203</v>
      </c>
      <c r="P65" s="50" t="s">
        <v>124</v>
      </c>
      <c r="Q65" s="52" t="n">
        <v>-7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321</v>
      </c>
      <c r="N66" s="55" t="n">
        <v>46199</v>
      </c>
      <c r="O66" s="55" t="n">
        <v>46214</v>
      </c>
      <c r="P66" s="50" t="s">
        <v>124</v>
      </c>
      <c r="Q66" s="52" t="n">
        <v>-2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325</v>
      </c>
      <c r="N67" s="55" t="n">
        <v>46206</v>
      </c>
      <c r="O67" s="55" t="n">
        <v>46217</v>
      </c>
      <c r="P67" s="50" t="s">
        <v>124</v>
      </c>
      <c r="Q67" s="52" t="n">
        <v>-1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329</v>
      </c>
      <c r="N68" s="55" t="n">
        <v>46212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333</v>
      </c>
      <c r="N69" s="55" t="n">
        <v>46217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341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345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349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353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357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14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46216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365</v>
      </c>
      <c r="N77" s="55" t="n">
        <v>46216</v>
      </c>
      <c r="O77" s="55" t="n">
        <v>46220</v>
      </c>
      <c r="P77" s="50" t="s">
        <v>124</v>
      </c>
      <c r="Q77" s="52" t="n">
        <v>-3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369</v>
      </c>
      <c r="N78" s="55" t="n">
        <v>46217</v>
      </c>
      <c r="O78" s="55" t="n">
        <v>46227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373</v>
      </c>
      <c r="N79" s="55" t="n">
        <v>46221</v>
      </c>
      <c r="O79" s="55" t="n">
        <v>46228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377</v>
      </c>
      <c r="N80" s="55" t="n">
        <v>46226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381</v>
      </c>
      <c r="N81" s="55" t="n">
        <v>46228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389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393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401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405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409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413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421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425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429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433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437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444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448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452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302</v>
      </c>
      <c r="E100" s="40" t="n">
        <v>5</v>
      </c>
      <c r="F100" s="39" t="s">
        <v>456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46224</v>
      </c>
      <c r="J101" s="53" t="n">
        <v>46225</v>
      </c>
      <c r="K101" s="52"/>
      <c r="L101" s="52"/>
      <c r="M101" s="61"/>
      <c r="N101" s="55" t="n">
        <v>46227</v>
      </c>
      <c r="O101" s="55" t="n">
        <v>46227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46225</v>
      </c>
      <c r="J102" s="53" t="n">
        <v>46228</v>
      </c>
      <c r="K102" s="52"/>
      <c r="L102" s="52"/>
      <c r="M102" s="54" t="s">
        <v>463</v>
      </c>
      <c r="N102" s="55" t="n">
        <v>46227</v>
      </c>
      <c r="O102" s="55" t="n">
        <v>46228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472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476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480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302</v>
      </c>
      <c r="E107" s="40" t="n">
        <v>2.5</v>
      </c>
      <c r="F107" s="39" t="s">
        <v>456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487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491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495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 t="s">
        <v>498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46238</v>
      </c>
      <c r="M111" s="43"/>
      <c r="N111" s="44" t="n">
        <v>46238</v>
      </c>
      <c r="O111" s="45" t="n">
        <v>46238</v>
      </c>
      <c r="P111" s="46" t="s">
        <v>60</v>
      </c>
      <c r="Q111" s="37" t="n">
        <v>7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504</v>
      </c>
      <c r="N112" s="55" t="n">
        <v>46238</v>
      </c>
      <c r="O112" s="55" t="n">
        <v>46238</v>
      </c>
      <c r="P112" s="50" t="s">
        <v>124</v>
      </c>
      <c r="Q112" s="52" t="n">
        <v>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508</v>
      </c>
      <c r="N113" s="55" t="n">
        <v>46238</v>
      </c>
      <c r="O113" s="55" t="n">
        <v>46238</v>
      </c>
      <c r="P113" s="50" t="s">
        <v>124</v>
      </c>
      <c r="Q113" s="52" t="n">
        <v>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46386</v>
      </c>
      <c r="P114" s="34" t="s">
        <v>75</v>
      </c>
      <c r="Q114" s="31" t="n">
        <v>92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46359</v>
      </c>
      <c r="O115" s="45" t="n">
        <v>46359</v>
      </c>
      <c r="P115" s="46" t="s">
        <v>295</v>
      </c>
      <c r="Q115" s="37" t="n">
        <v>125</v>
      </c>
      <c r="R115" s="39"/>
      <c r="S115" s="39" t="n">
        <v>1</v>
      </c>
      <c r="T115" s="39" t="s">
        <v>296</v>
      </c>
      <c r="U115" s="58" t="n">
        <v>46359.0115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518</v>
      </c>
      <c r="N116" s="55" t="n">
        <v>46359</v>
      </c>
      <c r="O116" s="55" t="n">
        <v>46359</v>
      </c>
      <c r="P116" s="50" t="s">
        <v>295</v>
      </c>
      <c r="Q116" s="52" t="n">
        <v>127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522</v>
      </c>
      <c r="N117" s="55" t="n">
        <v>46359</v>
      </c>
      <c r="O117" s="55" t="n">
        <v>46359</v>
      </c>
      <c r="P117" s="50" t="s">
        <v>295</v>
      </c>
      <c r="Q117" s="52" t="n">
        <v>126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526</v>
      </c>
      <c r="N118" s="55" t="n">
        <v>46359</v>
      </c>
      <c r="O118" s="55" t="n">
        <v>46359</v>
      </c>
      <c r="P118" s="50" t="s">
        <v>295</v>
      </c>
      <c r="Q118" s="52" t="n">
        <v>126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530</v>
      </c>
      <c r="N119" s="55" t="n">
        <v>46359</v>
      </c>
      <c r="O119" s="55" t="n">
        <v>46359</v>
      </c>
      <c r="P119" s="50" t="s">
        <v>295</v>
      </c>
      <c r="Q119" s="52" t="n">
        <v>126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534</v>
      </c>
      <c r="N120" s="55" t="n">
        <v>46359</v>
      </c>
      <c r="O120" s="55" t="n">
        <v>46359</v>
      </c>
      <c r="P120" s="50" t="s">
        <v>295</v>
      </c>
      <c r="Q120" s="52" t="n">
        <v>125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538</v>
      </c>
      <c r="N121" s="55" t="n">
        <v>46359</v>
      </c>
      <c r="O121" s="55" t="n">
        <v>46359</v>
      </c>
      <c r="P121" s="50" t="s">
        <v>295</v>
      </c>
      <c r="Q121" s="52" t="n">
        <v>125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/>
      <c r="M122" s="43"/>
      <c r="N122" s="44" t="n">
        <v>46335</v>
      </c>
      <c r="O122" s="45" t="n">
        <v>46335</v>
      </c>
      <c r="P122" s="46" t="s">
        <v>295</v>
      </c>
      <c r="Q122" s="37" t="n">
        <v>101</v>
      </c>
      <c r="R122" s="39"/>
      <c r="S122" s="39" t="n">
        <v>1</v>
      </c>
      <c r="T122" s="39" t="s">
        <v>296</v>
      </c>
      <c r="U122" s="58" t="n">
        <v>46335.0122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46373</v>
      </c>
      <c r="O124" s="45" t="n">
        <v>46386</v>
      </c>
      <c r="P124" s="46" t="s">
        <v>295</v>
      </c>
      <c r="Q124" s="37" t="n">
        <v>92</v>
      </c>
      <c r="R124" s="39"/>
      <c r="S124" s="39" t="n">
        <v>1</v>
      </c>
      <c r="T124" s="39" t="s">
        <v>296</v>
      </c>
      <c r="U124" s="58" t="n">
        <v>46373.0124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553</v>
      </c>
      <c r="N125" s="55" t="n">
        <v>46373</v>
      </c>
      <c r="O125" s="55" t="n">
        <v>46377</v>
      </c>
      <c r="P125" s="50" t="s">
        <v>295</v>
      </c>
      <c r="Q125" s="52" t="n">
        <v>92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557</v>
      </c>
      <c r="N126" s="55" t="n">
        <v>46376</v>
      </c>
      <c r="O126" s="55" t="n">
        <v>46383</v>
      </c>
      <c r="P126" s="50" t="s">
        <v>295</v>
      </c>
      <c r="Q126" s="52" t="n">
        <v>92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561</v>
      </c>
      <c r="N127" s="55" t="n">
        <v>46383</v>
      </c>
      <c r="O127" s="55" t="n">
        <v>46386</v>
      </c>
      <c r="P127" s="50" t="s">
        <v>295</v>
      </c>
      <c r="Q127" s="52" t="n">
        <v>92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46367</v>
      </c>
      <c r="O128" s="45" t="n">
        <v>46367</v>
      </c>
      <c r="P128" s="46" t="s">
        <v>295</v>
      </c>
      <c r="Q128" s="37" t="n">
        <v>123</v>
      </c>
      <c r="R128" s="39"/>
      <c r="S128" s="39" t="n">
        <v>1</v>
      </c>
      <c r="T128" s="39" t="s">
        <v>296</v>
      </c>
      <c r="U128" s="58" t="n">
        <v>46367.0128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/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/>
      <c r="N129" s="44" t="n">
        <v>46368</v>
      </c>
      <c r="O129" s="45" t="n">
        <v>46370</v>
      </c>
      <c r="P129" s="46" t="s">
        <v>295</v>
      </c>
      <c r="Q129" s="37" t="n">
        <v>126</v>
      </c>
      <c r="R129" s="39"/>
      <c r="S129" s="39" t="n">
        <v>1</v>
      </c>
      <c r="T129" s="39" t="s">
        <v>296</v>
      </c>
      <c r="U129" s="58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567</v>
      </c>
      <c r="B130" s="38" t="s">
        <v>568</v>
      </c>
      <c r="C130" s="39" t="s">
        <v>569</v>
      </c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46368</v>
      </c>
      <c r="O130" s="45" t="n">
        <v>46372</v>
      </c>
      <c r="P130" s="46" t="s">
        <v>295</v>
      </c>
      <c r="Q130" s="37" t="n">
        <v>128</v>
      </c>
      <c r="R130" s="39"/>
      <c r="S130" s="39" t="n">
        <v>1</v>
      </c>
      <c r="T130" s="39" t="s">
        <v>296</v>
      </c>
      <c r="U130" s="58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80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572</v>
      </c>
      <c r="D134" s="6" t="s">
        <v>573</v>
      </c>
    </row>
    <row r="135" customFormat="false" ht="15" hidden="false" customHeight="true" outlineLevel="0" collapsed="false">
      <c r="B135" s="63" t="s">
        <v>574</v>
      </c>
      <c r="D135" s="63" t="s">
        <v>575</v>
      </c>
      <c r="E135" s="63" t="s">
        <v>576</v>
      </c>
      <c r="I135" s="64" t="s">
        <v>577</v>
      </c>
      <c r="J135" s="64" t="s">
        <v>578</v>
      </c>
      <c r="K135" s="64" t="s">
        <v>579</v>
      </c>
      <c r="L135" s="64" t="s">
        <v>580</v>
      </c>
      <c r="O135" s="63" t="s">
        <v>581</v>
      </c>
      <c r="P135" s="63" t="s">
        <v>582</v>
      </c>
    </row>
    <row r="136" customFormat="false" ht="15" hidden="false" customHeight="true" outlineLevel="0" collapsed="false">
      <c r="B136" s="65" t="s">
        <v>583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584</v>
      </c>
    </row>
    <row r="137" customFormat="false" ht="15" hidden="false" customHeight="true" outlineLevel="0" collapsed="false">
      <c r="B137" s="65" t="s">
        <v>585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586</v>
      </c>
    </row>
    <row r="138" customFormat="false" ht="15" hidden="false" customHeight="true" outlineLevel="0" collapsed="false">
      <c r="B138" s="65" t="s">
        <v>587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588</v>
      </c>
    </row>
    <row r="139" customFormat="false" ht="15" hidden="false" customHeight="true" outlineLevel="0" collapsed="false">
      <c r="B139" s="65" t="s">
        <v>589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590</v>
      </c>
    </row>
    <row r="140" customFormat="false" ht="15" hidden="false" customHeight="true" outlineLevel="0" collapsed="false">
      <c r="B140" s="65" t="s">
        <v>591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592</v>
      </c>
    </row>
    <row r="141" customFormat="false" ht="15" hidden="false" customHeight="true" outlineLevel="0" collapsed="false">
      <c r="B141" s="70" t="s">
        <v>593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594</v>
      </c>
    </row>
    <row r="142" customFormat="false" ht="15" hidden="false" customHeight="true" outlineLevel="0" collapsed="false">
      <c r="B142" s="72" t="s">
        <v>595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596</v>
      </c>
    </row>
    <row r="145" customFormat="false" ht="15.75" hidden="false" customHeight="true" outlineLevel="0" collapsed="false">
      <c r="A145" s="77" t="s">
        <v>597</v>
      </c>
    </row>
    <row r="146" customFormat="false" ht="15" hidden="false" customHeight="true" outlineLevel="0" collapsed="false">
      <c r="B146" s="17" t="s">
        <v>598</v>
      </c>
      <c r="D146" s="78" t="s">
        <v>599</v>
      </c>
      <c r="E146" s="78"/>
      <c r="F146" s="78"/>
      <c r="G146" s="78"/>
      <c r="H146" s="78"/>
      <c r="I146" s="78"/>
      <c r="J146" s="78"/>
      <c r="K146" s="19" t="s">
        <v>600</v>
      </c>
    </row>
    <row r="147" customFormat="false" ht="15" hidden="false" customHeight="true" outlineLevel="0" collapsed="false">
      <c r="B147" s="79" t="s">
        <v>601</v>
      </c>
      <c r="E147" s="80" t="s">
        <v>602</v>
      </c>
      <c r="I147" s="79" t="s">
        <v>603</v>
      </c>
    </row>
    <row r="148" customFormat="false" ht="24" hidden="false" customHeight="true" outlineLevel="0" collapsed="false">
      <c r="A148" s="81" t="s">
        <v>604</v>
      </c>
      <c r="B148" s="82" t="s">
        <v>605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606</v>
      </c>
      <c r="B149" s="82" t="s">
        <v>607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608</v>
      </c>
      <c r="B150" s="82" t="s">
        <v>609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610</v>
      </c>
      <c r="B151" s="82" t="s">
        <v>611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612</v>
      </c>
      <c r="B152" s="82" t="s">
        <v>613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614</v>
      </c>
      <c r="B153" s="82" t="s">
        <v>615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616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617</v>
      </c>
    </row>
    <row r="2" customFormat="false" ht="15" hidden="false" customHeight="false" outlineLevel="0" collapsed="false">
      <c r="B2" s="87" t="s">
        <v>618</v>
      </c>
      <c r="C2" s="88" t="s">
        <v>619</v>
      </c>
    </row>
    <row r="3" customFormat="false" ht="15" hidden="false" customHeight="false" outlineLevel="0" collapsed="false">
      <c r="B3" s="87" t="s">
        <v>620</v>
      </c>
      <c r="C3" s="88" t="s">
        <v>621</v>
      </c>
    </row>
    <row r="4" customFormat="false" ht="15" hidden="false" customHeight="false" outlineLevel="0" collapsed="false">
      <c r="B4" s="89" t="s">
        <v>622</v>
      </c>
      <c r="C4" s="88" t="s">
        <v>623</v>
      </c>
    </row>
    <row r="5" customFormat="false" ht="15" hidden="false" customHeight="false" outlineLevel="0" collapsed="false">
      <c r="H5" s="90" t="s">
        <v>624</v>
      </c>
      <c r="I5" s="90"/>
      <c r="J5" s="90" t="s">
        <v>625</v>
      </c>
      <c r="K5" s="90"/>
      <c r="L5" s="90"/>
      <c r="M5" s="90"/>
      <c r="N5" s="90"/>
      <c r="O5" s="90" t="s">
        <v>626</v>
      </c>
      <c r="P5" s="90"/>
      <c r="Q5" s="90"/>
      <c r="R5" s="90"/>
      <c r="S5" s="90" t="s">
        <v>627</v>
      </c>
      <c r="T5" s="90"/>
      <c r="U5" s="90"/>
      <c r="V5" s="90"/>
      <c r="W5" s="90"/>
      <c r="X5" s="90" t="s">
        <v>628</v>
      </c>
      <c r="Y5" s="90"/>
      <c r="Z5" s="90"/>
      <c r="AA5" s="90"/>
      <c r="AB5" s="90" t="s">
        <v>629</v>
      </c>
      <c r="AC5" s="90"/>
      <c r="AD5" s="90"/>
      <c r="AE5" s="90"/>
      <c r="AF5" s="90" t="s">
        <v>630</v>
      </c>
      <c r="AG5" s="90"/>
      <c r="AH5" s="90"/>
      <c r="AI5" s="90"/>
      <c r="AJ5" s="90"/>
      <c r="AK5" s="90" t="s">
        <v>631</v>
      </c>
      <c r="AL5" s="90"/>
      <c r="AM5" s="90"/>
      <c r="AN5" s="90"/>
      <c r="AO5" s="90" t="s">
        <v>632</v>
      </c>
      <c r="AP5" s="90"/>
      <c r="AQ5" s="90"/>
      <c r="AR5" s="90"/>
      <c r="AS5" s="90" t="s">
        <v>633</v>
      </c>
      <c r="AT5" s="90"/>
      <c r="AU5" s="90"/>
      <c r="AV5" s="90"/>
      <c r="AW5" s="90" t="s">
        <v>634</v>
      </c>
      <c r="AX5" s="90"/>
      <c r="AY5" s="90"/>
      <c r="AZ5" s="90"/>
      <c r="BA5" s="90"/>
      <c r="BB5" s="90" t="s">
        <v>635</v>
      </c>
      <c r="BC5" s="90"/>
      <c r="BD5" s="90"/>
      <c r="BE5" s="90"/>
      <c r="BF5" s="90" t="s">
        <v>636</v>
      </c>
      <c r="BG5" s="90"/>
      <c r="BH5" s="90"/>
      <c r="BI5" s="90"/>
      <c r="BJ5" s="90"/>
      <c r="BK5" s="90" t="s">
        <v>637</v>
      </c>
      <c r="BL5" s="90"/>
      <c r="BM5" s="90"/>
      <c r="BN5" s="90"/>
      <c r="BO5" s="90" t="s">
        <v>638</v>
      </c>
      <c r="BP5" s="90"/>
      <c r="BQ5" s="90"/>
      <c r="BR5" s="90"/>
      <c r="BS5" s="90" t="s">
        <v>639</v>
      </c>
      <c r="BT5" s="90"/>
      <c r="BU5" s="90"/>
      <c r="BV5" s="90"/>
      <c r="BW5" s="90"/>
      <c r="BX5" s="90" t="s">
        <v>640</v>
      </c>
      <c r="BY5" s="90"/>
    </row>
    <row r="6" customFormat="false" ht="43.5" hidden="false" customHeight="true" outlineLevel="0" collapsed="false">
      <c r="A6" s="91" t="s">
        <v>641</v>
      </c>
      <c r="B6" s="91" t="s">
        <v>642</v>
      </c>
      <c r="C6" s="91" t="s">
        <v>643</v>
      </c>
      <c r="D6" s="91" t="s">
        <v>644</v>
      </c>
      <c r="E6" s="91" t="s">
        <v>645</v>
      </c>
      <c r="F6" s="91" t="s">
        <v>646</v>
      </c>
      <c r="G6" s="91" t="s">
        <v>647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648</v>
      </c>
      <c r="C8" s="95" t="s">
        <v>649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650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651</v>
      </c>
      <c r="C10" s="95" t="s">
        <v>649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650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652</v>
      </c>
      <c r="C12" s="95" t="s">
        <v>649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650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653</v>
      </c>
      <c r="C14" s="95" t="s">
        <v>649</v>
      </c>
      <c r="D14" s="96" t="n">
        <v>1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0.357142857142857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0.142857142857143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650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0.3333</v>
      </c>
      <c r="K15" s="101" t="n">
        <v>0.3333</v>
      </c>
      <c r="L15" s="101" t="n">
        <v>0.3333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654</v>
      </c>
      <c r="C16" s="95" t="s">
        <v>649</v>
      </c>
      <c r="D16" s="96" t="n">
        <v>1</v>
      </c>
      <c r="E16" s="97" t="n">
        <v>46232</v>
      </c>
      <c r="F16" s="97" t="n">
        <v>46232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650</v>
      </c>
      <c r="D17" s="96"/>
      <c r="E17" s="99" t="n">
        <v>46276</v>
      </c>
      <c r="F17" s="99" t="n">
        <v>46276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 t="n">
        <v>1</v>
      </c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655</v>
      </c>
      <c r="C18" s="95" t="s">
        <v>649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656</v>
      </c>
      <c r="B20" s="95" t="s">
        <v>657</v>
      </c>
      <c r="C20" s="95" t="s">
        <v>649</v>
      </c>
      <c r="D20" s="96" t="n">
        <v>1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0.108695652173913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650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0.1111</v>
      </c>
      <c r="W21" s="101" t="n">
        <v>0.1111</v>
      </c>
      <c r="X21" s="101" t="n">
        <v>0.1111</v>
      </c>
      <c r="Y21" s="101" t="n">
        <v>0.1111</v>
      </c>
      <c r="Z21" s="101" t="n">
        <v>0.1111</v>
      </c>
      <c r="AA21" s="101" t="n">
        <v>0.1111</v>
      </c>
      <c r="AB21" s="101" t="n">
        <v>0.1111</v>
      </c>
      <c r="AC21" s="101" t="n">
        <v>0.1111</v>
      </c>
      <c r="AD21" s="101" t="n">
        <v>0.1111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658</v>
      </c>
      <c r="C23" s="95" t="s">
        <v>649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650</v>
      </c>
      <c r="D24" s="96"/>
      <c r="E24" s="99" t="n">
        <v>46186</v>
      </c>
      <c r="F24" s="99" t="n">
        <v>46219</v>
      </c>
      <c r="G24" s="100"/>
      <c r="H24" s="101"/>
      <c r="I24" s="101"/>
      <c r="J24" s="101"/>
      <c r="K24" s="101" t="n">
        <v>3.3333</v>
      </c>
      <c r="L24" s="101" t="n">
        <v>3.3333</v>
      </c>
      <c r="M24" s="101" t="n">
        <v>3.3333</v>
      </c>
      <c r="N24" s="101" t="n">
        <v>3.3333</v>
      </c>
      <c r="O24" s="101" t="n">
        <v>3.3333</v>
      </c>
      <c r="P24" s="101" t="n">
        <v>3.3333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659</v>
      </c>
      <c r="C25" s="95" t="s">
        <v>649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650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660</v>
      </c>
      <c r="C27" s="95" t="s">
        <v>649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650</v>
      </c>
      <c r="D28" s="96"/>
      <c r="E28" s="99" t="n">
        <v>46216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 t="n">
        <v>10</v>
      </c>
      <c r="Q28" s="101" t="n">
        <v>10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661</v>
      </c>
      <c r="C29" s="95" t="s">
        <v>649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650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662</v>
      </c>
      <c r="C31" s="95" t="s">
        <v>649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650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663</v>
      </c>
      <c r="C33" s="95" t="s">
        <v>649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650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664</v>
      </c>
      <c r="C35" s="95" t="s">
        <v>649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650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665</v>
      </c>
      <c r="C37" s="95" t="s">
        <v>649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650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666</v>
      </c>
      <c r="C39" s="95" t="s">
        <v>649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650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668</v>
      </c>
      <c r="C42" s="95" t="s">
        <v>649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669</v>
      </c>
      <c r="C44" s="95" t="s">
        <v>649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670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0.857142857142857</v>
      </c>
      <c r="K47" s="103" t="n">
        <f aca="false">SUMIF($C$7:$C$45,"Plan",K$7:K$45)</f>
        <v>1</v>
      </c>
      <c r="L47" s="103" t="n">
        <f aca="false">SUMIF($C$7:$C$45,"Plan",L$7:L$45)</f>
        <v>0.142857142857143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4.10869565217391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0.130434782608696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671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0.8333</v>
      </c>
      <c r="K48" s="103" t="n">
        <f aca="false">SUMIF($C$7:$C$45,"Actual",K$7:K$45)</f>
        <v>4.1666</v>
      </c>
      <c r="L48" s="103" t="n">
        <f aca="false">SUMIF($C$7:$C$45,"Actual",L$7:L$45)</f>
        <v>3.6666</v>
      </c>
      <c r="M48" s="103" t="n">
        <f aca="false">SUMIF($C$7:$C$45,"Actual",M$7:M$45)</f>
        <v>3.8333</v>
      </c>
      <c r="N48" s="103" t="n">
        <f aca="false">SUMIF($C$7:$C$45,"Actual",N$7:N$45)</f>
        <v>3.3333</v>
      </c>
      <c r="O48" s="103" t="n">
        <f aca="false">SUMIF($C$7:$C$45,"Actual",O$7:O$45)</f>
        <v>3.3333</v>
      </c>
      <c r="P48" s="103" t="n">
        <f aca="false">SUMIF($C$7:$C$45,"Actual",P$7:P$45)</f>
        <v>13.3333</v>
      </c>
      <c r="Q48" s="103" t="n">
        <f aca="false">SUMIF($C$7:$C$45,"Actual",Q$7:Q$45)</f>
        <v>58.75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0.1111</v>
      </c>
      <c r="W48" s="103" t="n">
        <f aca="false">SUMIF($C$7:$C$45,"Actual",W$7:W$45)</f>
        <v>0.1111</v>
      </c>
      <c r="X48" s="103" t="n">
        <f aca="false">SUMIF($C$7:$C$45,"Actual",X$7:X$45)</f>
        <v>1.1111</v>
      </c>
      <c r="Y48" s="103" t="n">
        <f aca="false">SUMIF($C$7:$C$45,"Actual",Y$7:Y$45)</f>
        <v>0.1111</v>
      </c>
      <c r="Z48" s="103" t="n">
        <f aca="false">SUMIF($C$7:$C$45,"Actual",Z$7:Z$45)</f>
        <v>0.1111</v>
      </c>
      <c r="AA48" s="103" t="n">
        <f aca="false">SUMIF($C$7:$C$45,"Actual",AA$7:AA$45)</f>
        <v>0.1111</v>
      </c>
      <c r="AB48" s="103" t="n">
        <f aca="false">SUMIF($C$7:$C$45,"Actual",AB$7:AB$45)</f>
        <v>0.1111</v>
      </c>
      <c r="AC48" s="103" t="n">
        <f aca="false">SUMIF($C$7:$C$45,"Actual",AC$7:AC$45)</f>
        <v>0.1111</v>
      </c>
      <c r="AD48" s="103" t="n">
        <f aca="false">SUMIF($C$7:$C$45,"Actual",AD$7:AD$45)</f>
        <v>0.1111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672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1.35714285714286</v>
      </c>
      <c r="K49" s="105" t="n">
        <f aca="false">J49+K47</f>
        <v>2.35714285714286</v>
      </c>
      <c r="L49" s="105" t="n">
        <f aca="false">K49+L47</f>
        <v>2.5</v>
      </c>
      <c r="M49" s="105" t="n">
        <f aca="false">L49+M47</f>
        <v>3</v>
      </c>
      <c r="N49" s="105" t="n">
        <f aca="false">M49+N47</f>
        <v>10.7777777777778</v>
      </c>
      <c r="O49" s="105" t="n">
        <f aca="false">N49+O47</f>
        <v>18.5555555555556</v>
      </c>
      <c r="P49" s="105" t="n">
        <f aca="false">O49+P47</f>
        <v>43.3809523809524</v>
      </c>
      <c r="Q49" s="105" t="n">
        <f aca="false">P49+Q47</f>
        <v>92.5</v>
      </c>
      <c r="R49" s="105" t="n">
        <f aca="false">Q49+R47</f>
        <v>96.6086956521739</v>
      </c>
      <c r="S49" s="105" t="n">
        <f aca="false">R49+S47</f>
        <v>96.7608695652174</v>
      </c>
      <c r="T49" s="105" t="n">
        <f aca="false">S49+T47</f>
        <v>96.9130434782609</v>
      </c>
      <c r="U49" s="105" t="n">
        <f aca="false">T49+U47</f>
        <v>97.0652173913044</v>
      </c>
      <c r="V49" s="105" t="n">
        <f aca="false">U49+V47</f>
        <v>97.2173913043478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673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1.3333</v>
      </c>
      <c r="K50" s="105" t="n">
        <f aca="false">IF(K$6&gt;46314,"",J50+K48)</f>
        <v>5.4999</v>
      </c>
      <c r="L50" s="105" t="n">
        <f aca="false">IF(L$6&gt;46314,"",K50+L48)</f>
        <v>9.1665</v>
      </c>
      <c r="M50" s="105" t="n">
        <f aca="false">IF(M$6&gt;46314,"",L50+M48)</f>
        <v>12.9998</v>
      </c>
      <c r="N50" s="105" t="n">
        <f aca="false">IF(N$6&gt;46314,"",M50+N48)</f>
        <v>16.3331</v>
      </c>
      <c r="O50" s="105" t="n">
        <f aca="false">IF(O$6&gt;46314,"",N50+O48)</f>
        <v>19.6664</v>
      </c>
      <c r="P50" s="105" t="n">
        <f aca="false">IF(P$6&gt;46314,"",O50+P48)</f>
        <v>32.9997</v>
      </c>
      <c r="Q50" s="105" t="n">
        <f aca="false">IF(Q$6&gt;46314,"",P50+Q48)</f>
        <v>91.7497</v>
      </c>
      <c r="R50" s="105" t="n">
        <f aca="false">IF(R$6&gt;46314,"",Q50+R48)</f>
        <v>92.9997</v>
      </c>
      <c r="S50" s="105" t="n">
        <f aca="false">IF(S$6&gt;46314,"",R50+S48)</f>
        <v>92.9997</v>
      </c>
      <c r="T50" s="105" t="n">
        <f aca="false">IF(T$6&gt;46314,"",S50+T48)</f>
        <v>92.9997</v>
      </c>
      <c r="U50" s="105" t="n">
        <f aca="false">IF(U$6&gt;46314,"",T50+U48)</f>
        <v>92.9997</v>
      </c>
      <c r="V50" s="105" t="n">
        <f aca="false">IF(V$6&gt;46314,"",U50+V48)</f>
        <v>93.1108</v>
      </c>
      <c r="W50" s="105" t="n">
        <f aca="false">IF(W$6&gt;46314,"",V50+W48)</f>
        <v>93.2219</v>
      </c>
      <c r="X50" s="105" t="n">
        <f aca="false">IF(X$6&gt;46314,"",W50+X48)</f>
        <v>94.333</v>
      </c>
      <c r="Y50" s="105" t="n">
        <f aca="false">IF(Y$6&gt;46314,"",X50+Y48)</f>
        <v>94.4441</v>
      </c>
      <c r="Z50" s="105" t="n">
        <f aca="false">IF(Z$6&gt;46314,"",Y50+Z48)</f>
        <v>94.5552</v>
      </c>
      <c r="AA50" s="105" t="n">
        <f aca="false">IF(AA$6&gt;46314,"",Z50+AA48)</f>
        <v>94.6663</v>
      </c>
      <c r="AB50" s="105" t="n">
        <f aca="false">IF(AB$6&gt;46314,"",AA50+AB48)</f>
        <v>94.7773999999999</v>
      </c>
      <c r="AC50" s="105" t="n">
        <f aca="false">IF(AC$6&gt;46314,"",AB50+AC48)</f>
        <v>94.8884999999999</v>
      </c>
      <c r="AD50" s="105" t="n">
        <f aca="false">IF(AD$6&gt;46314,"",AC50+AD48)</f>
        <v>94.9995999999999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2026-10-26T04:43:17Z</dcterms:created>
  <dc:creator>openpyxl</dc:creator>
  <dc:description/>
  <dc:language>en-US</dc:language>
  <cp:lastModifiedBy/>
  <dcterms:modified xsi:type="dcterms:W3CDTF">2026-10-26T11:46:55Z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