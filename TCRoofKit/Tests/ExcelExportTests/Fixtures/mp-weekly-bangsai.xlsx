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ithip.O\Desktop\รวมแผนการดำเนินงาน เฟส 1\"/>
    </mc:Choice>
  </mc:AlternateContent>
  <xr:revisionPtr revIDLastSave="0" documentId="13_ncr:1_{BBB78A01-26D1-448A-AA48-10FE3A9CA202}" xr6:coauthVersionLast="47" xr6:coauthVersionMax="47" xr10:uidLastSave="{00000000-0000-0000-0000-000000000000}"/>
  <bookViews>
    <workbookView xWindow="28680" yWindow="-120" windowWidth="29040" windowHeight="15720" xr2:uid="{6AD7E485-F3D8-468B-9BF6-65026C6589A0}"/>
  </bookViews>
  <sheets>
    <sheet name="Weekly PLAN" sheetId="4" r:id="rId1"/>
    <sheet name="S-curve" sheetId="2" state="hidden" r:id="rId2"/>
  </sheets>
  <definedNames>
    <definedName name="_xlnm._FilterDatabase" localSheetId="0" hidden="1">'Weekly PLAN'!$A$6:$BU$52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4" l="1"/>
  <c r="H12" i="4" l="1"/>
  <c r="G12" i="4"/>
  <c r="H48" i="4" l="1"/>
  <c r="G48" i="4"/>
  <c r="H28" i="4"/>
  <c r="G28" i="4"/>
  <c r="H13" i="4"/>
  <c r="G17" i="4"/>
  <c r="H17" i="4" s="1"/>
  <c r="G21" i="4"/>
  <c r="G19" i="4" l="1"/>
  <c r="H19" i="4" s="1"/>
  <c r="H11" i="4" s="1"/>
  <c r="G11" i="4" l="1"/>
  <c r="I11" i="4" s="1"/>
  <c r="K20" i="4"/>
  <c r="J20" i="4"/>
  <c r="J19" i="4"/>
  <c r="K19" i="4"/>
  <c r="DA19" i="4" s="1"/>
  <c r="K18" i="4"/>
  <c r="J18" i="4"/>
  <c r="J17" i="4"/>
  <c r="K17" i="4"/>
  <c r="K16" i="4"/>
  <c r="J16" i="4"/>
  <c r="J15" i="4"/>
  <c r="H15" i="4"/>
  <c r="K15" i="4" s="1"/>
  <c r="X17" i="4" l="1"/>
  <c r="DE15" i="4"/>
  <c r="DG15" i="4"/>
  <c r="CI15" i="4"/>
  <c r="BK15" i="4"/>
  <c r="AM15" i="4"/>
  <c r="O15" i="4"/>
  <c r="CK15" i="4"/>
  <c r="DH15" i="4"/>
  <c r="CJ15" i="4"/>
  <c r="BL15" i="4"/>
  <c r="AN15" i="4"/>
  <c r="P15" i="4"/>
  <c r="DF15" i="4"/>
  <c r="CH15" i="4"/>
  <c r="BJ15" i="4"/>
  <c r="AL15" i="4"/>
  <c r="N15" i="4"/>
  <c r="BB15" i="4"/>
  <c r="CW15" i="4"/>
  <c r="BY15" i="4"/>
  <c r="BA15" i="4"/>
  <c r="AC15" i="4"/>
  <c r="CV15" i="4"/>
  <c r="BX15" i="4"/>
  <c r="AZ15" i="4"/>
  <c r="AB15" i="4"/>
  <c r="CU15" i="4"/>
  <c r="BW15" i="4"/>
  <c r="AY15" i="4"/>
  <c r="AA15" i="4"/>
  <c r="CT15" i="4"/>
  <c r="BV15" i="4"/>
  <c r="AX15" i="4"/>
  <c r="Z15" i="4"/>
  <c r="CM15" i="4"/>
  <c r="AQ15" i="4"/>
  <c r="DJ15" i="4"/>
  <c r="AP15" i="4"/>
  <c r="BM15" i="4"/>
  <c r="AO15" i="4"/>
  <c r="Q15" i="4"/>
  <c r="CY15" i="4"/>
  <c r="CA15" i="4"/>
  <c r="BC15" i="4"/>
  <c r="AE15" i="4"/>
  <c r="CX15" i="4"/>
  <c r="BZ15" i="4"/>
  <c r="AD15" i="4"/>
  <c r="DK15" i="4"/>
  <c r="BO15" i="4"/>
  <c r="S15" i="4"/>
  <c r="CL15" i="4"/>
  <c r="BN15" i="4"/>
  <c r="R15" i="4"/>
  <c r="DI15" i="4"/>
  <c r="AH19" i="4"/>
  <c r="CD19" i="4"/>
  <c r="CP19" i="4"/>
  <c r="DB19" i="4"/>
  <c r="V19" i="4"/>
  <c r="AT19" i="4"/>
  <c r="AU19" i="4"/>
  <c r="BF19" i="4"/>
  <c r="BR19" i="4"/>
  <c r="BH17" i="4"/>
  <c r="CF17" i="4"/>
  <c r="DC17" i="4"/>
  <c r="CQ17" i="4"/>
  <c r="CE17" i="4"/>
  <c r="BS17" i="4"/>
  <c r="BG17" i="4"/>
  <c r="AU17" i="4"/>
  <c r="AI17" i="4"/>
  <c r="W17" i="4"/>
  <c r="DA17" i="4"/>
  <c r="CO17" i="4"/>
  <c r="CC17" i="4"/>
  <c r="BQ17" i="4"/>
  <c r="BE17" i="4"/>
  <c r="AS17" i="4"/>
  <c r="AG17" i="4"/>
  <c r="U17" i="4"/>
  <c r="AZ17" i="4"/>
  <c r="BK17" i="4"/>
  <c r="AM17" i="4"/>
  <c r="CT17" i="4"/>
  <c r="AX17" i="4"/>
  <c r="N17" i="4"/>
  <c r="DB17" i="4"/>
  <c r="CP17" i="4"/>
  <c r="CD17" i="4"/>
  <c r="BR17" i="4"/>
  <c r="BF17" i="4"/>
  <c r="AT17" i="4"/>
  <c r="AH17" i="4"/>
  <c r="V17" i="4"/>
  <c r="DH17" i="4"/>
  <c r="AN17" i="4"/>
  <c r="CU17" i="4"/>
  <c r="O17" i="4"/>
  <c r="Z17" i="4"/>
  <c r="DL17" i="4"/>
  <c r="CZ17" i="4"/>
  <c r="CN17" i="4"/>
  <c r="CB17" i="4"/>
  <c r="BP17" i="4"/>
  <c r="BD17" i="4"/>
  <c r="AR17" i="4"/>
  <c r="AF17" i="4"/>
  <c r="T17" i="4"/>
  <c r="CX17" i="4"/>
  <c r="BB17" i="4"/>
  <c r="R17" i="4"/>
  <c r="CW17" i="4"/>
  <c r="BA17" i="4"/>
  <c r="Q17" i="4"/>
  <c r="CJ17" i="4"/>
  <c r="P17" i="4"/>
  <c r="BW17" i="4"/>
  <c r="BJ17" i="4"/>
  <c r="DK17" i="4"/>
  <c r="CY17" i="4"/>
  <c r="CM17" i="4"/>
  <c r="CA17" i="4"/>
  <c r="BO17" i="4"/>
  <c r="BC17" i="4"/>
  <c r="AQ17" i="4"/>
  <c r="AE17" i="4"/>
  <c r="S17" i="4"/>
  <c r="DJ17" i="4"/>
  <c r="CL17" i="4"/>
  <c r="BZ17" i="4"/>
  <c r="BN17" i="4"/>
  <c r="AP17" i="4"/>
  <c r="AD17" i="4"/>
  <c r="DI17" i="4"/>
  <c r="CK17" i="4"/>
  <c r="BY17" i="4"/>
  <c r="BM17" i="4"/>
  <c r="AO17" i="4"/>
  <c r="AC17" i="4"/>
  <c r="CV17" i="4"/>
  <c r="BX17" i="4"/>
  <c r="BL17" i="4"/>
  <c r="AB17" i="4"/>
  <c r="DG17" i="4"/>
  <c r="CI17" i="4"/>
  <c r="AY17" i="4"/>
  <c r="AA17" i="4"/>
  <c r="DF17" i="4"/>
  <c r="BV17" i="4"/>
  <c r="AL17" i="4"/>
  <c r="DE17" i="4"/>
  <c r="CS17" i="4"/>
  <c r="CH17" i="4"/>
  <c r="CG17" i="4"/>
  <c r="BT17" i="4"/>
  <c r="M17" i="4"/>
  <c r="CR17" i="4"/>
  <c r="Y17" i="4"/>
  <c r="AJ17" i="4"/>
  <c r="AK17" i="4"/>
  <c r="L17" i="4"/>
  <c r="DD17" i="4"/>
  <c r="AV17" i="4"/>
  <c r="BI17" i="4"/>
  <c r="BU17" i="4"/>
  <c r="AW17" i="4"/>
  <c r="CF19" i="4"/>
  <c r="DF19" i="4"/>
  <c r="W19" i="4"/>
  <c r="AI19" i="4"/>
  <c r="DC19" i="4"/>
  <c r="L19" i="4"/>
  <c r="AJ19" i="4"/>
  <c r="CR19" i="4"/>
  <c r="Y19" i="4"/>
  <c r="AK19" i="4"/>
  <c r="AW19" i="4"/>
  <c r="DE19" i="4"/>
  <c r="Z19" i="4"/>
  <c r="AL19" i="4"/>
  <c r="AX19" i="4"/>
  <c r="CH19" i="4"/>
  <c r="O19" i="4"/>
  <c r="AA19" i="4"/>
  <c r="AY19" i="4"/>
  <c r="BK19" i="4"/>
  <c r="BW19" i="4"/>
  <c r="CI19" i="4"/>
  <c r="DG19" i="4"/>
  <c r="T15" i="4"/>
  <c r="AR15" i="4"/>
  <c r="BD15" i="4"/>
  <c r="CB15" i="4"/>
  <c r="CN15" i="4"/>
  <c r="DL15" i="4"/>
  <c r="P19" i="4"/>
  <c r="AB19" i="4"/>
  <c r="AZ19" i="4"/>
  <c r="BL19" i="4"/>
  <c r="BX19" i="4"/>
  <c r="CJ19" i="4"/>
  <c r="DH19" i="4"/>
  <c r="U15" i="4"/>
  <c r="AG15" i="4"/>
  <c r="AS15" i="4"/>
  <c r="BE15" i="4"/>
  <c r="BQ15" i="4"/>
  <c r="CC15" i="4"/>
  <c r="CO15" i="4"/>
  <c r="DA15" i="4"/>
  <c r="Q19" i="4"/>
  <c r="AC19" i="4"/>
  <c r="AO19" i="4"/>
  <c r="BA19" i="4"/>
  <c r="BM19" i="4"/>
  <c r="BY19" i="4"/>
  <c r="CK19" i="4"/>
  <c r="CW19" i="4"/>
  <c r="DI19" i="4"/>
  <c r="BG19" i="4"/>
  <c r="BT19" i="4"/>
  <c r="CS19" i="4"/>
  <c r="BJ19" i="4"/>
  <c r="AM19" i="4"/>
  <c r="CU19" i="4"/>
  <c r="AF15" i="4"/>
  <c r="BP15" i="4"/>
  <c r="CZ15" i="4"/>
  <c r="AN19" i="4"/>
  <c r="CV19" i="4"/>
  <c r="V15" i="4"/>
  <c r="AH15" i="4"/>
  <c r="AT15" i="4"/>
  <c r="BF15" i="4"/>
  <c r="BR15" i="4"/>
  <c r="CD15" i="4"/>
  <c r="CP15" i="4"/>
  <c r="DB15" i="4"/>
  <c r="R19" i="4"/>
  <c r="AD19" i="4"/>
  <c r="AP19" i="4"/>
  <c r="BB19" i="4"/>
  <c r="BN19" i="4"/>
  <c r="BZ19" i="4"/>
  <c r="CL19" i="4"/>
  <c r="CX19" i="4"/>
  <c r="DJ19" i="4"/>
  <c r="CE19" i="4"/>
  <c r="AV19" i="4"/>
  <c r="BI19" i="4"/>
  <c r="BS19" i="4"/>
  <c r="BH19" i="4"/>
  <c r="BU19" i="4"/>
  <c r="BV19" i="4"/>
  <c r="S19" i="4"/>
  <c r="AQ19" i="4"/>
  <c r="BC19" i="4"/>
  <c r="BO19" i="4"/>
  <c r="CA19" i="4"/>
  <c r="CM19" i="4"/>
  <c r="CY19" i="4"/>
  <c r="L15" i="4"/>
  <c r="X15" i="4"/>
  <c r="AJ15" i="4"/>
  <c r="AV15" i="4"/>
  <c r="BH15" i="4"/>
  <c r="BT15" i="4"/>
  <c r="CF15" i="4"/>
  <c r="CR15" i="4"/>
  <c r="DD15" i="4"/>
  <c r="T19" i="4"/>
  <c r="AF19" i="4"/>
  <c r="AR19" i="4"/>
  <c r="BD19" i="4"/>
  <c r="BP19" i="4"/>
  <c r="CB19" i="4"/>
  <c r="CN19" i="4"/>
  <c r="CZ19" i="4"/>
  <c r="DL19" i="4"/>
  <c r="CQ19" i="4"/>
  <c r="X19" i="4"/>
  <c r="DD19" i="4"/>
  <c r="M19" i="4"/>
  <c r="CG19" i="4"/>
  <c r="N19" i="4"/>
  <c r="CT19" i="4"/>
  <c r="W15" i="4"/>
  <c r="AI15" i="4"/>
  <c r="AU15" i="4"/>
  <c r="BG15" i="4"/>
  <c r="BS15" i="4"/>
  <c r="CE15" i="4"/>
  <c r="CQ15" i="4"/>
  <c r="DC15" i="4"/>
  <c r="AE19" i="4"/>
  <c r="DK19" i="4"/>
  <c r="M15" i="4"/>
  <c r="Y15" i="4"/>
  <c r="AK15" i="4"/>
  <c r="AW15" i="4"/>
  <c r="BI15" i="4"/>
  <c r="BU15" i="4"/>
  <c r="CG15" i="4"/>
  <c r="CS15" i="4"/>
  <c r="U19" i="4"/>
  <c r="AG19" i="4"/>
  <c r="AS19" i="4"/>
  <c r="BE19" i="4"/>
  <c r="BQ19" i="4"/>
  <c r="CC19" i="4"/>
  <c r="CO19" i="4"/>
  <c r="E47" i="4" l="1"/>
  <c r="K24" i="4"/>
  <c r="J24" i="4"/>
  <c r="J23" i="4"/>
  <c r="K23" i="4"/>
  <c r="H29" i="4"/>
  <c r="E48" i="4"/>
  <c r="E28" i="4"/>
  <c r="E27" i="4"/>
  <c r="E12" i="4"/>
  <c r="E11" i="4"/>
  <c r="DL48" i="4"/>
  <c r="DK48" i="4"/>
  <c r="DJ48" i="4"/>
  <c r="DI48" i="4"/>
  <c r="DH48" i="4"/>
  <c r="DG48" i="4"/>
  <c r="DF48" i="4"/>
  <c r="DE48" i="4"/>
  <c r="DD48" i="4"/>
  <c r="DC48" i="4"/>
  <c r="DB48" i="4"/>
  <c r="DA48" i="4"/>
  <c r="CZ48" i="4"/>
  <c r="CY48" i="4"/>
  <c r="CX48" i="4"/>
  <c r="CW48" i="4"/>
  <c r="CV48" i="4"/>
  <c r="CU48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L2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L12" i="4"/>
  <c r="G31" i="4" l="1"/>
  <c r="J31" i="4" s="1"/>
  <c r="I48" i="4"/>
  <c r="I28" i="4"/>
  <c r="I12" i="4"/>
  <c r="DB23" i="4"/>
  <c r="CP23" i="4"/>
  <c r="CD23" i="4"/>
  <c r="BR23" i="4"/>
  <c r="BF23" i="4"/>
  <c r="AT23" i="4"/>
  <c r="AH23" i="4"/>
  <c r="V23" i="4"/>
  <c r="DL23" i="4"/>
  <c r="CZ23" i="4"/>
  <c r="CN23" i="4"/>
  <c r="CB23" i="4"/>
  <c r="BP23" i="4"/>
  <c r="BD23" i="4"/>
  <c r="AR23" i="4"/>
  <c r="AF23" i="4"/>
  <c r="T23" i="4"/>
  <c r="AU23" i="4"/>
  <c r="AS23" i="4"/>
  <c r="DK23" i="4"/>
  <c r="CY23" i="4"/>
  <c r="CM23" i="4"/>
  <c r="CA23" i="4"/>
  <c r="BO23" i="4"/>
  <c r="BC23" i="4"/>
  <c r="AQ23" i="4"/>
  <c r="AE23" i="4"/>
  <c r="S23" i="4"/>
  <c r="CQ23" i="4"/>
  <c r="BQ23" i="4"/>
  <c r="DJ23" i="4"/>
  <c r="CX23" i="4"/>
  <c r="CL23" i="4"/>
  <c r="BZ23" i="4"/>
  <c r="BN23" i="4"/>
  <c r="BB23" i="4"/>
  <c r="AP23" i="4"/>
  <c r="AD23" i="4"/>
  <c r="R23" i="4"/>
  <c r="W23" i="4"/>
  <c r="DA23" i="4"/>
  <c r="DI23" i="4"/>
  <c r="CW23" i="4"/>
  <c r="CK23" i="4"/>
  <c r="BY23" i="4"/>
  <c r="BM23" i="4"/>
  <c r="BA23" i="4"/>
  <c r="AO23" i="4"/>
  <c r="AC23" i="4"/>
  <c r="Q23" i="4"/>
  <c r="DC23" i="4"/>
  <c r="CC23" i="4"/>
  <c r="DH23" i="4"/>
  <c r="CV23" i="4"/>
  <c r="CJ23" i="4"/>
  <c r="BX23" i="4"/>
  <c r="BL23" i="4"/>
  <c r="AZ23" i="4"/>
  <c r="AN23" i="4"/>
  <c r="AB23" i="4"/>
  <c r="P23" i="4"/>
  <c r="CE23" i="4"/>
  <c r="CO23" i="4"/>
  <c r="DG23" i="4"/>
  <c r="CU23" i="4"/>
  <c r="CI23" i="4"/>
  <c r="BW23" i="4"/>
  <c r="BK23" i="4"/>
  <c r="AY23" i="4"/>
  <c r="AM23" i="4"/>
  <c r="AA23" i="4"/>
  <c r="O23" i="4"/>
  <c r="BS23" i="4"/>
  <c r="AG23" i="4"/>
  <c r="DF23" i="4"/>
  <c r="CT23" i="4"/>
  <c r="CH23" i="4"/>
  <c r="BV23" i="4"/>
  <c r="BJ23" i="4"/>
  <c r="AX23" i="4"/>
  <c r="AL23" i="4"/>
  <c r="Z23" i="4"/>
  <c r="N23" i="4"/>
  <c r="AI23" i="4"/>
  <c r="BE23" i="4"/>
  <c r="DE23" i="4"/>
  <c r="CS23" i="4"/>
  <c r="CG23" i="4"/>
  <c r="BU23" i="4"/>
  <c r="BI23" i="4"/>
  <c r="AW23" i="4"/>
  <c r="AK23" i="4"/>
  <c r="Y23" i="4"/>
  <c r="M23" i="4"/>
  <c r="U23" i="4"/>
  <c r="DD23" i="4"/>
  <c r="CR23" i="4"/>
  <c r="CF23" i="4"/>
  <c r="BT23" i="4"/>
  <c r="BH23" i="4"/>
  <c r="AV23" i="4"/>
  <c r="AJ23" i="4"/>
  <c r="X23" i="4"/>
  <c r="L23" i="4"/>
  <c r="BG23" i="4"/>
  <c r="AW55" i="4"/>
  <c r="BP55" i="4"/>
  <c r="AQ55" i="4"/>
  <c r="BB55" i="4"/>
  <c r="AL55" i="4"/>
  <c r="BJ55" i="4"/>
  <c r="AV55" i="4"/>
  <c r="Y55" i="4"/>
  <c r="AX55" i="4"/>
  <c r="M55" i="4"/>
  <c r="Z55" i="4"/>
  <c r="CF55" i="4"/>
  <c r="P55" i="4"/>
  <c r="AB55" i="4"/>
  <c r="AK55" i="4"/>
  <c r="BI55" i="4"/>
  <c r="BU55" i="4"/>
  <c r="CG55" i="4"/>
  <c r="CS55" i="4"/>
  <c r="DE55" i="4"/>
  <c r="DL55" i="4"/>
  <c r="CZ55" i="4"/>
  <c r="CN55" i="4"/>
  <c r="CB55" i="4"/>
  <c r="BD55" i="4"/>
  <c r="AR55" i="4"/>
  <c r="N55" i="4"/>
  <c r="DK55" i="4"/>
  <c r="CY55" i="4"/>
  <c r="CM55" i="4"/>
  <c r="CA55" i="4"/>
  <c r="BC55" i="4"/>
  <c r="BN55" i="4"/>
  <c r="AP55" i="4"/>
  <c r="DI55" i="4"/>
  <c r="CW55" i="4"/>
  <c r="CK55" i="4"/>
  <c r="BY55" i="4"/>
  <c r="BM55" i="4"/>
  <c r="BA55" i="4"/>
  <c r="CJ55" i="4"/>
  <c r="BX55" i="4"/>
  <c r="AE55" i="4"/>
  <c r="AF55" i="4"/>
  <c r="AO55" i="4"/>
  <c r="AC55" i="4"/>
  <c r="Q55" i="4"/>
  <c r="AJ55" i="4"/>
  <c r="BH55" i="4"/>
  <c r="BT55" i="4"/>
  <c r="CR55" i="4"/>
  <c r="DD55" i="4"/>
  <c r="S55" i="4"/>
  <c r="AN55" i="4"/>
  <c r="AZ55" i="4"/>
  <c r="BL55" i="4"/>
  <c r="CV55" i="4"/>
  <c r="DH55" i="4"/>
  <c r="T55" i="4"/>
  <c r="AY55" i="4"/>
  <c r="X55" i="4"/>
  <c r="R55" i="4"/>
  <c r="AM55" i="4"/>
  <c r="AD55" i="4"/>
  <c r="BO55" i="4"/>
  <c r="CP55" i="4"/>
  <c r="L55" i="4"/>
  <c r="L56" i="4" s="1"/>
  <c r="BV55" i="4"/>
  <c r="CH55" i="4"/>
  <c r="CT55" i="4"/>
  <c r="DJ55" i="4"/>
  <c r="V55" i="4"/>
  <c r="AH55" i="4"/>
  <c r="AT55" i="4"/>
  <c r="BF55" i="4"/>
  <c r="BR55" i="4"/>
  <c r="CD55" i="4"/>
  <c r="DB55" i="4"/>
  <c r="DF55" i="4"/>
  <c r="CU55" i="4"/>
  <c r="CI55" i="4"/>
  <c r="BZ55" i="4"/>
  <c r="CL55" i="4"/>
  <c r="CX55" i="4"/>
  <c r="DG55" i="4"/>
  <c r="BW55" i="4"/>
  <c r="BK55" i="4"/>
  <c r="AA55" i="4"/>
  <c r="O55" i="4"/>
  <c r="U55" i="4"/>
  <c r="AG55" i="4"/>
  <c r="AS55" i="4"/>
  <c r="BE55" i="4"/>
  <c r="BQ55" i="4"/>
  <c r="CC55" i="4"/>
  <c r="CO55" i="4"/>
  <c r="DA55" i="4"/>
  <c r="W55" i="4"/>
  <c r="AI55" i="4"/>
  <c r="AU55" i="4"/>
  <c r="BG55" i="4"/>
  <c r="BS55" i="4"/>
  <c r="CE55" i="4"/>
  <c r="CQ55" i="4"/>
  <c r="DC55" i="4"/>
  <c r="J32" i="4"/>
  <c r="J36" i="4"/>
  <c r="K38" i="4"/>
  <c r="J34" i="4"/>
  <c r="K34" i="4"/>
  <c r="J38" i="4"/>
  <c r="K36" i="4"/>
  <c r="K32" i="4"/>
  <c r="H31" i="4" l="1"/>
  <c r="M56" i="4"/>
  <c r="N56" i="4" s="1"/>
  <c r="O56" i="4" s="1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AM56" i="4" s="1"/>
  <c r="AN56" i="4" s="1"/>
  <c r="AO56" i="4" s="1"/>
  <c r="AP56" i="4" s="1"/>
  <c r="AQ56" i="4" s="1"/>
  <c r="AR56" i="4" s="1"/>
  <c r="AS56" i="4" s="1"/>
  <c r="AT56" i="4" s="1"/>
  <c r="AU56" i="4" s="1"/>
  <c r="AV56" i="4" s="1"/>
  <c r="AW56" i="4" s="1"/>
  <c r="AX56" i="4" s="1"/>
  <c r="AY56" i="4" s="1"/>
  <c r="AZ56" i="4" s="1"/>
  <c r="BA56" i="4" s="1"/>
  <c r="BB56" i="4" s="1"/>
  <c r="BC56" i="4" s="1"/>
  <c r="BD56" i="4" s="1"/>
  <c r="BE56" i="4" s="1"/>
  <c r="BF56" i="4" s="1"/>
  <c r="BG56" i="4" s="1"/>
  <c r="BH56" i="4" s="1"/>
  <c r="BI56" i="4" s="1"/>
  <c r="BJ56" i="4" s="1"/>
  <c r="BK56" i="4" s="1"/>
  <c r="BL56" i="4" s="1"/>
  <c r="BM56" i="4" s="1"/>
  <c r="BN56" i="4" s="1"/>
  <c r="BO56" i="4" s="1"/>
  <c r="BP56" i="4" s="1"/>
  <c r="BQ56" i="4" s="1"/>
  <c r="BR56" i="4" s="1"/>
  <c r="BS56" i="4" s="1"/>
  <c r="BT56" i="4" s="1"/>
  <c r="BU56" i="4" s="1"/>
  <c r="BV56" i="4" s="1"/>
  <c r="BW56" i="4" s="1"/>
  <c r="BX56" i="4" s="1"/>
  <c r="BY56" i="4" s="1"/>
  <c r="BZ56" i="4" s="1"/>
  <c r="CA56" i="4" s="1"/>
  <c r="CB56" i="4" s="1"/>
  <c r="CC56" i="4" s="1"/>
  <c r="CD56" i="4" s="1"/>
  <c r="CE56" i="4" s="1"/>
  <c r="CF56" i="4" s="1"/>
  <c r="CG56" i="4" s="1"/>
  <c r="CH56" i="4" s="1"/>
  <c r="CI56" i="4" s="1"/>
  <c r="CJ56" i="4" s="1"/>
  <c r="CK56" i="4" s="1"/>
  <c r="CL56" i="4" s="1"/>
  <c r="CM56" i="4" s="1"/>
  <c r="CN56" i="4" s="1"/>
  <c r="CO56" i="4" s="1"/>
  <c r="CP56" i="4" s="1"/>
  <c r="CQ56" i="4" s="1"/>
  <c r="CR56" i="4" s="1"/>
  <c r="CS56" i="4" s="1"/>
  <c r="CT56" i="4" s="1"/>
  <c r="CU56" i="4" s="1"/>
  <c r="CV56" i="4" s="1"/>
  <c r="CW56" i="4" s="1"/>
  <c r="CX56" i="4" s="1"/>
  <c r="CY56" i="4" s="1"/>
  <c r="CZ56" i="4" s="1"/>
  <c r="DA56" i="4" s="1"/>
  <c r="DB56" i="4" s="1"/>
  <c r="DC56" i="4" s="1"/>
  <c r="DD56" i="4" s="1"/>
  <c r="DE56" i="4" s="1"/>
  <c r="DF56" i="4" s="1"/>
  <c r="DG56" i="4" s="1"/>
  <c r="DH56" i="4" s="1"/>
  <c r="DI56" i="4" s="1"/>
  <c r="DJ56" i="4" s="1"/>
  <c r="DK56" i="4" s="1"/>
  <c r="DL56" i="4" s="1"/>
  <c r="K31" i="4" l="1"/>
  <c r="DE31" i="4" s="1"/>
  <c r="G33" i="4"/>
  <c r="M8" i="4"/>
  <c r="N8" i="4" s="1"/>
  <c r="O8" i="4" s="1"/>
  <c r="P8" i="4" s="1"/>
  <c r="Q8" i="4" s="1"/>
  <c r="K52" i="4"/>
  <c r="J52" i="4"/>
  <c r="K50" i="4"/>
  <c r="J50" i="4"/>
  <c r="K46" i="4"/>
  <c r="J46" i="4"/>
  <c r="K44" i="4"/>
  <c r="J44" i="4"/>
  <c r="K42" i="4"/>
  <c r="J42" i="4"/>
  <c r="K40" i="4"/>
  <c r="J40" i="4"/>
  <c r="K30" i="4"/>
  <c r="J30" i="4"/>
  <c r="K26" i="4"/>
  <c r="J26" i="4"/>
  <c r="K22" i="4"/>
  <c r="J22" i="4"/>
  <c r="K14" i="4"/>
  <c r="J14" i="4"/>
  <c r="L7" i="4"/>
  <c r="L6" i="4"/>
  <c r="BM31" i="4" l="1"/>
  <c r="AA31" i="4"/>
  <c r="BI31" i="4"/>
  <c r="AF31" i="4"/>
  <c r="CB31" i="4"/>
  <c r="AP31" i="4"/>
  <c r="BV31" i="4"/>
  <c r="DJ31" i="4"/>
  <c r="CS31" i="4"/>
  <c r="BF31" i="4"/>
  <c r="CI31" i="4"/>
  <c r="CY31" i="4"/>
  <c r="CG31" i="4"/>
  <c r="CL31" i="4"/>
  <c r="CV31" i="4"/>
  <c r="CU31" i="4"/>
  <c r="BS31" i="4"/>
  <c r="CW31" i="4"/>
  <c r="BW31" i="4"/>
  <c r="DI31" i="4"/>
  <c r="P31" i="4"/>
  <c r="AE31" i="4"/>
  <c r="DL31" i="4"/>
  <c r="AB31" i="4"/>
  <c r="CD31" i="4"/>
  <c r="AY31" i="4"/>
  <c r="DG31" i="4"/>
  <c r="W31" i="4"/>
  <c r="BX31" i="4"/>
  <c r="CQ31" i="4"/>
  <c r="AZ31" i="4"/>
  <c r="AN31" i="4"/>
  <c r="AM31" i="4"/>
  <c r="DB31" i="4"/>
  <c r="L31" i="4"/>
  <c r="S31" i="4"/>
  <c r="DK31" i="4"/>
  <c r="BB31" i="4"/>
  <c r="AC31" i="4"/>
  <c r="X31" i="4"/>
  <c r="BC31" i="4"/>
  <c r="CE31" i="4"/>
  <c r="BU31" i="4"/>
  <c r="AS31" i="4"/>
  <c r="AJ31" i="4"/>
  <c r="CP31" i="4"/>
  <c r="AG31" i="4"/>
  <c r="CK31" i="4"/>
  <c r="AH31" i="4"/>
  <c r="AV31" i="4"/>
  <c r="BK31" i="4"/>
  <c r="AX31" i="4"/>
  <c r="CZ31" i="4"/>
  <c r="AU31" i="4"/>
  <c r="CT31" i="4"/>
  <c r="T31" i="4"/>
  <c r="R31" i="4"/>
  <c r="BR31" i="4"/>
  <c r="N31" i="4"/>
  <c r="DD31" i="4"/>
  <c r="BQ31" i="4"/>
  <c r="U31" i="4"/>
  <c r="CM31" i="4"/>
  <c r="BE31" i="4"/>
  <c r="BP31" i="4"/>
  <c r="AW31" i="4"/>
  <c r="BZ31" i="4"/>
  <c r="CO31" i="4"/>
  <c r="CR31" i="4"/>
  <c r="BD31" i="4"/>
  <c r="DC31" i="4"/>
  <c r="BG31" i="4"/>
  <c r="AO31" i="4"/>
  <c r="BA31" i="4"/>
  <c r="CC31" i="4"/>
  <c r="AK31" i="4"/>
  <c r="CJ31" i="4"/>
  <c r="CF31" i="4"/>
  <c r="AQ31" i="4"/>
  <c r="CN31" i="4"/>
  <c r="AR31" i="4"/>
  <c r="Z31" i="4"/>
  <c r="AL31" i="4"/>
  <c r="CA31" i="4"/>
  <c r="AI31" i="4"/>
  <c r="Y31" i="4"/>
  <c r="BT31" i="4"/>
  <c r="AD31" i="4"/>
  <c r="BY31" i="4"/>
  <c r="M31" i="4"/>
  <c r="CX31" i="4"/>
  <c r="V31" i="4"/>
  <c r="BN31" i="4"/>
  <c r="DF31" i="4"/>
  <c r="O31" i="4"/>
  <c r="BH31" i="4"/>
  <c r="Q31" i="4"/>
  <c r="BJ31" i="4"/>
  <c r="DA31" i="4"/>
  <c r="CH31" i="4"/>
  <c r="DH31" i="4"/>
  <c r="AT31" i="4"/>
  <c r="BO31" i="4"/>
  <c r="BL31" i="4"/>
  <c r="H33" i="4"/>
  <c r="J33" i="4"/>
  <c r="R8" i="4"/>
  <c r="S8" i="4" s="1"/>
  <c r="T8" i="4" s="1"/>
  <c r="U8" i="4" s="1"/>
  <c r="Q7" i="4"/>
  <c r="G37" i="4" l="1"/>
  <c r="G35" i="4"/>
  <c r="K33" i="4"/>
  <c r="U7" i="4"/>
  <c r="V8" i="4"/>
  <c r="W8" i="4" s="1"/>
  <c r="X8" i="4" s="1"/>
  <c r="Y8" i="4" s="1"/>
  <c r="J35" i="4" l="1"/>
  <c r="H35" i="4"/>
  <c r="AA33" i="4"/>
  <c r="AD33" i="4"/>
  <c r="AX33" i="4"/>
  <c r="CB33" i="4"/>
  <c r="DE33" i="4"/>
  <c r="Z33" i="4"/>
  <c r="CL33" i="4"/>
  <c r="BZ33" i="4"/>
  <c r="BI33" i="4"/>
  <c r="AV33" i="4"/>
  <c r="CM33" i="4"/>
  <c r="CT33" i="4"/>
  <c r="CK33" i="4"/>
  <c r="AW33" i="4"/>
  <c r="AF33" i="4"/>
  <c r="BG33" i="4"/>
  <c r="BR33" i="4"/>
  <c r="BA33" i="4"/>
  <c r="BP33" i="4"/>
  <c r="CG33" i="4"/>
  <c r="BV33" i="4"/>
  <c r="DL33" i="4"/>
  <c r="P33" i="4"/>
  <c r="AR33" i="4"/>
  <c r="BB33" i="4"/>
  <c r="M33" i="4"/>
  <c r="AC33" i="4"/>
  <c r="DG33" i="4"/>
  <c r="BT33" i="4"/>
  <c r="BH33" i="4"/>
  <c r="CV33" i="4"/>
  <c r="DJ33" i="4"/>
  <c r="AB33" i="4"/>
  <c r="AL33" i="4"/>
  <c r="BU33" i="4"/>
  <c r="DB33" i="4"/>
  <c r="CU33" i="4"/>
  <c r="DI33" i="4"/>
  <c r="AU33" i="4"/>
  <c r="CC33" i="4"/>
  <c r="CQ33" i="4"/>
  <c r="L33" i="4"/>
  <c r="W33" i="4"/>
  <c r="AK33" i="4"/>
  <c r="BO33" i="4"/>
  <c r="CI33" i="4"/>
  <c r="CS33" i="4"/>
  <c r="AH33" i="4"/>
  <c r="BM33" i="4"/>
  <c r="CA33" i="4"/>
  <c r="DD33" i="4"/>
  <c r="CX33" i="4"/>
  <c r="AZ33" i="4"/>
  <c r="Y33" i="4"/>
  <c r="BW33" i="4"/>
  <c r="U33" i="4"/>
  <c r="AG33" i="4"/>
  <c r="BJ33" i="4"/>
  <c r="CN33" i="4"/>
  <c r="BE33" i="4"/>
  <c r="CF33" i="4"/>
  <c r="CZ33" i="4"/>
  <c r="BK33" i="4"/>
  <c r="CW33" i="4"/>
  <c r="AT33" i="4"/>
  <c r="CH33" i="4"/>
  <c r="CD33" i="4"/>
  <c r="BC33" i="4"/>
  <c r="AS33" i="4"/>
  <c r="AM33" i="4"/>
  <c r="CR33" i="4"/>
  <c r="T33" i="4"/>
  <c r="O33" i="4"/>
  <c r="Q33" i="4"/>
  <c r="AI33" i="4"/>
  <c r="BL33" i="4"/>
  <c r="CO33" i="4"/>
  <c r="DA33" i="4"/>
  <c r="AO33" i="4"/>
  <c r="AN33" i="4"/>
  <c r="V33" i="4"/>
  <c r="DH33" i="4"/>
  <c r="CY33" i="4"/>
  <c r="S33" i="4"/>
  <c r="BY33" i="4"/>
  <c r="CJ33" i="4"/>
  <c r="DC33" i="4"/>
  <c r="R33" i="4"/>
  <c r="BX33" i="4"/>
  <c r="X33" i="4"/>
  <c r="AY33" i="4"/>
  <c r="DK33" i="4"/>
  <c r="BF33" i="4"/>
  <c r="N33" i="4"/>
  <c r="AP33" i="4"/>
  <c r="BS33" i="4"/>
  <c r="CE33" i="4"/>
  <c r="BQ33" i="4"/>
  <c r="CP33" i="4"/>
  <c r="BD33" i="4"/>
  <c r="AE33" i="4"/>
  <c r="DF33" i="4"/>
  <c r="AQ33" i="4"/>
  <c r="BN33" i="4"/>
  <c r="AJ33" i="4"/>
  <c r="G41" i="4"/>
  <c r="H37" i="4"/>
  <c r="J37" i="4"/>
  <c r="Z8" i="4"/>
  <c r="K48" i="4"/>
  <c r="J48" i="4"/>
  <c r="K12" i="4"/>
  <c r="J12" i="4"/>
  <c r="H41" i="4" l="1"/>
  <c r="G43" i="4" s="1"/>
  <c r="H43" i="4" s="1"/>
  <c r="G45" i="4" s="1"/>
  <c r="H45" i="4" s="1"/>
  <c r="K35" i="4"/>
  <c r="G39" i="4"/>
  <c r="K37" i="4"/>
  <c r="AA8" i="4"/>
  <c r="AB8" i="4" s="1"/>
  <c r="AC8" i="4" s="1"/>
  <c r="AD8" i="4" s="1"/>
  <c r="AE8" i="4" s="1"/>
  <c r="AF8" i="4" s="1"/>
  <c r="AG8" i="4" s="1"/>
  <c r="AH8" i="4" s="1"/>
  <c r="Z7" i="4"/>
  <c r="Q37" i="4" l="1"/>
  <c r="X37" i="4"/>
  <c r="AD37" i="4"/>
  <c r="CK37" i="4"/>
  <c r="AH37" i="4"/>
  <c r="CU37" i="4"/>
  <c r="O37" i="4"/>
  <c r="AA37" i="4"/>
  <c r="DK37" i="4"/>
  <c r="BE37" i="4"/>
  <c r="N37" i="4"/>
  <c r="AC37" i="4"/>
  <c r="DG37" i="4"/>
  <c r="CC37" i="4"/>
  <c r="AG37" i="4"/>
  <c r="R37" i="4"/>
  <c r="AV37" i="4"/>
  <c r="L37" i="4"/>
  <c r="DA37" i="4"/>
  <c r="BV37" i="4"/>
  <c r="S37" i="4"/>
  <c r="CE37" i="4"/>
  <c r="CH37" i="4"/>
  <c r="CX37" i="4"/>
  <c r="BJ37" i="4"/>
  <c r="CS37" i="4"/>
  <c r="DL37" i="4"/>
  <c r="DC37" i="4"/>
  <c r="BW37" i="4"/>
  <c r="W37" i="4"/>
  <c r="AN37" i="4"/>
  <c r="BR37" i="4"/>
  <c r="BS37" i="4"/>
  <c r="AZ37" i="4"/>
  <c r="V37" i="4"/>
  <c r="AY37" i="4"/>
  <c r="Z37" i="4"/>
  <c r="BO37" i="4"/>
  <c r="CP37" i="4"/>
  <c r="DD37" i="4"/>
  <c r="Y37" i="4"/>
  <c r="M37" i="4"/>
  <c r="BN37" i="4"/>
  <c r="CB37" i="4"/>
  <c r="BG37" i="4"/>
  <c r="AX37" i="4"/>
  <c r="BC37" i="4"/>
  <c r="AQ37" i="4"/>
  <c r="CR37" i="4"/>
  <c r="BB37" i="4"/>
  <c r="AU37" i="4"/>
  <c r="DI37" i="4"/>
  <c r="CT37" i="4"/>
  <c r="DF37" i="4"/>
  <c r="CJ37" i="4"/>
  <c r="CL37" i="4"/>
  <c r="AK37" i="4"/>
  <c r="CF37" i="4"/>
  <c r="AL37" i="4"/>
  <c r="BD37" i="4"/>
  <c r="AB37" i="4"/>
  <c r="AS37" i="4"/>
  <c r="BI37" i="4"/>
  <c r="CQ37" i="4"/>
  <c r="AE37" i="4"/>
  <c r="BU37" i="4"/>
  <c r="DB37" i="4"/>
  <c r="U37" i="4"/>
  <c r="AI37" i="4"/>
  <c r="CY37" i="4"/>
  <c r="AF37" i="4"/>
  <c r="BA37" i="4"/>
  <c r="DE37" i="4"/>
  <c r="BM37" i="4"/>
  <c r="DJ37" i="4"/>
  <c r="P37" i="4"/>
  <c r="CZ37" i="4"/>
  <c r="AM37" i="4"/>
  <c r="AT37" i="4"/>
  <c r="BL37" i="4"/>
  <c r="CM37" i="4"/>
  <c r="CD37" i="4"/>
  <c r="BT37" i="4"/>
  <c r="AR37" i="4"/>
  <c r="AO37" i="4"/>
  <c r="AJ37" i="4"/>
  <c r="CV37" i="4"/>
  <c r="BZ37" i="4"/>
  <c r="BY37" i="4"/>
  <c r="BP37" i="4"/>
  <c r="BH37" i="4"/>
  <c r="T37" i="4"/>
  <c r="CA37" i="4"/>
  <c r="CG37" i="4"/>
  <c r="AP37" i="4"/>
  <c r="BF37" i="4"/>
  <c r="CN37" i="4"/>
  <c r="CW37" i="4"/>
  <c r="BX37" i="4"/>
  <c r="AW37" i="4"/>
  <c r="BQ37" i="4"/>
  <c r="CO37" i="4"/>
  <c r="DH37" i="4"/>
  <c r="BK37" i="4"/>
  <c r="CI37" i="4"/>
  <c r="H39" i="4"/>
  <c r="G49" i="4" s="1"/>
  <c r="R35" i="4"/>
  <c r="DA35" i="4"/>
  <c r="CI35" i="4"/>
  <c r="V35" i="4"/>
  <c r="AK35" i="4"/>
  <c r="CE35" i="4"/>
  <c r="BY35" i="4"/>
  <c r="DK35" i="4"/>
  <c r="CQ35" i="4"/>
  <c r="BH35" i="4"/>
  <c r="X35" i="4"/>
  <c r="O35" i="4"/>
  <c r="DF35" i="4"/>
  <c r="BW35" i="4"/>
  <c r="AB35" i="4"/>
  <c r="BA35" i="4"/>
  <c r="AP35" i="4"/>
  <c r="AI35" i="4"/>
  <c r="T35" i="4"/>
  <c r="DE35" i="4"/>
  <c r="AJ35" i="4"/>
  <c r="BU35" i="4"/>
  <c r="AD35" i="4"/>
  <c r="CZ35" i="4"/>
  <c r="W35" i="4"/>
  <c r="CL35" i="4"/>
  <c r="BD35" i="4"/>
  <c r="CT35" i="4"/>
  <c r="BF35" i="4"/>
  <c r="BZ35" i="4"/>
  <c r="BS35" i="4"/>
  <c r="BI35" i="4"/>
  <c r="CF35" i="4"/>
  <c r="CP35" i="4"/>
  <c r="CD35" i="4"/>
  <c r="DC35" i="4"/>
  <c r="AM35" i="4"/>
  <c r="AZ35" i="4"/>
  <c r="DB35" i="4"/>
  <c r="CU35" i="4"/>
  <c r="BO35" i="4"/>
  <c r="M35" i="4"/>
  <c r="BM35" i="4"/>
  <c r="AY35" i="4"/>
  <c r="L35" i="4"/>
  <c r="AQ35" i="4"/>
  <c r="AR35" i="4"/>
  <c r="CO35" i="4"/>
  <c r="AH35" i="4"/>
  <c r="DH35" i="4"/>
  <c r="CN35" i="4"/>
  <c r="AT35" i="4"/>
  <c r="AW35" i="4"/>
  <c r="BB35" i="4"/>
  <c r="BV35" i="4"/>
  <c r="DI35" i="4"/>
  <c r="BX35" i="4"/>
  <c r="DJ35" i="4"/>
  <c r="BR35" i="4"/>
  <c r="CM35" i="4"/>
  <c r="DD35" i="4"/>
  <c r="S35" i="4"/>
  <c r="CB35" i="4"/>
  <c r="CC35" i="4"/>
  <c r="BP35" i="4"/>
  <c r="BC35" i="4"/>
  <c r="CK35" i="4"/>
  <c r="AN35" i="4"/>
  <c r="U35" i="4"/>
  <c r="CG35" i="4"/>
  <c r="AV35" i="4"/>
  <c r="CV35" i="4"/>
  <c r="BL35" i="4"/>
  <c r="CR35" i="4"/>
  <c r="DG35" i="4"/>
  <c r="AA35" i="4"/>
  <c r="AL35" i="4"/>
  <c r="CJ35" i="4"/>
  <c r="AS35" i="4"/>
  <c r="AC35" i="4"/>
  <c r="BG35" i="4"/>
  <c r="BQ35" i="4"/>
  <c r="AX35" i="4"/>
  <c r="AG35" i="4"/>
  <c r="Y35" i="4"/>
  <c r="BN35" i="4"/>
  <c r="AO35" i="4"/>
  <c r="AF35" i="4"/>
  <c r="Q35" i="4"/>
  <c r="BE35" i="4"/>
  <c r="BK35" i="4"/>
  <c r="CH35" i="4"/>
  <c r="Z35" i="4"/>
  <c r="CY35" i="4"/>
  <c r="AE35" i="4"/>
  <c r="N35" i="4"/>
  <c r="CX35" i="4"/>
  <c r="BJ35" i="4"/>
  <c r="BT35" i="4"/>
  <c r="DL35" i="4"/>
  <c r="CS35" i="4"/>
  <c r="CW35" i="4"/>
  <c r="P35" i="4"/>
  <c r="AU35" i="4"/>
  <c r="CA35" i="4"/>
  <c r="AD7" i="4"/>
  <c r="AH7" i="4"/>
  <c r="AI8" i="4"/>
  <c r="AJ8" i="4" s="1"/>
  <c r="AK8" i="4" s="1"/>
  <c r="AL8" i="4" s="1"/>
  <c r="I27" i="4" l="1"/>
  <c r="AM8" i="4"/>
  <c r="H49" i="4" l="1"/>
  <c r="AN8" i="4"/>
  <c r="AO8" i="4" s="1"/>
  <c r="AP8" i="4" s="1"/>
  <c r="AQ8" i="4" s="1"/>
  <c r="AR8" i="4" s="1"/>
  <c r="AS8" i="4" s="1"/>
  <c r="AT8" i="4" s="1"/>
  <c r="AU8" i="4" s="1"/>
  <c r="AM7" i="4"/>
  <c r="J28" i="4"/>
  <c r="K28" i="4"/>
  <c r="G51" i="4" l="1"/>
  <c r="H51" i="4" s="1"/>
  <c r="H47" i="4" s="1"/>
  <c r="AQ7" i="4"/>
  <c r="AV8" i="4"/>
  <c r="AU7" i="4"/>
  <c r="G47" i="4" l="1"/>
  <c r="I47" i="4" s="1"/>
  <c r="AW8" i="4"/>
  <c r="AX8" i="4" s="1"/>
  <c r="AY8" i="4" s="1"/>
  <c r="AZ8" i="4" s="1"/>
  <c r="BA8" i="4" s="1"/>
  <c r="BB8" i="4" s="1"/>
  <c r="BC8" i="4" s="1"/>
  <c r="BD8" i="4" s="1"/>
  <c r="AZ7" i="4" l="1"/>
  <c r="BD7" i="4"/>
  <c r="BE8" i="4"/>
  <c r="BF8" i="4" l="1"/>
  <c r="BG8" i="4" s="1"/>
  <c r="BH8" i="4" s="1"/>
  <c r="BI8" i="4" s="1"/>
  <c r="BJ8" i="4" s="1"/>
  <c r="BK8" i="4" s="1"/>
  <c r="BL8" i="4" s="1"/>
  <c r="BM8" i="4" s="1"/>
  <c r="BH7" i="4" l="1"/>
  <c r="BN8" i="4"/>
  <c r="BO8" i="4" s="1"/>
  <c r="BP8" i="4" s="1"/>
  <c r="BQ8" i="4" s="1"/>
  <c r="BR8" i="4" s="1"/>
  <c r="BM7" i="4"/>
  <c r="BM6" i="4"/>
  <c r="BS8" i="4" l="1"/>
  <c r="BT8" i="4" s="1"/>
  <c r="BU8" i="4" s="1"/>
  <c r="BQ7" i="4"/>
  <c r="BV8" i="4" l="1"/>
  <c r="BW8" i="4" s="1"/>
  <c r="BX8" i="4" s="1"/>
  <c r="BY8" i="4" s="1"/>
  <c r="BZ8" i="4" s="1"/>
  <c r="BU7" i="4" l="1"/>
  <c r="BZ7" i="4"/>
  <c r="CA8" i="4"/>
  <c r="CB8" i="4" s="1"/>
  <c r="CC8" i="4" s="1"/>
  <c r="CD8" i="4" s="1"/>
  <c r="CE8" i="4" s="1"/>
  <c r="CD7" i="4" l="1"/>
  <c r="CF8" i="4"/>
  <c r="CG8" i="4" s="1"/>
  <c r="CH8" i="4" s="1"/>
  <c r="CI8" i="4" s="1"/>
  <c r="CJ8" i="4" l="1"/>
  <c r="CK8" i="4" s="1"/>
  <c r="CL8" i="4" s="1"/>
  <c r="CM8" i="4" s="1"/>
  <c r="CH7" i="4"/>
  <c r="CM7" i="4" l="1"/>
  <c r="CN8" i="4"/>
  <c r="CO8" i="4" s="1"/>
  <c r="CP8" i="4" s="1"/>
  <c r="CQ8" i="4" s="1"/>
  <c r="CR8" i="4" s="1"/>
  <c r="CQ7" i="4" l="1"/>
  <c r="CS8" i="4"/>
  <c r="CT8" i="4" s="1"/>
  <c r="CU8" i="4" s="1"/>
  <c r="CV8" i="4" s="1"/>
  <c r="CW8" i="4" l="1"/>
  <c r="CX8" i="4" s="1"/>
  <c r="CY8" i="4" s="1"/>
  <c r="CZ8" i="4" s="1"/>
  <c r="DA8" i="4" s="1"/>
  <c r="CV7" i="4"/>
  <c r="DB8" i="4" l="1"/>
  <c r="DC8" i="4" s="1"/>
  <c r="DD8" i="4" s="1"/>
  <c r="DE8" i="4" s="1"/>
  <c r="CZ7" i="4"/>
  <c r="DF8" i="4" l="1"/>
  <c r="DG8" i="4" s="1"/>
  <c r="DH8" i="4" s="1"/>
  <c r="DI8" i="4" s="1"/>
  <c r="DD7" i="4"/>
  <c r="DI7" i="4" l="1"/>
  <c r="DJ8" i="4"/>
  <c r="DK8" i="4" s="1"/>
  <c r="DL8" i="4" s="1"/>
  <c r="J13" i="4" l="1"/>
  <c r="K13" i="4" l="1"/>
  <c r="U13" i="4" l="1"/>
  <c r="AG13" i="4"/>
  <c r="AS13" i="4"/>
  <c r="BE13" i="4"/>
  <c r="BQ13" i="4"/>
  <c r="S13" i="4"/>
  <c r="AF13" i="4"/>
  <c r="AT13" i="4"/>
  <c r="BG13" i="4"/>
  <c r="BT13" i="4"/>
  <c r="CF13" i="4"/>
  <c r="CR13" i="4"/>
  <c r="DD13" i="4"/>
  <c r="M13" i="4"/>
  <c r="AA13" i="4"/>
  <c r="AO13" i="4"/>
  <c r="BC13" i="4"/>
  <c r="BR13" i="4"/>
  <c r="CE13" i="4"/>
  <c r="CS13" i="4"/>
  <c r="DF13" i="4"/>
  <c r="AB13" i="4"/>
  <c r="BS13" i="4"/>
  <c r="DG13" i="4"/>
  <c r="AQ13" i="4"/>
  <c r="CH13" i="4"/>
  <c r="DH13" i="4"/>
  <c r="N13" i="4"/>
  <c r="AP13" i="4"/>
  <c r="BD13" i="4"/>
  <c r="CG13" i="4"/>
  <c r="CT13" i="4"/>
  <c r="AC13" i="4"/>
  <c r="BF13" i="4"/>
  <c r="CU13" i="4"/>
  <c r="O13" i="4"/>
  <c r="BU13" i="4"/>
  <c r="P13" i="4"/>
  <c r="AD13" i="4"/>
  <c r="AR13" i="4"/>
  <c r="BH13" i="4"/>
  <c r="BV13" i="4"/>
  <c r="CI13" i="4"/>
  <c r="CV13" i="4"/>
  <c r="DI13" i="4"/>
  <c r="R13" i="4"/>
  <c r="AH13" i="4"/>
  <c r="T13" i="4"/>
  <c r="AI13" i="4"/>
  <c r="AW13" i="4"/>
  <c r="BK13" i="4"/>
  <c r="BY13" i="4"/>
  <c r="CL13" i="4"/>
  <c r="CY13" i="4"/>
  <c r="DL13" i="4"/>
  <c r="AJ13" i="4"/>
  <c r="BI13" i="4"/>
  <c r="CC13" i="4"/>
  <c r="DA13" i="4"/>
  <c r="AK13" i="4"/>
  <c r="BJ13" i="4"/>
  <c r="CD13" i="4"/>
  <c r="DB13" i="4"/>
  <c r="CJ13" i="4"/>
  <c r="BN13" i="4"/>
  <c r="L13" i="4"/>
  <c r="BL13" i="4"/>
  <c r="DC13" i="4"/>
  <c r="AM13" i="4"/>
  <c r="CK13" i="4"/>
  <c r="AN13" i="4"/>
  <c r="AV13" i="4"/>
  <c r="BP13" i="4"/>
  <c r="AL13" i="4"/>
  <c r="CM13" i="4"/>
  <c r="DJ13" i="4"/>
  <c r="V13" i="4"/>
  <c r="CO13" i="4"/>
  <c r="BM13" i="4"/>
  <c r="DE13" i="4"/>
  <c r="Q13" i="4"/>
  <c r="AU13" i="4"/>
  <c r="BO13" i="4"/>
  <c r="CN13" i="4"/>
  <c r="DK13" i="4"/>
  <c r="X13" i="4"/>
  <c r="AY13" i="4"/>
  <c r="BX13" i="4"/>
  <c r="CQ13" i="4"/>
  <c r="Y13" i="4"/>
  <c r="AZ13" i="4"/>
  <c r="BZ13" i="4"/>
  <c r="CW13" i="4"/>
  <c r="Z13" i="4"/>
  <c r="AE13" i="4"/>
  <c r="AX13" i="4"/>
  <c r="BW13" i="4"/>
  <c r="CA13" i="4"/>
  <c r="BA13" i="4"/>
  <c r="BB13" i="4"/>
  <c r="CB13" i="4"/>
  <c r="CP13" i="4"/>
  <c r="CX13" i="4"/>
  <c r="CZ13" i="4"/>
  <c r="W13" i="4"/>
  <c r="J21" i="4"/>
  <c r="K21" i="4" l="1"/>
  <c r="DG21" i="4" l="1"/>
  <c r="CU21" i="4"/>
  <c r="CI21" i="4"/>
  <c r="BW21" i="4"/>
  <c r="BK21" i="4"/>
  <c r="AY21" i="4"/>
  <c r="AM21" i="4"/>
  <c r="AA21" i="4"/>
  <c r="O21" i="4"/>
  <c r="DE21" i="4"/>
  <c r="CR21" i="4"/>
  <c r="CE21" i="4"/>
  <c r="BR21" i="4"/>
  <c r="BE21" i="4"/>
  <c r="AR21" i="4"/>
  <c r="AE21" i="4"/>
  <c r="R21" i="4"/>
  <c r="DH21" i="4"/>
  <c r="CS21" i="4"/>
  <c r="CD21" i="4"/>
  <c r="BP21" i="4"/>
  <c r="BB21" i="4"/>
  <c r="AN21" i="4"/>
  <c r="Y21" i="4"/>
  <c r="CQ21" i="4"/>
  <c r="BA21" i="4"/>
  <c r="X21" i="4"/>
  <c r="CB21" i="4"/>
  <c r="AK21" i="4"/>
  <c r="DF21" i="4"/>
  <c r="CC21" i="4"/>
  <c r="BO21" i="4"/>
  <c r="AL21" i="4"/>
  <c r="DD21" i="4"/>
  <c r="BN21" i="4"/>
  <c r="W21" i="4"/>
  <c r="CP21" i="4"/>
  <c r="AZ21" i="4"/>
  <c r="DC21" i="4"/>
  <c r="CO21" i="4"/>
  <c r="CA21" i="4"/>
  <c r="BM21" i="4"/>
  <c r="AX21" i="4"/>
  <c r="AJ21" i="4"/>
  <c r="V21" i="4"/>
  <c r="DA21" i="4"/>
  <c r="CM21" i="4"/>
  <c r="BY21" i="4"/>
  <c r="BJ21" i="4"/>
  <c r="AV21" i="4"/>
  <c r="AH21" i="4"/>
  <c r="T21" i="4"/>
  <c r="CZ21" i="4"/>
  <c r="CL21" i="4"/>
  <c r="BX21" i="4"/>
  <c r="BI21" i="4"/>
  <c r="AU21" i="4"/>
  <c r="AG21" i="4"/>
  <c r="S21" i="4"/>
  <c r="DK21" i="4"/>
  <c r="CW21" i="4"/>
  <c r="CH21" i="4"/>
  <c r="BT21" i="4"/>
  <c r="BF21" i="4"/>
  <c r="DL21" i="4"/>
  <c r="CF21" i="4"/>
  <c r="AT21" i="4"/>
  <c r="Q21" i="4"/>
  <c r="DJ21" i="4"/>
  <c r="BZ21" i="4"/>
  <c r="P21" i="4"/>
  <c r="AQ21" i="4"/>
  <c r="BS21" i="4"/>
  <c r="AF21" i="4"/>
  <c r="AS21" i="4"/>
  <c r="DI21" i="4"/>
  <c r="BV21" i="4"/>
  <c r="N21" i="4"/>
  <c r="BL21" i="4"/>
  <c r="CY21" i="4"/>
  <c r="AO21" i="4"/>
  <c r="L21" i="4"/>
  <c r="CV21" i="4"/>
  <c r="DB21" i="4"/>
  <c r="BU21" i="4"/>
  <c r="AP21" i="4"/>
  <c r="M21" i="4"/>
  <c r="CX21" i="4"/>
  <c r="BQ21" i="4"/>
  <c r="AI21" i="4"/>
  <c r="CN21" i="4"/>
  <c r="BG21" i="4"/>
  <c r="AC21" i="4"/>
  <c r="CK21" i="4"/>
  <c r="BD21" i="4"/>
  <c r="AB21" i="4"/>
  <c r="CG21" i="4"/>
  <c r="AW21" i="4"/>
  <c r="AD21" i="4"/>
  <c r="CT21" i="4"/>
  <c r="CJ21" i="4"/>
  <c r="BH21" i="4"/>
  <c r="BC21" i="4"/>
  <c r="Z21" i="4"/>
  <c r="U21" i="4"/>
  <c r="J25" i="4" l="1"/>
  <c r="J11" i="4" l="1"/>
  <c r="K25" i="4" l="1"/>
  <c r="DJ25" i="4" l="1"/>
  <c r="DJ11" i="4" s="1"/>
  <c r="CX25" i="4"/>
  <c r="CX11" i="4" s="1"/>
  <c r="CL25" i="4"/>
  <c r="CL11" i="4" s="1"/>
  <c r="BZ25" i="4"/>
  <c r="BZ11" i="4" s="1"/>
  <c r="BN25" i="4"/>
  <c r="BN11" i="4" s="1"/>
  <c r="BB25" i="4"/>
  <c r="BB11" i="4" s="1"/>
  <c r="AP25" i="4"/>
  <c r="AP11" i="4" s="1"/>
  <c r="AD25" i="4"/>
  <c r="AD11" i="4" s="1"/>
  <c r="R25" i="4"/>
  <c r="R11" i="4" s="1"/>
  <c r="DE25" i="4"/>
  <c r="DE11" i="4" s="1"/>
  <c r="CR25" i="4"/>
  <c r="CR11" i="4" s="1"/>
  <c r="CE25" i="4"/>
  <c r="CE11" i="4" s="1"/>
  <c r="BR25" i="4"/>
  <c r="BR11" i="4" s="1"/>
  <c r="BE25" i="4"/>
  <c r="BE11" i="4" s="1"/>
  <c r="AR25" i="4"/>
  <c r="AR11" i="4" s="1"/>
  <c r="AE25" i="4"/>
  <c r="AE11" i="4" s="1"/>
  <c r="Q25" i="4"/>
  <c r="Q11" i="4" s="1"/>
  <c r="DB25" i="4"/>
  <c r="DB11" i="4" s="1"/>
  <c r="CN25" i="4"/>
  <c r="CN11" i="4" s="1"/>
  <c r="BY25" i="4"/>
  <c r="BY11" i="4" s="1"/>
  <c r="BK25" i="4"/>
  <c r="BK11" i="4" s="1"/>
  <c r="AW25" i="4"/>
  <c r="AW11" i="4" s="1"/>
  <c r="AI25" i="4"/>
  <c r="AI11" i="4" s="1"/>
  <c r="U25" i="4"/>
  <c r="U11" i="4" s="1"/>
  <c r="CM25" i="4"/>
  <c r="CM11" i="4" s="1"/>
  <c r="AV25" i="4"/>
  <c r="AV11" i="4" s="1"/>
  <c r="T25" i="4"/>
  <c r="T11" i="4" s="1"/>
  <c r="CZ25" i="4"/>
  <c r="CZ11" i="4" s="1"/>
  <c r="BI25" i="4"/>
  <c r="BI11" i="4" s="1"/>
  <c r="S25" i="4"/>
  <c r="S11" i="4" s="1"/>
  <c r="DA25" i="4"/>
  <c r="DA11" i="4" s="1"/>
  <c r="BX25" i="4"/>
  <c r="BX11" i="4" s="1"/>
  <c r="BJ25" i="4"/>
  <c r="BJ11" i="4" s="1"/>
  <c r="AH25" i="4"/>
  <c r="AH11" i="4" s="1"/>
  <c r="AU25" i="4"/>
  <c r="AU11" i="4" s="1"/>
  <c r="CK25" i="4"/>
  <c r="CK11" i="4" s="1"/>
  <c r="BW25" i="4"/>
  <c r="BW11" i="4" s="1"/>
  <c r="AG25" i="4"/>
  <c r="AG11" i="4" s="1"/>
  <c r="CY25" i="4"/>
  <c r="CY11" i="4" s="1"/>
  <c r="CJ25" i="4"/>
  <c r="CJ11" i="4" s="1"/>
  <c r="BV25" i="4"/>
  <c r="BV11" i="4" s="1"/>
  <c r="BH25" i="4"/>
  <c r="BH11" i="4" s="1"/>
  <c r="AT25" i="4"/>
  <c r="AT11" i="4" s="1"/>
  <c r="AF25" i="4"/>
  <c r="AF11" i="4" s="1"/>
  <c r="P25" i="4"/>
  <c r="P11" i="4" s="1"/>
  <c r="DK25" i="4"/>
  <c r="DK11" i="4" s="1"/>
  <c r="CV25" i="4"/>
  <c r="CV11" i="4" s="1"/>
  <c r="CH25" i="4"/>
  <c r="CH11" i="4" s="1"/>
  <c r="BT25" i="4"/>
  <c r="BT11" i="4" s="1"/>
  <c r="BF25" i="4"/>
  <c r="BF11" i="4" s="1"/>
  <c r="AQ25" i="4"/>
  <c r="AQ11" i="4" s="1"/>
  <c r="AB25" i="4"/>
  <c r="AB11" i="4" s="1"/>
  <c r="N25" i="4"/>
  <c r="N11" i="4" s="1"/>
  <c r="DI25" i="4"/>
  <c r="DI11" i="4" s="1"/>
  <c r="CU25" i="4"/>
  <c r="CU11" i="4" s="1"/>
  <c r="CG25" i="4"/>
  <c r="CG11" i="4" s="1"/>
  <c r="BS25" i="4"/>
  <c r="BS11" i="4" s="1"/>
  <c r="BD25" i="4"/>
  <c r="BD11" i="4" s="1"/>
  <c r="AO25" i="4"/>
  <c r="AO11" i="4" s="1"/>
  <c r="AA25" i="4"/>
  <c r="AA11" i="4" s="1"/>
  <c r="M25" i="4"/>
  <c r="M11" i="4" s="1"/>
  <c r="DF25" i="4"/>
  <c r="DF11" i="4" s="1"/>
  <c r="CQ25" i="4"/>
  <c r="CQ11" i="4" s="1"/>
  <c r="CC25" i="4"/>
  <c r="CC11" i="4" s="1"/>
  <c r="BO25" i="4"/>
  <c r="BO11" i="4" s="1"/>
  <c r="AZ25" i="4"/>
  <c r="AZ11" i="4" s="1"/>
  <c r="AL25" i="4"/>
  <c r="AL11" i="4" s="1"/>
  <c r="X25" i="4"/>
  <c r="X11" i="4" s="1"/>
  <c r="DH25" i="4"/>
  <c r="DH11" i="4" s="1"/>
  <c r="CB25" i="4"/>
  <c r="CB11" i="4" s="1"/>
  <c r="AS25" i="4"/>
  <c r="AS11" i="4" s="1"/>
  <c r="DG25" i="4"/>
  <c r="DG11" i="4" s="1"/>
  <c r="CA25" i="4"/>
  <c r="CA11" i="4" s="1"/>
  <c r="AN25" i="4"/>
  <c r="AN11" i="4" s="1"/>
  <c r="DD25" i="4"/>
  <c r="DD11" i="4" s="1"/>
  <c r="AM25" i="4"/>
  <c r="AM11" i="4" s="1"/>
  <c r="BL25" i="4"/>
  <c r="BL11" i="4" s="1"/>
  <c r="BU25" i="4"/>
  <c r="BU11" i="4" s="1"/>
  <c r="AJ25" i="4"/>
  <c r="AJ11" i="4" s="1"/>
  <c r="Z25" i="4"/>
  <c r="Z11" i="4" s="1"/>
  <c r="BP25" i="4"/>
  <c r="BP11" i="4" s="1"/>
  <c r="CS25" i="4"/>
  <c r="CS11" i="4" s="1"/>
  <c r="DC25" i="4"/>
  <c r="DC11" i="4" s="1"/>
  <c r="BQ25" i="4"/>
  <c r="BQ11" i="4" s="1"/>
  <c r="AK25" i="4"/>
  <c r="AK11" i="4" s="1"/>
  <c r="CW25" i="4"/>
  <c r="CW11" i="4" s="1"/>
  <c r="CT25" i="4"/>
  <c r="CT11" i="4" s="1"/>
  <c r="BM25" i="4"/>
  <c r="BM11" i="4" s="1"/>
  <c r="AC25" i="4"/>
  <c r="AC11" i="4" s="1"/>
  <c r="CO25" i="4"/>
  <c r="CO11" i="4" s="1"/>
  <c r="BC25" i="4"/>
  <c r="BC11" i="4" s="1"/>
  <c r="W25" i="4"/>
  <c r="W11" i="4" s="1"/>
  <c r="CI25" i="4"/>
  <c r="CI11" i="4" s="1"/>
  <c r="BA25" i="4"/>
  <c r="BA11" i="4" s="1"/>
  <c r="V25" i="4"/>
  <c r="V11" i="4" s="1"/>
  <c r="O25" i="4"/>
  <c r="O11" i="4" s="1"/>
  <c r="L25" i="4"/>
  <c r="L11" i="4" s="1"/>
  <c r="AX25" i="4"/>
  <c r="AX11" i="4" s="1"/>
  <c r="DL25" i="4"/>
  <c r="DL11" i="4" s="1"/>
  <c r="CP25" i="4"/>
  <c r="CP11" i="4" s="1"/>
  <c r="CF25" i="4"/>
  <c r="CF11" i="4" s="1"/>
  <c r="CD25" i="4"/>
  <c r="CD11" i="4" s="1"/>
  <c r="BG25" i="4"/>
  <c r="BG11" i="4" s="1"/>
  <c r="Y25" i="4"/>
  <c r="Y11" i="4" s="1"/>
  <c r="AY25" i="4"/>
  <c r="AY11" i="4" s="1"/>
  <c r="K11" i="4"/>
  <c r="J51" i="4" l="1"/>
  <c r="K51" i="4"/>
  <c r="DG51" i="4" l="1"/>
  <c r="CU51" i="4"/>
  <c r="CI51" i="4"/>
  <c r="BW51" i="4"/>
  <c r="BK51" i="4"/>
  <c r="AY51" i="4"/>
  <c r="AM51" i="4"/>
  <c r="AA51" i="4"/>
  <c r="O51" i="4"/>
  <c r="DB51" i="4"/>
  <c r="CO51" i="4"/>
  <c r="CB51" i="4"/>
  <c r="BO51" i="4"/>
  <c r="BB51" i="4"/>
  <c r="AO51" i="4"/>
  <c r="AB51" i="4"/>
  <c r="N51" i="4"/>
  <c r="DC51" i="4"/>
  <c r="CN51" i="4"/>
  <c r="BZ51" i="4"/>
  <c r="BL51" i="4"/>
  <c r="AW51" i="4"/>
  <c r="AI51" i="4"/>
  <c r="U51" i="4"/>
  <c r="DH51" i="4"/>
  <c r="CR51" i="4"/>
  <c r="CC51" i="4"/>
  <c r="BM51" i="4"/>
  <c r="AV51" i="4"/>
  <c r="AG51" i="4"/>
  <c r="R51" i="4"/>
  <c r="CZ51" i="4"/>
  <c r="CK51" i="4"/>
  <c r="BU51" i="4"/>
  <c r="BF51" i="4"/>
  <c r="AQ51" i="4"/>
  <c r="Z51" i="4"/>
  <c r="DK51" i="4"/>
  <c r="CS51" i="4"/>
  <c r="BY51" i="4"/>
  <c r="BG51" i="4"/>
  <c r="AN51" i="4"/>
  <c r="V51" i="4"/>
  <c r="DJ51" i="4"/>
  <c r="CQ51" i="4"/>
  <c r="BX51" i="4"/>
  <c r="BE51" i="4"/>
  <c r="DD51" i="4"/>
  <c r="CJ51" i="4"/>
  <c r="BR51" i="4"/>
  <c r="AZ51" i="4"/>
  <c r="AF51" i="4"/>
  <c r="M51" i="4"/>
  <c r="DA51" i="4"/>
  <c r="CH51" i="4"/>
  <c r="BQ51" i="4"/>
  <c r="AX51" i="4"/>
  <c r="AE51" i="4"/>
  <c r="L51" i="4"/>
  <c r="CY51" i="4"/>
  <c r="CG51" i="4"/>
  <c r="BP51" i="4"/>
  <c r="AU51" i="4"/>
  <c r="AD51" i="4"/>
  <c r="CX51" i="4"/>
  <c r="CF51" i="4"/>
  <c r="BN51" i="4"/>
  <c r="AT51" i="4"/>
  <c r="AC51" i="4"/>
  <c r="CT51" i="4"/>
  <c r="BH51" i="4"/>
  <c r="X51" i="4"/>
  <c r="CP51" i="4"/>
  <c r="BD51" i="4"/>
  <c r="W51" i="4"/>
  <c r="CM51" i="4"/>
  <c r="BC51" i="4"/>
  <c r="T51" i="4"/>
  <c r="CL51" i="4"/>
  <c r="BA51" i="4"/>
  <c r="S51" i="4"/>
  <c r="CD51" i="4"/>
  <c r="AR51" i="4"/>
  <c r="P51" i="4"/>
  <c r="DL51" i="4"/>
  <c r="CA51" i="4"/>
  <c r="AP51" i="4"/>
  <c r="DE51" i="4"/>
  <c r="BS51" i="4"/>
  <c r="AJ51" i="4"/>
  <c r="CW51" i="4"/>
  <c r="Q51" i="4"/>
  <c r="CV51" i="4"/>
  <c r="AS51" i="4"/>
  <c r="CE51" i="4"/>
  <c r="AL51" i="4"/>
  <c r="BV51" i="4"/>
  <c r="BJ51" i="4"/>
  <c r="BT51" i="4"/>
  <c r="BI51" i="4"/>
  <c r="AK51" i="4"/>
  <c r="DI51" i="4"/>
  <c r="AH51" i="4"/>
  <c r="DF51" i="4"/>
  <c r="Y51" i="4"/>
  <c r="J49" i="4" l="1"/>
  <c r="K49" i="4"/>
  <c r="DA49" i="4" l="1"/>
  <c r="DA47" i="4" s="1"/>
  <c r="CO49" i="4"/>
  <c r="CO47" i="4" s="1"/>
  <c r="CC49" i="4"/>
  <c r="CC47" i="4" s="1"/>
  <c r="BQ49" i="4"/>
  <c r="BQ47" i="4" s="1"/>
  <c r="BE49" i="4"/>
  <c r="BE47" i="4" s="1"/>
  <c r="AS49" i="4"/>
  <c r="AS47" i="4" s="1"/>
  <c r="AG49" i="4"/>
  <c r="AG47" i="4" s="1"/>
  <c r="U49" i="4"/>
  <c r="U47" i="4" s="1"/>
  <c r="DC49" i="4"/>
  <c r="DC47" i="4" s="1"/>
  <c r="CP49" i="4"/>
  <c r="CP47" i="4" s="1"/>
  <c r="CB49" i="4"/>
  <c r="CB47" i="4" s="1"/>
  <c r="BO49" i="4"/>
  <c r="BO47" i="4" s="1"/>
  <c r="BB49" i="4"/>
  <c r="BB47" i="4" s="1"/>
  <c r="AO49" i="4"/>
  <c r="AO47" i="4" s="1"/>
  <c r="AB49" i="4"/>
  <c r="AB47" i="4" s="1"/>
  <c r="O49" i="4"/>
  <c r="O47" i="4" s="1"/>
  <c r="DL49" i="4"/>
  <c r="DL47" i="4" s="1"/>
  <c r="CX49" i="4"/>
  <c r="CX47" i="4" s="1"/>
  <c r="CJ49" i="4"/>
  <c r="CJ47" i="4" s="1"/>
  <c r="BV49" i="4"/>
  <c r="BV47" i="4" s="1"/>
  <c r="BH49" i="4"/>
  <c r="BH47" i="4" s="1"/>
  <c r="AT49" i="4"/>
  <c r="AT47" i="4" s="1"/>
  <c r="AE49" i="4"/>
  <c r="AE47" i="4" s="1"/>
  <c r="Q49" i="4"/>
  <c r="Q47" i="4" s="1"/>
  <c r="CY49" i="4"/>
  <c r="CY47" i="4" s="1"/>
  <c r="DH49" i="4"/>
  <c r="DH47" i="4" s="1"/>
  <c r="CS49" i="4"/>
  <c r="CS47" i="4" s="1"/>
  <c r="CD49" i="4"/>
  <c r="CD47" i="4" s="1"/>
  <c r="BM49" i="4"/>
  <c r="BM47" i="4" s="1"/>
  <c r="AX49" i="4"/>
  <c r="AX47" i="4" s="1"/>
  <c r="AI49" i="4"/>
  <c r="AI47" i="4" s="1"/>
  <c r="S49" i="4"/>
  <c r="S47" i="4" s="1"/>
  <c r="CV49" i="4"/>
  <c r="CV47" i="4" s="1"/>
  <c r="CF49" i="4"/>
  <c r="CF47" i="4" s="1"/>
  <c r="BN49" i="4"/>
  <c r="BN47" i="4" s="1"/>
  <c r="AW49" i="4"/>
  <c r="AW47" i="4" s="1"/>
  <c r="AF49" i="4"/>
  <c r="AF47" i="4" s="1"/>
  <c r="N49" i="4"/>
  <c r="N47" i="4" s="1"/>
  <c r="DF49" i="4"/>
  <c r="DF47" i="4" s="1"/>
  <c r="CM49" i="4"/>
  <c r="CM47" i="4" s="1"/>
  <c r="BW49" i="4"/>
  <c r="BW47" i="4" s="1"/>
  <c r="BF49" i="4"/>
  <c r="BF47" i="4" s="1"/>
  <c r="AN49" i="4"/>
  <c r="AN47" i="4" s="1"/>
  <c r="X49" i="4"/>
  <c r="X47" i="4" s="1"/>
  <c r="DE49" i="4"/>
  <c r="DE47" i="4" s="1"/>
  <c r="CL49" i="4"/>
  <c r="CL47" i="4" s="1"/>
  <c r="BU49" i="4"/>
  <c r="BU47" i="4" s="1"/>
  <c r="BD49" i="4"/>
  <c r="BD47" i="4" s="1"/>
  <c r="AM49" i="4"/>
  <c r="AM47" i="4" s="1"/>
  <c r="W49" i="4"/>
  <c r="W47" i="4" s="1"/>
  <c r="DD49" i="4"/>
  <c r="DD47" i="4" s="1"/>
  <c r="CK49" i="4"/>
  <c r="CK47" i="4" s="1"/>
  <c r="BT49" i="4"/>
  <c r="BT47" i="4" s="1"/>
  <c r="BC49" i="4"/>
  <c r="BC47" i="4" s="1"/>
  <c r="AL49" i="4"/>
  <c r="AL47" i="4" s="1"/>
  <c r="V49" i="4"/>
  <c r="V47" i="4" s="1"/>
  <c r="DK49" i="4"/>
  <c r="DK47" i="4" s="1"/>
  <c r="CI49" i="4"/>
  <c r="CI47" i="4" s="1"/>
  <c r="BK49" i="4"/>
  <c r="BK47" i="4" s="1"/>
  <c r="AK49" i="4"/>
  <c r="AK47" i="4" s="1"/>
  <c r="L49" i="4"/>
  <c r="L47" i="4" s="1"/>
  <c r="DJ49" i="4"/>
  <c r="DJ47" i="4" s="1"/>
  <c r="CH49" i="4"/>
  <c r="CH47" i="4" s="1"/>
  <c r="BJ49" i="4"/>
  <c r="BJ47" i="4" s="1"/>
  <c r="AJ49" i="4"/>
  <c r="AJ47" i="4" s="1"/>
  <c r="DI49" i="4"/>
  <c r="DI47" i="4" s="1"/>
  <c r="CG49" i="4"/>
  <c r="CG47" i="4" s="1"/>
  <c r="BI49" i="4"/>
  <c r="BI47" i="4" s="1"/>
  <c r="AH49" i="4"/>
  <c r="AH47" i="4" s="1"/>
  <c r="DG49" i="4"/>
  <c r="DG47" i="4" s="1"/>
  <c r="CE49" i="4"/>
  <c r="CE47" i="4" s="1"/>
  <c r="BG49" i="4"/>
  <c r="BG47" i="4" s="1"/>
  <c r="AD49" i="4"/>
  <c r="AD47" i="4" s="1"/>
  <c r="CZ49" i="4"/>
  <c r="CZ47" i="4" s="1"/>
  <c r="BZ49" i="4"/>
  <c r="BZ47" i="4" s="1"/>
  <c r="AZ49" i="4"/>
  <c r="AZ47" i="4" s="1"/>
  <c r="AA49" i="4"/>
  <c r="AA47" i="4" s="1"/>
  <c r="CW49" i="4"/>
  <c r="CW47" i="4" s="1"/>
  <c r="BY49" i="4"/>
  <c r="BY47" i="4" s="1"/>
  <c r="AY49" i="4"/>
  <c r="AY47" i="4" s="1"/>
  <c r="Z49" i="4"/>
  <c r="Z47" i="4" s="1"/>
  <c r="CR49" i="4"/>
  <c r="CR47" i="4" s="1"/>
  <c r="BR49" i="4"/>
  <c r="BR47" i="4" s="1"/>
  <c r="AR49" i="4"/>
  <c r="AR47" i="4" s="1"/>
  <c r="R49" i="4"/>
  <c r="R47" i="4" s="1"/>
  <c r="CN49" i="4"/>
  <c r="CN47" i="4" s="1"/>
  <c r="Y49" i="4"/>
  <c r="Y47" i="4" s="1"/>
  <c r="CA49" i="4"/>
  <c r="CA47" i="4" s="1"/>
  <c r="T49" i="4"/>
  <c r="T47" i="4" s="1"/>
  <c r="BS49" i="4"/>
  <c r="BS47" i="4" s="1"/>
  <c r="BL49" i="4"/>
  <c r="BL47" i="4" s="1"/>
  <c r="AV49" i="4"/>
  <c r="AV47" i="4" s="1"/>
  <c r="DB49" i="4"/>
  <c r="DB47" i="4" s="1"/>
  <c r="BX49" i="4"/>
  <c r="BX47" i="4" s="1"/>
  <c r="P49" i="4"/>
  <c r="P47" i="4" s="1"/>
  <c r="M49" i="4"/>
  <c r="M47" i="4" s="1"/>
  <c r="BP49" i="4"/>
  <c r="BP47" i="4" s="1"/>
  <c r="AU49" i="4"/>
  <c r="AU47" i="4" s="1"/>
  <c r="BA49" i="4"/>
  <c r="BA47" i="4" s="1"/>
  <c r="CU49" i="4"/>
  <c r="CU47" i="4" s="1"/>
  <c r="AQ49" i="4"/>
  <c r="AQ47" i="4" s="1"/>
  <c r="CT49" i="4"/>
  <c r="CT47" i="4" s="1"/>
  <c r="AP49" i="4"/>
  <c r="AP47" i="4" s="1"/>
  <c r="CQ49" i="4"/>
  <c r="CQ47" i="4" s="1"/>
  <c r="AC49" i="4"/>
  <c r="AC47" i="4" s="1"/>
  <c r="K45" i="4" l="1"/>
  <c r="J47" i="4"/>
  <c r="K47" i="4"/>
  <c r="J45" i="4"/>
  <c r="DJ45" i="4" l="1"/>
  <c r="CX45" i="4"/>
  <c r="CL45" i="4"/>
  <c r="BZ45" i="4"/>
  <c r="BN45" i="4"/>
  <c r="BB45" i="4"/>
  <c r="AP45" i="4"/>
  <c r="AD45" i="4"/>
  <c r="R45" i="4"/>
  <c r="DC45" i="4"/>
  <c r="CP45" i="4"/>
  <c r="CC45" i="4"/>
  <c r="BP45" i="4"/>
  <c r="BC45" i="4"/>
  <c r="AO45" i="4"/>
  <c r="AB45" i="4"/>
  <c r="O45" i="4"/>
  <c r="DD45" i="4"/>
  <c r="CO45" i="4"/>
  <c r="CA45" i="4"/>
  <c r="BL45" i="4"/>
  <c r="AX45" i="4"/>
  <c r="AJ45" i="4"/>
  <c r="V45" i="4"/>
  <c r="DE45" i="4"/>
  <c r="CN45" i="4"/>
  <c r="BX45" i="4"/>
  <c r="BI45" i="4"/>
  <c r="AT45" i="4"/>
  <c r="AE45" i="4"/>
  <c r="N45" i="4"/>
  <c r="CY45" i="4"/>
  <c r="CH45" i="4"/>
  <c r="BR45" i="4"/>
  <c r="AZ45" i="4"/>
  <c r="AI45" i="4"/>
  <c r="S45" i="4"/>
  <c r="DH45" i="4"/>
  <c r="CR45" i="4"/>
  <c r="BY45" i="4"/>
  <c r="BH45" i="4"/>
  <c r="AR45" i="4"/>
  <c r="Z45" i="4"/>
  <c r="DG45" i="4"/>
  <c r="CQ45" i="4"/>
  <c r="BW45" i="4"/>
  <c r="BG45" i="4"/>
  <c r="AQ45" i="4"/>
  <c r="DF45" i="4"/>
  <c r="CM45" i="4"/>
  <c r="BV45" i="4"/>
  <c r="BF45" i="4"/>
  <c r="AN45" i="4"/>
  <c r="X45" i="4"/>
  <c r="CK45" i="4"/>
  <c r="BO45" i="4"/>
  <c r="AM45" i="4"/>
  <c r="Q45" i="4"/>
  <c r="DL45" i="4"/>
  <c r="CJ45" i="4"/>
  <c r="BM45" i="4"/>
  <c r="AL45" i="4"/>
  <c r="P45" i="4"/>
  <c r="BK45" i="4"/>
  <c r="DK45" i="4"/>
  <c r="CI45" i="4"/>
  <c r="AK45" i="4"/>
  <c r="M45" i="4"/>
  <c r="DI45" i="4"/>
  <c r="CG45" i="4"/>
  <c r="BJ45" i="4"/>
  <c r="AH45" i="4"/>
  <c r="L45" i="4"/>
  <c r="DA45" i="4"/>
  <c r="CE45" i="4"/>
  <c r="BD45" i="4"/>
  <c r="AF45" i="4"/>
  <c r="CZ45" i="4"/>
  <c r="CD45" i="4"/>
  <c r="BA45" i="4"/>
  <c r="AC45" i="4"/>
  <c r="CU45" i="4"/>
  <c r="BT45" i="4"/>
  <c r="AV45" i="4"/>
  <c r="W45" i="4"/>
  <c r="BS45" i="4"/>
  <c r="BQ45" i="4"/>
  <c r="BE45" i="4"/>
  <c r="CT45" i="4"/>
  <c r="CS45" i="4"/>
  <c r="AY45" i="4"/>
  <c r="CW45" i="4"/>
  <c r="AU45" i="4"/>
  <c r="AG45" i="4"/>
  <c r="DB45" i="4"/>
  <c r="AW45" i="4"/>
  <c r="AA45" i="4"/>
  <c r="CV45" i="4"/>
  <c r="AS45" i="4"/>
  <c r="CF45" i="4"/>
  <c r="Y45" i="4"/>
  <c r="CB45" i="4"/>
  <c r="U45" i="4"/>
  <c r="BU45" i="4"/>
  <c r="T45" i="4"/>
  <c r="K43" i="4"/>
  <c r="J43" i="4"/>
  <c r="DG43" i="4" l="1"/>
  <c r="CU43" i="4"/>
  <c r="CI43" i="4"/>
  <c r="BW43" i="4"/>
  <c r="BK43" i="4"/>
  <c r="AY43" i="4"/>
  <c r="DC43" i="4"/>
  <c r="CP43" i="4"/>
  <c r="CC43" i="4"/>
  <c r="BP43" i="4"/>
  <c r="BC43" i="4"/>
  <c r="AP43" i="4"/>
  <c r="AD43" i="4"/>
  <c r="R43" i="4"/>
  <c r="DI43" i="4"/>
  <c r="CT43" i="4"/>
  <c r="CF43" i="4"/>
  <c r="BR43" i="4"/>
  <c r="BD43" i="4"/>
  <c r="AO43" i="4"/>
  <c r="AB43" i="4"/>
  <c r="O43" i="4"/>
  <c r="CZ43" i="4"/>
  <c r="CK43" i="4"/>
  <c r="BU43" i="4"/>
  <c r="BF43" i="4"/>
  <c r="AQ43" i="4"/>
  <c r="AA43" i="4"/>
  <c r="M43" i="4"/>
  <c r="DB43" i="4"/>
  <c r="CL43" i="4"/>
  <c r="BT43" i="4"/>
  <c r="BB43" i="4"/>
  <c r="AL43" i="4"/>
  <c r="W43" i="4"/>
  <c r="DK43" i="4"/>
  <c r="CS43" i="4"/>
  <c r="CB43" i="4"/>
  <c r="BL43" i="4"/>
  <c r="AU43" i="4"/>
  <c r="AF43" i="4"/>
  <c r="P43" i="4"/>
  <c r="DH43" i="4"/>
  <c r="CQ43" i="4"/>
  <c r="BZ43" i="4"/>
  <c r="BI43" i="4"/>
  <c r="AS43" i="4"/>
  <c r="AC43" i="4"/>
  <c r="L43" i="4"/>
  <c r="CW43" i="4"/>
  <c r="BY43" i="4"/>
  <c r="BA43" i="4"/>
  <c r="AH43" i="4"/>
  <c r="AE43" i="4"/>
  <c r="CV43" i="4"/>
  <c r="BX43" i="4"/>
  <c r="AZ43" i="4"/>
  <c r="AG43" i="4"/>
  <c r="CR43" i="4"/>
  <c r="BV43" i="4"/>
  <c r="AX43" i="4"/>
  <c r="CO43" i="4"/>
  <c r="BS43" i="4"/>
  <c r="AW43" i="4"/>
  <c r="Z43" i="4"/>
  <c r="DJ43" i="4"/>
  <c r="CM43" i="4"/>
  <c r="BO43" i="4"/>
  <c r="AT43" i="4"/>
  <c r="X43" i="4"/>
  <c r="DF43" i="4"/>
  <c r="CJ43" i="4"/>
  <c r="BN43" i="4"/>
  <c r="AR43" i="4"/>
  <c r="V43" i="4"/>
  <c r="DA43" i="4"/>
  <c r="CE43" i="4"/>
  <c r="BH43" i="4"/>
  <c r="AK43" i="4"/>
  <c r="S43" i="4"/>
  <c r="DL43" i="4"/>
  <c r="BJ43" i="4"/>
  <c r="N43" i="4"/>
  <c r="DE43" i="4"/>
  <c r="BG43" i="4"/>
  <c r="CG43" i="4"/>
  <c r="Y43" i="4"/>
  <c r="DD43" i="4"/>
  <c r="BE43" i="4"/>
  <c r="AI43" i="4"/>
  <c r="CY43" i="4"/>
  <c r="AV43" i="4"/>
  <c r="CN43" i="4"/>
  <c r="CD43" i="4"/>
  <c r="CX43" i="4"/>
  <c r="AN43" i="4"/>
  <c r="AM43" i="4"/>
  <c r="CH43" i="4"/>
  <c r="AJ43" i="4"/>
  <c r="CA43" i="4"/>
  <c r="U43" i="4"/>
  <c r="BQ43" i="4"/>
  <c r="T43" i="4"/>
  <c r="BM43" i="4"/>
  <c r="Q43" i="4"/>
  <c r="K41" i="4" l="1"/>
  <c r="J41" i="4"/>
  <c r="AG41" i="4" l="1"/>
  <c r="DG41" i="4"/>
  <c r="CU41" i="4"/>
  <c r="CI41" i="4"/>
  <c r="BW41" i="4"/>
  <c r="BK41" i="4"/>
  <c r="AY41" i="4"/>
  <c r="AM41" i="4"/>
  <c r="AA41" i="4"/>
  <c r="O41" i="4"/>
  <c r="DC41" i="4"/>
  <c r="CP41" i="4"/>
  <c r="CC41" i="4"/>
  <c r="BP41" i="4"/>
  <c r="BC41" i="4"/>
  <c r="AP41" i="4"/>
  <c r="AC41" i="4"/>
  <c r="P41" i="4"/>
  <c r="CZ41" i="4"/>
  <c r="CL41" i="4"/>
  <c r="BX41" i="4"/>
  <c r="BI41" i="4"/>
  <c r="AU41" i="4"/>
  <c r="S41" i="4"/>
  <c r="DI41" i="4"/>
  <c r="CS41" i="4"/>
  <c r="CD41" i="4"/>
  <c r="BN41" i="4"/>
  <c r="AX41" i="4"/>
  <c r="AI41" i="4"/>
  <c r="T41" i="4"/>
  <c r="DA41" i="4"/>
  <c r="CK41" i="4"/>
  <c r="BU41" i="4"/>
  <c r="CX41" i="4"/>
  <c r="CH41" i="4"/>
  <c r="BS41" i="4"/>
  <c r="BD41" i="4"/>
  <c r="AN41" i="4"/>
  <c r="X41" i="4"/>
  <c r="DL41" i="4"/>
  <c r="CR41" i="4"/>
  <c r="BY41" i="4"/>
  <c r="BE41" i="4"/>
  <c r="AK41" i="4"/>
  <c r="R41" i="4"/>
  <c r="DK41" i="4"/>
  <c r="CQ41" i="4"/>
  <c r="BV41" i="4"/>
  <c r="BB41" i="4"/>
  <c r="AJ41" i="4"/>
  <c r="Q41" i="4"/>
  <c r="DJ41" i="4"/>
  <c r="CO41" i="4"/>
  <c r="BT41" i="4"/>
  <c r="BA41" i="4"/>
  <c r="AH41" i="4"/>
  <c r="N41" i="4"/>
  <c r="DH41" i="4"/>
  <c r="CN41" i="4"/>
  <c r="BR41" i="4"/>
  <c r="AZ41" i="4"/>
  <c r="AF41" i="4"/>
  <c r="M41" i="4"/>
  <c r="DE41" i="4"/>
  <c r="CJ41" i="4"/>
  <c r="BO41" i="4"/>
  <c r="AV41" i="4"/>
  <c r="AD41" i="4"/>
  <c r="DD41" i="4"/>
  <c r="CG41" i="4"/>
  <c r="BM41" i="4"/>
  <c r="AT41" i="4"/>
  <c r="AB41" i="4"/>
  <c r="CW41" i="4"/>
  <c r="CB41" i="4"/>
  <c r="BH41" i="4"/>
  <c r="AQ41" i="4"/>
  <c r="W41" i="4"/>
  <c r="BL41" i="4"/>
  <c r="V41" i="4"/>
  <c r="DF41" i="4"/>
  <c r="BJ41" i="4"/>
  <c r="U41" i="4"/>
  <c r="AS41" i="4"/>
  <c r="CF41" i="4"/>
  <c r="DB41" i="4"/>
  <c r="BG41" i="4"/>
  <c r="L41" i="4"/>
  <c r="AL41" i="4"/>
  <c r="CY41" i="4"/>
  <c r="BF41" i="4"/>
  <c r="CT41" i="4"/>
  <c r="AO41" i="4"/>
  <c r="CV41" i="4"/>
  <c r="AW41" i="4"/>
  <c r="CE41" i="4"/>
  <c r="CM41" i="4"/>
  <c r="AR41" i="4"/>
  <c r="CA41" i="4"/>
  <c r="AE41" i="4"/>
  <c r="BZ41" i="4"/>
  <c r="Z41" i="4"/>
  <c r="BQ41" i="4"/>
  <c r="Y41" i="4"/>
  <c r="J39" i="4" l="1"/>
  <c r="K39" i="4"/>
  <c r="DD39" i="4" l="1"/>
  <c r="CR39" i="4"/>
  <c r="CF39" i="4"/>
  <c r="BT39" i="4"/>
  <c r="BH39" i="4"/>
  <c r="AV39" i="4"/>
  <c r="AJ39" i="4"/>
  <c r="X39" i="4"/>
  <c r="L39" i="4"/>
  <c r="DC39" i="4"/>
  <c r="CP39" i="4"/>
  <c r="CC39" i="4"/>
  <c r="BP39" i="4"/>
  <c r="BC39" i="4"/>
  <c r="AP39" i="4"/>
  <c r="AC39" i="4"/>
  <c r="P39" i="4"/>
  <c r="DF39" i="4"/>
  <c r="CQ39" i="4"/>
  <c r="CB39" i="4"/>
  <c r="BN39" i="4"/>
  <c r="AZ39" i="4"/>
  <c r="AL39" i="4"/>
  <c r="W39" i="4"/>
  <c r="DE39" i="4"/>
  <c r="CN39" i="4"/>
  <c r="BY39" i="4"/>
  <c r="BJ39" i="4"/>
  <c r="AT39" i="4"/>
  <c r="AE39" i="4"/>
  <c r="O39" i="4"/>
  <c r="DJ39" i="4"/>
  <c r="CU39" i="4"/>
  <c r="CE39" i="4"/>
  <c r="BO39" i="4"/>
  <c r="AY39" i="4"/>
  <c r="AI39" i="4"/>
  <c r="T39" i="4"/>
  <c r="CZ39" i="4"/>
  <c r="CI39" i="4"/>
  <c r="BQ39" i="4"/>
  <c r="AW39" i="4"/>
  <c r="AD39" i="4"/>
  <c r="AU39" i="4"/>
  <c r="CY39" i="4"/>
  <c r="CH39" i="4"/>
  <c r="BM39" i="4"/>
  <c r="AB39" i="4"/>
  <c r="AA39" i="4"/>
  <c r="CX39" i="4"/>
  <c r="CG39" i="4"/>
  <c r="BL39" i="4"/>
  <c r="AS39" i="4"/>
  <c r="CW39" i="4"/>
  <c r="CD39" i="4"/>
  <c r="BK39" i="4"/>
  <c r="AR39" i="4"/>
  <c r="Z39" i="4"/>
  <c r="DL39" i="4"/>
  <c r="CT39" i="4"/>
  <c r="BZ39" i="4"/>
  <c r="BG39" i="4"/>
  <c r="AO39" i="4"/>
  <c r="V39" i="4"/>
  <c r="DK39" i="4"/>
  <c r="CS39" i="4"/>
  <c r="BX39" i="4"/>
  <c r="BF39" i="4"/>
  <c r="AN39" i="4"/>
  <c r="U39" i="4"/>
  <c r="DG39" i="4"/>
  <c r="CL39" i="4"/>
  <c r="BU39" i="4"/>
  <c r="BB39" i="4"/>
  <c r="AH39" i="4"/>
  <c r="Q39" i="4"/>
  <c r="CA39" i="4"/>
  <c r="AK39" i="4"/>
  <c r="BW39" i="4"/>
  <c r="AG39" i="4"/>
  <c r="BS39" i="4"/>
  <c r="BD39" i="4"/>
  <c r="BV39" i="4"/>
  <c r="AF39" i="4"/>
  <c r="DB39" i="4"/>
  <c r="CV39" i="4"/>
  <c r="M39" i="4"/>
  <c r="DI39" i="4"/>
  <c r="Y39" i="4"/>
  <c r="BI39" i="4"/>
  <c r="DH39" i="4"/>
  <c r="BR39" i="4"/>
  <c r="S39" i="4"/>
  <c r="R39" i="4"/>
  <c r="BA39" i="4"/>
  <c r="DA39" i="4"/>
  <c r="BE39" i="4"/>
  <c r="N39" i="4"/>
  <c r="CO39" i="4"/>
  <c r="CM39" i="4"/>
  <c r="AX39" i="4"/>
  <c r="CK39" i="4"/>
  <c r="AQ39" i="4"/>
  <c r="CJ39" i="4"/>
  <c r="AM39" i="4"/>
  <c r="K29" i="4" l="1"/>
  <c r="J29" i="4"/>
  <c r="DA29" i="4" l="1"/>
  <c r="DA27" i="4" s="1"/>
  <c r="DA53" i="4" s="1"/>
  <c r="CO29" i="4"/>
  <c r="CO27" i="4" s="1"/>
  <c r="CO53" i="4" s="1"/>
  <c r="CC29" i="4"/>
  <c r="CC27" i="4" s="1"/>
  <c r="CC53" i="4" s="1"/>
  <c r="BQ29" i="4"/>
  <c r="BQ27" i="4" s="1"/>
  <c r="BQ53" i="4" s="1"/>
  <c r="BE29" i="4"/>
  <c r="BE27" i="4" s="1"/>
  <c r="BE53" i="4" s="1"/>
  <c r="AS29" i="4"/>
  <c r="AS27" i="4" s="1"/>
  <c r="AS53" i="4" s="1"/>
  <c r="AG29" i="4"/>
  <c r="AG27" i="4" s="1"/>
  <c r="AG53" i="4" s="1"/>
  <c r="U29" i="4"/>
  <c r="U27" i="4" s="1"/>
  <c r="U53" i="4" s="1"/>
  <c r="DE29" i="4"/>
  <c r="DE27" i="4" s="1"/>
  <c r="DE53" i="4" s="1"/>
  <c r="CR29" i="4"/>
  <c r="CR27" i="4" s="1"/>
  <c r="CR53" i="4" s="1"/>
  <c r="CE29" i="4"/>
  <c r="CE27" i="4" s="1"/>
  <c r="CE53" i="4" s="1"/>
  <c r="BR29" i="4"/>
  <c r="BR27" i="4" s="1"/>
  <c r="BR53" i="4" s="1"/>
  <c r="BD29" i="4"/>
  <c r="BD27" i="4" s="1"/>
  <c r="BD53" i="4" s="1"/>
  <c r="AQ29" i="4"/>
  <c r="AQ27" i="4" s="1"/>
  <c r="AQ53" i="4" s="1"/>
  <c r="AD29" i="4"/>
  <c r="AD27" i="4" s="1"/>
  <c r="AD53" i="4" s="1"/>
  <c r="Q29" i="4"/>
  <c r="Q27" i="4" s="1"/>
  <c r="Q53" i="4" s="1"/>
  <c r="DI29" i="4"/>
  <c r="DI27" i="4" s="1"/>
  <c r="DI53" i="4" s="1"/>
  <c r="CV29" i="4"/>
  <c r="CV27" i="4" s="1"/>
  <c r="CV53" i="4" s="1"/>
  <c r="CI29" i="4"/>
  <c r="CI27" i="4" s="1"/>
  <c r="CI53" i="4" s="1"/>
  <c r="CY29" i="4"/>
  <c r="CY27" i="4" s="1"/>
  <c r="CY53" i="4" s="1"/>
  <c r="CJ29" i="4"/>
  <c r="CJ27" i="4" s="1"/>
  <c r="CJ53" i="4" s="1"/>
  <c r="BU29" i="4"/>
  <c r="BU27" i="4" s="1"/>
  <c r="BU53" i="4" s="1"/>
  <c r="BG29" i="4"/>
  <c r="BG27" i="4" s="1"/>
  <c r="BG53" i="4" s="1"/>
  <c r="AR29" i="4"/>
  <c r="AR27" i="4" s="1"/>
  <c r="AR53" i="4" s="1"/>
  <c r="AC29" i="4"/>
  <c r="AC27" i="4" s="1"/>
  <c r="AC53" i="4" s="1"/>
  <c r="O29" i="4"/>
  <c r="O27" i="4" s="1"/>
  <c r="O53" i="4" s="1"/>
  <c r="CX29" i="4"/>
  <c r="CX27" i="4" s="1"/>
  <c r="CX53" i="4" s="1"/>
  <c r="BT29" i="4"/>
  <c r="BT27" i="4" s="1"/>
  <c r="BT53" i="4" s="1"/>
  <c r="AP29" i="4"/>
  <c r="AP27" i="4" s="1"/>
  <c r="AP53" i="4" s="1"/>
  <c r="N29" i="4"/>
  <c r="N27" i="4" s="1"/>
  <c r="N53" i="4" s="1"/>
  <c r="BS29" i="4"/>
  <c r="BS27" i="4" s="1"/>
  <c r="BS53" i="4" s="1"/>
  <c r="CH29" i="4"/>
  <c r="CH27" i="4" s="1"/>
  <c r="CH53" i="4" s="1"/>
  <c r="BF29" i="4"/>
  <c r="BF27" i="4" s="1"/>
  <c r="BF53" i="4" s="1"/>
  <c r="AB29" i="4"/>
  <c r="AB27" i="4" s="1"/>
  <c r="AB53" i="4" s="1"/>
  <c r="AO29" i="4"/>
  <c r="AO27" i="4" s="1"/>
  <c r="AO53" i="4" s="1"/>
  <c r="DL29" i="4"/>
  <c r="DL27" i="4" s="1"/>
  <c r="DL53" i="4" s="1"/>
  <c r="CW29" i="4"/>
  <c r="CW27" i="4" s="1"/>
  <c r="CW53" i="4" s="1"/>
  <c r="CG29" i="4"/>
  <c r="CG27" i="4" s="1"/>
  <c r="CG53" i="4" s="1"/>
  <c r="BC29" i="4"/>
  <c r="BC27" i="4" s="1"/>
  <c r="BC53" i="4" s="1"/>
  <c r="AA29" i="4"/>
  <c r="AA27" i="4" s="1"/>
  <c r="AA53" i="4" s="1"/>
  <c r="M29" i="4"/>
  <c r="M27" i="4" s="1"/>
  <c r="M53" i="4" s="1"/>
  <c r="DK29" i="4"/>
  <c r="DK27" i="4" s="1"/>
  <c r="DK53" i="4" s="1"/>
  <c r="CU29" i="4"/>
  <c r="CU27" i="4" s="1"/>
  <c r="CU53" i="4" s="1"/>
  <c r="CF29" i="4"/>
  <c r="CF27" i="4" s="1"/>
  <c r="CF53" i="4" s="1"/>
  <c r="BP29" i="4"/>
  <c r="BP27" i="4" s="1"/>
  <c r="BP53" i="4" s="1"/>
  <c r="BB29" i="4"/>
  <c r="BB27" i="4" s="1"/>
  <c r="BB53" i="4" s="1"/>
  <c r="AN29" i="4"/>
  <c r="AN27" i="4" s="1"/>
  <c r="AN53" i="4" s="1"/>
  <c r="Z29" i="4"/>
  <c r="Z27" i="4" s="1"/>
  <c r="Z53" i="4" s="1"/>
  <c r="L29" i="4"/>
  <c r="L27" i="4" s="1"/>
  <c r="L53" i="4" s="1"/>
  <c r="L54" i="4" s="1"/>
  <c r="DH29" i="4"/>
  <c r="DH27" i="4" s="1"/>
  <c r="DH53" i="4" s="1"/>
  <c r="CS29" i="4"/>
  <c r="CS27" i="4" s="1"/>
  <c r="CS53" i="4" s="1"/>
  <c r="CB29" i="4"/>
  <c r="CB27" i="4" s="1"/>
  <c r="CB53" i="4" s="1"/>
  <c r="BN29" i="4"/>
  <c r="BN27" i="4" s="1"/>
  <c r="BN53" i="4" s="1"/>
  <c r="AZ29" i="4"/>
  <c r="AZ27" i="4" s="1"/>
  <c r="AZ53" i="4" s="1"/>
  <c r="AL29" i="4"/>
  <c r="AL27" i="4" s="1"/>
  <c r="AL53" i="4" s="1"/>
  <c r="X29" i="4"/>
  <c r="X27" i="4" s="1"/>
  <c r="X53" i="4" s="1"/>
  <c r="DG29" i="4"/>
  <c r="DG27" i="4" s="1"/>
  <c r="DG53" i="4" s="1"/>
  <c r="CQ29" i="4"/>
  <c r="CQ27" i="4" s="1"/>
  <c r="CQ53" i="4" s="1"/>
  <c r="CA29" i="4"/>
  <c r="CA27" i="4" s="1"/>
  <c r="CA53" i="4" s="1"/>
  <c r="BM29" i="4"/>
  <c r="BM27" i="4" s="1"/>
  <c r="BM53" i="4" s="1"/>
  <c r="AY29" i="4"/>
  <c r="AY27" i="4" s="1"/>
  <c r="AY53" i="4" s="1"/>
  <c r="AK29" i="4"/>
  <c r="AK27" i="4" s="1"/>
  <c r="AK53" i="4" s="1"/>
  <c r="W29" i="4"/>
  <c r="W27" i="4" s="1"/>
  <c r="W53" i="4" s="1"/>
  <c r="DC29" i="4"/>
  <c r="DC27" i="4" s="1"/>
  <c r="DC53" i="4" s="1"/>
  <c r="CM29" i="4"/>
  <c r="CM27" i="4" s="1"/>
  <c r="CM53" i="4" s="1"/>
  <c r="BX29" i="4"/>
  <c r="BX27" i="4" s="1"/>
  <c r="BX53" i="4" s="1"/>
  <c r="BJ29" i="4"/>
  <c r="BJ27" i="4" s="1"/>
  <c r="BJ53" i="4" s="1"/>
  <c r="AV29" i="4"/>
  <c r="AV27" i="4" s="1"/>
  <c r="AV53" i="4" s="1"/>
  <c r="AH29" i="4"/>
  <c r="AH27" i="4" s="1"/>
  <c r="AH53" i="4" s="1"/>
  <c r="S29" i="4"/>
  <c r="S27" i="4" s="1"/>
  <c r="S53" i="4" s="1"/>
  <c r="DJ29" i="4"/>
  <c r="DJ27" i="4" s="1"/>
  <c r="DJ53" i="4" s="1"/>
  <c r="BY29" i="4"/>
  <c r="BY27" i="4" s="1"/>
  <c r="BY53" i="4" s="1"/>
  <c r="AT29" i="4"/>
  <c r="AT27" i="4" s="1"/>
  <c r="AT53" i="4" s="1"/>
  <c r="DF29" i="4"/>
  <c r="DF27" i="4" s="1"/>
  <c r="DF53" i="4" s="1"/>
  <c r="BW29" i="4"/>
  <c r="BW27" i="4" s="1"/>
  <c r="BW53" i="4" s="1"/>
  <c r="AM29" i="4"/>
  <c r="AM27" i="4" s="1"/>
  <c r="AM53" i="4" s="1"/>
  <c r="DD29" i="4"/>
  <c r="DD27" i="4" s="1"/>
  <c r="DD53" i="4" s="1"/>
  <c r="BL29" i="4"/>
  <c r="BL27" i="4" s="1"/>
  <c r="BL53" i="4" s="1"/>
  <c r="BV29" i="4"/>
  <c r="BV27" i="4" s="1"/>
  <c r="BV53" i="4" s="1"/>
  <c r="BI29" i="4"/>
  <c r="BI27" i="4" s="1"/>
  <c r="BI53" i="4" s="1"/>
  <c r="Y29" i="4"/>
  <c r="Y27" i="4" s="1"/>
  <c r="Y53" i="4" s="1"/>
  <c r="AJ29" i="4"/>
  <c r="AJ27" i="4" s="1"/>
  <c r="AJ53" i="4" s="1"/>
  <c r="CZ29" i="4"/>
  <c r="CZ27" i="4" s="1"/>
  <c r="CZ53" i="4" s="1"/>
  <c r="AF29" i="4"/>
  <c r="AF27" i="4" s="1"/>
  <c r="AF53" i="4" s="1"/>
  <c r="CP29" i="4"/>
  <c r="CP27" i="4" s="1"/>
  <c r="CP53" i="4" s="1"/>
  <c r="DB29" i="4"/>
  <c r="DB27" i="4" s="1"/>
  <c r="DB53" i="4" s="1"/>
  <c r="BO29" i="4"/>
  <c r="BO27" i="4" s="1"/>
  <c r="BO53" i="4" s="1"/>
  <c r="AI29" i="4"/>
  <c r="AI27" i="4" s="1"/>
  <c r="AI53" i="4" s="1"/>
  <c r="CT29" i="4"/>
  <c r="CT27" i="4" s="1"/>
  <c r="CT53" i="4" s="1"/>
  <c r="BK29" i="4"/>
  <c r="BK27" i="4" s="1"/>
  <c r="BK53" i="4" s="1"/>
  <c r="AE29" i="4"/>
  <c r="AE27" i="4" s="1"/>
  <c r="AE53" i="4" s="1"/>
  <c r="CL29" i="4"/>
  <c r="CL27" i="4" s="1"/>
  <c r="CL53" i="4" s="1"/>
  <c r="BA29" i="4"/>
  <c r="BA27" i="4" s="1"/>
  <c r="BA53" i="4" s="1"/>
  <c r="T29" i="4"/>
  <c r="T27" i="4" s="1"/>
  <c r="T53" i="4" s="1"/>
  <c r="CK29" i="4"/>
  <c r="CK27" i="4" s="1"/>
  <c r="CK53" i="4" s="1"/>
  <c r="AX29" i="4"/>
  <c r="AX27" i="4" s="1"/>
  <c r="AX53" i="4" s="1"/>
  <c r="R29" i="4"/>
  <c r="R27" i="4" s="1"/>
  <c r="R53" i="4" s="1"/>
  <c r="AW29" i="4"/>
  <c r="AW27" i="4" s="1"/>
  <c r="AW53" i="4" s="1"/>
  <c r="V29" i="4"/>
  <c r="V27" i="4" s="1"/>
  <c r="V53" i="4" s="1"/>
  <c r="P29" i="4"/>
  <c r="P27" i="4" s="1"/>
  <c r="P53" i="4" s="1"/>
  <c r="CN29" i="4"/>
  <c r="CN27" i="4" s="1"/>
  <c r="CN53" i="4" s="1"/>
  <c r="AU29" i="4"/>
  <c r="AU27" i="4" s="1"/>
  <c r="AU53" i="4" s="1"/>
  <c r="CD29" i="4"/>
  <c r="CD27" i="4" s="1"/>
  <c r="CD53" i="4" s="1"/>
  <c r="BZ29" i="4"/>
  <c r="BZ27" i="4" s="1"/>
  <c r="BZ53" i="4" s="1"/>
  <c r="BH29" i="4"/>
  <c r="BH27" i="4" s="1"/>
  <c r="BH53" i="4" s="1"/>
  <c r="M54" i="4" l="1"/>
  <c r="N54" i="4" s="1"/>
  <c r="O54" i="4" s="1"/>
  <c r="P54" i="4" s="1"/>
  <c r="Q54" i="4" s="1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O54" i="4" s="1"/>
  <c r="AP54" i="4" s="1"/>
  <c r="AQ54" i="4" s="1"/>
  <c r="AR54" i="4" s="1"/>
  <c r="AS54" i="4" s="1"/>
  <c r="AT54" i="4" s="1"/>
  <c r="AU54" i="4" s="1"/>
  <c r="AV54" i="4" s="1"/>
  <c r="AW54" i="4" s="1"/>
  <c r="AX54" i="4" s="1"/>
  <c r="AY54" i="4" s="1"/>
  <c r="AZ54" i="4" s="1"/>
  <c r="BA54" i="4" s="1"/>
  <c r="BB54" i="4" s="1"/>
  <c r="BC54" i="4" s="1"/>
  <c r="BD54" i="4" s="1"/>
  <c r="BE54" i="4" s="1"/>
  <c r="BF54" i="4" s="1"/>
  <c r="BG54" i="4" s="1"/>
  <c r="BH54" i="4" s="1"/>
  <c r="BI54" i="4" s="1"/>
  <c r="BJ54" i="4" s="1"/>
  <c r="BK54" i="4" s="1"/>
  <c r="BL54" i="4" s="1"/>
  <c r="BM54" i="4" s="1"/>
  <c r="BN54" i="4" s="1"/>
  <c r="BO54" i="4" s="1"/>
  <c r="BP54" i="4" s="1"/>
  <c r="BQ54" i="4" s="1"/>
  <c r="BR54" i="4" s="1"/>
  <c r="BS54" i="4" s="1"/>
  <c r="BT54" i="4" s="1"/>
  <c r="BU54" i="4" s="1"/>
  <c r="BV54" i="4" s="1"/>
  <c r="BW54" i="4" s="1"/>
  <c r="BX54" i="4" s="1"/>
  <c r="BY54" i="4" s="1"/>
  <c r="BZ54" i="4" s="1"/>
  <c r="CA54" i="4" s="1"/>
  <c r="CB54" i="4" s="1"/>
  <c r="CC54" i="4" s="1"/>
  <c r="CD54" i="4" s="1"/>
  <c r="CE54" i="4" s="1"/>
  <c r="CF54" i="4" s="1"/>
  <c r="CG54" i="4" s="1"/>
  <c r="CH54" i="4" s="1"/>
  <c r="CI54" i="4" s="1"/>
  <c r="CJ54" i="4" s="1"/>
  <c r="CK54" i="4" s="1"/>
  <c r="CL54" i="4" s="1"/>
  <c r="CM54" i="4" s="1"/>
  <c r="CN54" i="4" s="1"/>
  <c r="CO54" i="4" s="1"/>
  <c r="CP54" i="4" s="1"/>
  <c r="CQ54" i="4" s="1"/>
  <c r="CR54" i="4" s="1"/>
  <c r="CS54" i="4" s="1"/>
  <c r="CT54" i="4" s="1"/>
  <c r="CU54" i="4" s="1"/>
  <c r="CV54" i="4" s="1"/>
  <c r="CW54" i="4" s="1"/>
  <c r="CX54" i="4" s="1"/>
  <c r="CY54" i="4" s="1"/>
  <c r="CZ54" i="4" s="1"/>
  <c r="DA54" i="4" s="1"/>
  <c r="DB54" i="4" s="1"/>
  <c r="DC54" i="4" s="1"/>
  <c r="DD54" i="4" s="1"/>
  <c r="DE54" i="4" s="1"/>
  <c r="DF54" i="4" s="1"/>
  <c r="DG54" i="4" s="1"/>
  <c r="DH54" i="4" s="1"/>
  <c r="DI54" i="4" s="1"/>
  <c r="DJ54" i="4" s="1"/>
  <c r="DK54" i="4" s="1"/>
  <c r="DL54" i="4" s="1"/>
  <c r="K27" i="4"/>
  <c r="J27" i="4"/>
</calcChain>
</file>

<file path=xl/sharedStrings.xml><?xml version="1.0" encoding="utf-8"?>
<sst xmlns="http://schemas.openxmlformats.org/spreadsheetml/2006/main" count="191" uniqueCount="97">
  <si>
    <t>MASTER PROJECT SCHEDULE</t>
  </si>
  <si>
    <t>PROJECT</t>
  </si>
  <si>
    <t>OWNER</t>
  </si>
  <si>
    <t>MAIN CONTRACTOR</t>
  </si>
  <si>
    <t>Item</t>
  </si>
  <si>
    <t>Description</t>
  </si>
  <si>
    <t>Duration</t>
  </si>
  <si>
    <t>Cost value</t>
  </si>
  <si>
    <t>Weight</t>
  </si>
  <si>
    <t>Project</t>
  </si>
  <si>
    <t>( baht)</t>
  </si>
  <si>
    <t>%</t>
  </si>
  <si>
    <t>Status</t>
  </si>
  <si>
    <t>Start</t>
  </si>
  <si>
    <t>Finished</t>
  </si>
  <si>
    <t>Day</t>
  </si>
  <si>
    <t xml:space="preserve"> </t>
  </si>
  <si>
    <t>(date)</t>
  </si>
  <si>
    <t>Plan</t>
  </si>
  <si>
    <t>Actual</t>
  </si>
  <si>
    <t>: การไฟฟ้าส่วนภูมิภาค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</si>
  <si>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</si>
  <si>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</si>
  <si>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</si>
  <si>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</si>
  <si>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</si>
  <si>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</si>
  <si>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</si>
  <si>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</si>
  <si>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</si>
  <si>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</si>
  <si>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</si>
  <si>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</si>
  <si>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</si>
  <si>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</si>
  <si>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</si>
  <si>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</si>
  <si>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</si>
  <si>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</si>
  <si>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</si>
  <si>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</si>
  <si>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</si>
  <si>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</si>
  <si>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</si>
  <si>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</si>
  <si>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</si>
  <si>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</si>
  <si>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</si>
  <si>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</si>
  <si>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</si>
  <si>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</si>
  <si>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</si>
  <si>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</si>
  <si>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</si>
  <si>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</si>
  <si>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</si>
  <si>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</si>
  <si>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</si>
  <si>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</si>
  <si>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</si>
  <si>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</si>
  <si>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</si>
  <si>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</si>
  <si>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</si>
  <si>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</si>
  <si>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</si>
  <si>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</si>
  <si>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</si>
  <si>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</si>
  <si>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</si>
  <si>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</si>
  <si>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</si>
  <si>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</si>
  <si>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</si>
  <si>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Part ติดตั้งอุปกรณ์</t>
  </si>
  <si>
    <t>2.1 ติดตั้งโครงสร้างรองรับแผงเซลล์ และทางเดินบนหลังคา (Walkway)</t>
  </si>
  <si>
    <t>2.3 ติดตั้งแผงเซลล์แสงอาทิตย์</t>
  </si>
  <si>
    <t>2.5 ติดตั้งอุปกรณ์แปลงผันไฟฟ้าสำหรับต่อกับระบบจำหน่าย Inverter</t>
  </si>
  <si>
    <t>2.6 ติดตั้งอุปกรณ์ในระบบไฟฟ้า ด้าน AC</t>
  </si>
  <si>
    <t>2.7 ติดตั้งตู้ควบคุมระบบไฟฟ้าสำหรับระบบ Solar Rooftop</t>
  </si>
  <si>
    <t>2.8 ติดตั้งระบบสื่อสาร และระบบป้องกันไฟฟ้าไหลย้อน (Zero Export Controller)</t>
  </si>
  <si>
    <t>2.9 ติดตั้งระบบประมวลผลการผลิตไฟฟ้า (Solar Monitoring)</t>
  </si>
  <si>
    <t>Part การขออนุญาตและการทดสอบ</t>
  </si>
  <si>
    <t>3.1 ทดสอบการทำงานของระบบผลิตไฟฟ้า (Pre-Commissioning Test)</t>
  </si>
  <si>
    <t>Part PREMIT</t>
  </si>
  <si>
    <t>3.2 อบรมการใช้งานและการบำรุงรักษา</t>
  </si>
  <si>
    <t>1.1Kick Off</t>
  </si>
  <si>
    <t>1.2 Engineering Appprove</t>
  </si>
  <si>
    <t>1.4 ยืนขออนุญาตดัดแปลงอาคาร(อ.1)</t>
  </si>
  <si>
    <t>1.5 ยื่นขอใบอนุญาต พค.2</t>
  </si>
  <si>
    <t>1.6 COP/ยื่นเอกสารขอใบอนุญาตประกอบกิจการพลังงาน</t>
  </si>
  <si>
    <t>1.7 ยื่นขอขนานไฟ</t>
  </si>
  <si>
    <t>1.3 ส่งมอบพื้นที่และเข้าดำเนินการติดตั้ง</t>
  </si>
  <si>
    <t>2.2 ติดตั้งอุปกรณ์ในระบบไฟฟ้า ด้าน DC</t>
  </si>
  <si>
    <t>2.4 ติดตั้งอุปกรณ์หยุดทำงานฉุกเฉิน (Firefighter Satety Switch)</t>
  </si>
  <si>
    <t>: โครงการจัดการพลังงานไฟฟ้าจากระบบผลิตไฟฟ้าพลังงานแสงอาทิตย์ที่ติดตั้งบนหลังคา (Solar Rooftop) ภายใน สถานีผลิตน้ำประปาบางไทร การประปาส่วนภูมิภาคสาขาพระนครศรีอยุธยา ขนาดกำลังผลิต 414.96 kWp</t>
  </si>
  <si>
    <t>: การประปาส่วนภูมิภาคสาขาพระนครศรีอยุธยา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</si>
</sst>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_-;\-* #,##0.00_-;_-* &quot;-&quot;??_-;_-@"/>
    <numFmt numFmtId="165" formatCode="[$-409]dd\-mmm\-yy"/>
    <numFmt numFmtId="166" formatCode="dd/mm"/>
    <numFmt numFmtId="167" formatCode="mmmm"/>
    <numFmt numFmtId="168" formatCode="yyyy"/>
  </numFmts>
  <fonts count="12">
    <font>
      <sz val="11"/>
      <color theme="1"/>
      <name val="Calibri"/>
      <family val="2"/>
      <charset val="222"/>
      <scheme val="minor"/>
    </font>
    <font>
      <b/>
      <sz val="14"/>
      <color theme="1"/>
      <name val="TH SarabunPSK"/>
      <family val="2"/>
    </font>
    <font>
      <b/>
      <sz val="14"/>
      <color theme="0"/>
      <name val="TH SarabunPSK"/>
      <family val="2"/>
    </font>
    <font>
      <b/>
      <sz val="14"/>
      <name val="TH SarabunPSK"/>
      <family val="2"/>
    </font>
    <font>
      <b/>
      <sz val="14"/>
      <color rgb="FF000000"/>
      <name val="TH SarabunPSK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color theme="0"/>
      <name val="Cordia New"/>
      <family val="2"/>
    </font>
    <font>
      <b/>
      <sz val="11"/>
      <color theme="1"/>
      <name val="TH SarabunPSK"/>
      <family val="2"/>
    </font>
    <font>
      <b/>
      <sz val="11"/>
      <color theme="0"/>
      <name val="TH SarabunPSK"/>
      <family val="2"/>
    </font>
    <font>
      <b/>
      <sz val="18"/>
      <color theme="1"/>
      <name val="TH SarabunPSK"/>
      <family val="2"/>
    </font>
    <font>
      <b/>
      <sz val="48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3">
    <xf numFmtId="0" fontId="0" fillId="0" borderId="0" xfId="0"/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 shrinkToFit="1"/>
    </xf>
    <xf numFmtId="164" fontId="1" fillId="0" borderId="7" xfId="0" applyNumberFormat="1" applyFont="1" applyBorder="1" applyAlignment="1">
      <alignment horizontal="center" vertical="center" shrinkToFit="1"/>
    </xf>
    <xf numFmtId="164" fontId="1" fillId="0" borderId="8" xfId="0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3" fillId="0" borderId="17" xfId="0" applyFont="1" applyBorder="1" applyAlignment="1">
      <alignment vertical="center"/>
    </xf>
    <xf numFmtId="0" fontId="0" fillId="0" borderId="7" xfId="0" applyBorder="1"/>
    <xf numFmtId="166" fontId="0" fillId="0" borderId="7" xfId="0" applyNumberFormat="1" applyBorder="1"/>
    <xf numFmtId="0" fontId="0" fillId="0" borderId="8" xfId="0" applyBorder="1"/>
    <xf numFmtId="166" fontId="0" fillId="0" borderId="25" xfId="0" applyNumberFormat="1" applyBorder="1"/>
    <xf numFmtId="166" fontId="0" fillId="0" borderId="26" xfId="0" applyNumberFormat="1" applyBorder="1"/>
    <xf numFmtId="0" fontId="0" fillId="0" borderId="25" xfId="0" applyBorder="1"/>
    <xf numFmtId="0" fontId="0" fillId="0" borderId="26" xfId="0" applyBorder="1"/>
    <xf numFmtId="0" fontId="0" fillId="0" borderId="21" xfId="0" applyBorder="1"/>
    <xf numFmtId="0" fontId="1" fillId="0" borderId="22" xfId="0" applyFont="1" applyBorder="1" applyAlignment="1">
      <alignment horizontal="center" vertical="center" shrinkToFit="1"/>
    </xf>
    <xf numFmtId="164" fontId="1" fillId="0" borderId="25" xfId="0" applyNumberFormat="1" applyFont="1" applyBorder="1" applyAlignment="1">
      <alignment horizontal="center" vertical="center" shrinkToFit="1"/>
    </xf>
    <xf numFmtId="164" fontId="1" fillId="0" borderId="21" xfId="0" applyNumberFormat="1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 shrinkToFit="1"/>
    </xf>
    <xf numFmtId="14" fontId="0" fillId="0" borderId="0" xfId="0" applyNumberFormat="1"/>
    <xf numFmtId="0" fontId="0" fillId="0" borderId="22" xfId="0" applyBorder="1"/>
    <xf numFmtId="0" fontId="7" fillId="0" borderId="7" xfId="1" applyNumberFormat="1" applyFont="1" applyFill="1" applyBorder="1" applyAlignment="1">
      <alignment horizontal="center" vertical="center"/>
    </xf>
    <xf numFmtId="0" fontId="7" fillId="0" borderId="25" xfId="1" applyNumberFormat="1" applyFont="1" applyFill="1" applyBorder="1" applyAlignment="1">
      <alignment horizontal="center" vertical="center"/>
    </xf>
    <xf numFmtId="0" fontId="7" fillId="0" borderId="26" xfId="1" applyNumberFormat="1" applyFont="1" applyFill="1" applyBorder="1" applyAlignment="1">
      <alignment horizontal="center" vertical="center"/>
    </xf>
    <xf numFmtId="166" fontId="0" fillId="0" borderId="15" xfId="0" applyNumberFormat="1" applyBorder="1"/>
    <xf numFmtId="0" fontId="0" fillId="0" borderId="15" xfId="0" applyBorder="1"/>
    <xf numFmtId="0" fontId="0" fillId="0" borderId="30" xfId="0" applyBorder="1"/>
    <xf numFmtId="0" fontId="7" fillId="0" borderId="15" xfId="1" applyNumberFormat="1" applyFont="1" applyFill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 shrinkToFit="1"/>
    </xf>
    <xf numFmtId="0" fontId="7" fillId="0" borderId="31" xfId="1" applyNumberFormat="1" applyFont="1" applyFill="1" applyBorder="1" applyAlignment="1">
      <alignment horizontal="center" vertical="center"/>
    </xf>
    <xf numFmtId="0" fontId="7" fillId="0" borderId="9" xfId="1" applyNumberFormat="1" applyFont="1" applyFill="1" applyBorder="1" applyAlignment="1">
      <alignment horizontal="center" vertical="center"/>
    </xf>
    <xf numFmtId="0" fontId="7" fillId="0" borderId="32" xfId="1" applyNumberFormat="1" applyFont="1" applyFill="1" applyBorder="1" applyAlignment="1">
      <alignment horizontal="center" vertical="center"/>
    </xf>
    <xf numFmtId="0" fontId="7" fillId="0" borderId="33" xfId="1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 shrinkToFit="1"/>
    </xf>
    <xf numFmtId="165" fontId="1" fillId="0" borderId="8" xfId="0" applyNumberFormat="1" applyFont="1" applyBorder="1" applyAlignment="1">
      <alignment horizontal="center" vertical="center" shrinkToFit="1"/>
    </xf>
    <xf numFmtId="165" fontId="1" fillId="0" borderId="22" xfId="0" applyNumberFormat="1" applyFont="1" applyBorder="1" applyAlignment="1">
      <alignment horizontal="center" vertical="center" shrinkToFit="1"/>
    </xf>
    <xf numFmtId="165" fontId="1" fillId="0" borderId="30" xfId="0" applyNumberFormat="1" applyFont="1" applyBorder="1" applyAlignment="1">
      <alignment horizontal="center" vertical="center" shrinkToFit="1"/>
    </xf>
    <xf numFmtId="164" fontId="1" fillId="2" borderId="24" xfId="0" applyNumberFormat="1" applyFont="1" applyFill="1" applyBorder="1" applyAlignment="1">
      <alignment vertical="center" shrinkToFit="1"/>
    </xf>
    <xf numFmtId="43" fontId="1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43" fontId="8" fillId="0" borderId="0" xfId="0" applyNumberFormat="1" applyFont="1" applyAlignment="1">
      <alignment vertical="center"/>
    </xf>
    <xf numFmtId="43" fontId="9" fillId="0" borderId="34" xfId="0" applyNumberFormat="1" applyFont="1" applyBorder="1" applyAlignment="1">
      <alignment vertical="center"/>
    </xf>
    <xf numFmtId="43" fontId="9" fillId="0" borderId="0" xfId="0" applyNumberFormat="1" applyFont="1" applyAlignment="1">
      <alignment vertical="center"/>
    </xf>
    <xf numFmtId="43" fontId="9" fillId="0" borderId="6" xfId="0" applyNumberFormat="1" applyFont="1" applyBorder="1" applyAlignment="1">
      <alignment vertical="center"/>
    </xf>
    <xf numFmtId="43" fontId="2" fillId="0" borderId="34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6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4" xfId="0" applyNumberFormat="1" applyFont="1" applyBorder="1" applyAlignment="1">
      <alignment vertical="center"/>
    </xf>
    <xf numFmtId="43" fontId="2" fillId="0" borderId="5" xfId="0" applyNumberFormat="1" applyFont="1" applyBorder="1" applyAlignment="1">
      <alignment vertical="center"/>
    </xf>
    <xf numFmtId="164" fontId="1" fillId="2" borderId="23" xfId="0" applyNumberFormat="1" applyFont="1" applyFill="1" applyBorder="1" applyAlignment="1">
      <alignment horizontal="center" vertical="center" shrinkToFit="1"/>
    </xf>
    <xf numFmtId="164" fontId="1" fillId="0" borderId="7" xfId="0" applyNumberFormat="1" applyFont="1" applyBorder="1" applyAlignment="1">
      <alignment vertical="center" shrinkToFit="1"/>
    </xf>
    <xf numFmtId="164" fontId="1" fillId="0" borderId="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165" fontId="1" fillId="0" borderId="9" xfId="0" applyNumberFormat="1" applyFont="1" applyBorder="1" applyAlignment="1">
      <alignment horizontal="center" vertical="center" shrinkToFit="1"/>
    </xf>
    <xf numFmtId="165" fontId="1" fillId="0" borderId="7" xfId="0" applyNumberFormat="1" applyFont="1" applyBorder="1" applyAlignment="1">
      <alignment horizontal="center" vertical="center" shrinkToFit="1"/>
    </xf>
    <xf numFmtId="0" fontId="1" fillId="0" borderId="25" xfId="0" applyFont="1" applyBorder="1" applyAlignment="1">
      <alignment vertical="center"/>
    </xf>
    <xf numFmtId="165" fontId="1" fillId="0" borderId="25" xfId="0" applyNumberFormat="1" applyFont="1" applyBorder="1" applyAlignment="1">
      <alignment horizontal="center" vertical="center" shrinkToFit="1"/>
    </xf>
    <xf numFmtId="165" fontId="1" fillId="0" borderId="26" xfId="0" applyNumberFormat="1" applyFont="1" applyBorder="1" applyAlignment="1">
      <alignment horizontal="center" vertical="center" shrinkToFit="1"/>
    </xf>
    <xf numFmtId="165" fontId="1" fillId="0" borderId="24" xfId="0" applyNumberFormat="1" applyFont="1" applyBorder="1" applyAlignment="1">
      <alignment horizontal="center" vertical="center" shrinkToFit="1"/>
    </xf>
    <xf numFmtId="165" fontId="1" fillId="0" borderId="14" xfId="0" applyNumberFormat="1" applyFont="1" applyBorder="1" applyAlignment="1">
      <alignment horizontal="center" vertical="center" shrinkToFit="1"/>
    </xf>
    <xf numFmtId="0" fontId="1" fillId="0" borderId="24" xfId="0" applyFont="1" applyBorder="1" applyAlignment="1">
      <alignment vertical="center"/>
    </xf>
    <xf numFmtId="0" fontId="1" fillId="0" borderId="14" xfId="0" applyFont="1" applyBorder="1" applyAlignment="1">
      <alignment horizontal="center" vertical="center" shrinkToFit="1"/>
    </xf>
    <xf numFmtId="164" fontId="1" fillId="2" borderId="11" xfId="0" applyNumberFormat="1" applyFont="1" applyFill="1" applyBorder="1" applyAlignment="1">
      <alignment horizontal="center" vertical="center" shrinkToFit="1"/>
    </xf>
    <xf numFmtId="165" fontId="1" fillId="2" borderId="11" xfId="0" applyNumberFormat="1" applyFont="1" applyFill="1" applyBorder="1" applyAlignment="1">
      <alignment horizontal="center" vertical="center" shrinkToFit="1"/>
    </xf>
    <xf numFmtId="164" fontId="1" fillId="2" borderId="14" xfId="0" applyNumberFormat="1" applyFont="1" applyFill="1" applyBorder="1" applyAlignment="1">
      <alignment vertical="center" shrinkToFit="1"/>
    </xf>
    <xf numFmtId="164" fontId="1" fillId="2" borderId="14" xfId="0" applyNumberFormat="1" applyFont="1" applyFill="1" applyBorder="1" applyAlignment="1">
      <alignment horizontal="center" vertical="center" shrinkToFit="1"/>
    </xf>
    <xf numFmtId="165" fontId="1" fillId="2" borderId="14" xfId="0" applyNumberFormat="1" applyFont="1" applyFill="1" applyBorder="1" applyAlignment="1">
      <alignment horizontal="center" vertical="center" shrinkToFit="1"/>
    </xf>
    <xf numFmtId="0" fontId="1" fillId="2" borderId="27" xfId="0" applyFont="1" applyFill="1" applyBorder="1" applyAlignment="1">
      <alignment horizontal="center" vertical="center" shrinkToFit="1"/>
    </xf>
    <xf numFmtId="0" fontId="1" fillId="2" borderId="29" xfId="0" applyFont="1" applyFill="1" applyBorder="1" applyAlignment="1">
      <alignment horizontal="center" vertical="center" shrinkToFit="1"/>
    </xf>
    <xf numFmtId="0" fontId="1" fillId="0" borderId="13" xfId="0" applyFont="1" applyBorder="1" applyAlignment="1">
      <alignment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shrinkToFit="1"/>
    </xf>
    <xf numFmtId="164" fontId="1" fillId="3" borderId="7" xfId="0" applyNumberFormat="1" applyFont="1" applyFill="1" applyBorder="1" applyAlignment="1">
      <alignment horizontal="center" vertical="center" shrinkToFit="1"/>
    </xf>
    <xf numFmtId="164" fontId="1" fillId="4" borderId="9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31" xfId="0" applyNumberFormat="1" applyFont="1" applyBorder="1" applyAlignment="1">
      <alignment horizontal="right" vertical="center" shrinkToFit="1"/>
    </xf>
    <xf numFmtId="164" fontId="1" fillId="0" borderId="9" xfId="0" applyNumberFormat="1" applyFont="1" applyBorder="1" applyAlignment="1">
      <alignment horizontal="right" vertical="center" shrinkToFit="1"/>
    </xf>
    <xf numFmtId="164" fontId="1" fillId="0" borderId="9" xfId="0" applyNumberFormat="1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41" xfId="0" applyFont="1" applyBorder="1" applyAlignment="1">
      <alignment horizontal="center" vertical="center" shrinkToFit="1"/>
    </xf>
    <xf numFmtId="164" fontId="9" fillId="0" borderId="34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0" borderId="6" xfId="0" applyNumberFormat="1" applyFont="1" applyBorder="1" applyAlignment="1">
      <alignment vertical="center"/>
    </xf>
    <xf numFmtId="0" fontId="0" fillId="0" borderId="1" xfId="0" applyBorder="1"/>
    <xf numFmtId="164" fontId="1" fillId="0" borderId="14" xfId="0" applyNumberFormat="1" applyFont="1" applyBorder="1" applyAlignment="1">
      <alignment vertical="center" shrinkToFit="1"/>
    </xf>
    <xf numFmtId="164" fontId="1" fillId="3" borderId="14" xfId="0" applyNumberFormat="1" applyFont="1" applyFill="1" applyBorder="1" applyAlignment="1">
      <alignment horizontal="center" vertical="center" shrinkToFit="1"/>
    </xf>
    <xf numFmtId="0" fontId="0" fillId="0" borderId="4" xfId="0" applyBorder="1"/>
    <xf numFmtId="0" fontId="1" fillId="0" borderId="4" xfId="0" applyFont="1" applyBorder="1" applyAlignment="1">
      <alignment vertical="center"/>
    </xf>
    <xf numFmtId="164" fontId="1" fillId="2" borderId="42" xfId="0" applyNumberFormat="1" applyFont="1" applyFill="1" applyBorder="1" applyAlignment="1">
      <alignment horizontal="center" vertical="center"/>
    </xf>
    <xf numFmtId="164" fontId="1" fillId="2" borderId="43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44" xfId="0" applyFont="1" applyFill="1" applyBorder="1" applyAlignment="1">
      <alignment horizontal="center" vertical="center" shrinkToFit="1"/>
    </xf>
    <xf numFmtId="164" fontId="1" fillId="0" borderId="8" xfId="0" applyNumberFormat="1" applyFont="1" applyBorder="1" applyAlignment="1">
      <alignment vertical="center" shrinkToFit="1"/>
    </xf>
    <xf numFmtId="164" fontId="1" fillId="3" borderId="8" xfId="0" applyNumberFormat="1" applyFont="1" applyFill="1" applyBorder="1" applyAlignment="1">
      <alignment horizontal="center" vertical="center" shrinkToFit="1"/>
    </xf>
    <xf numFmtId="0" fontId="1" fillId="0" borderId="3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40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47" xfId="0" applyFont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168" fontId="0" fillId="0" borderId="31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168" fontId="0" fillId="0" borderId="12" xfId="0" applyNumberForma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7" fontId="0" fillId="0" borderId="26" xfId="0" applyNumberFormat="1" applyBorder="1" applyAlignment="1">
      <alignment horizontal="center"/>
    </xf>
    <xf numFmtId="167" fontId="0" fillId="0" borderId="19" xfId="0" applyNumberFormat="1" applyBorder="1" applyAlignment="1">
      <alignment horizontal="center"/>
    </xf>
    <xf numFmtId="167" fontId="0" fillId="0" borderId="20" xfId="0" applyNumberFormat="1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8" fontId="0" fillId="0" borderId="16" xfId="0" applyNumberFormat="1" applyBorder="1" applyAlignment="1">
      <alignment horizontal="center"/>
    </xf>
    <xf numFmtId="164" fontId="1" fillId="2" borderId="23" xfId="0" applyNumberFormat="1" applyFont="1" applyFill="1" applyBorder="1" applyAlignment="1">
      <alignment horizontal="center" vertical="center" shrinkToFit="1"/>
    </xf>
    <xf numFmtId="164" fontId="1" fillId="2" borderId="24" xfId="0" applyNumberFormat="1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shrinkToFit="1"/>
    </xf>
    <xf numFmtId="0" fontId="1" fillId="0" borderId="32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164" fontId="1" fillId="0" borderId="25" xfId="0" applyNumberFormat="1" applyFont="1" applyBorder="1" applyAlignment="1">
      <alignment horizontal="center" vertical="center" shrinkToFit="1"/>
    </xf>
    <xf numFmtId="164" fontId="1" fillId="0" borderId="7" xfId="0" applyNumberFormat="1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/>
    </xf>
    <xf numFmtId="165" fontId="3" fillId="0" borderId="9" xfId="0" applyNumberFormat="1" applyFont="1" applyFill="1" applyBorder="1" applyAlignment="1">
      <alignment horizontal="center" vertical="center" shrinkToFit="1"/>
    </xf>
    <xf numFmtId="165" fontId="1" fillId="0" borderId="9" xfId="0" applyNumberFormat="1" applyFont="1" applyFill="1" applyBorder="1" applyAlignment="1">
      <alignment horizontal="center" vertical="center" shrinkToFit="1"/>
    </xf>
    <xf numFmtId="0" fontId="1" fillId="0" borderId="9" xfId="0" applyFont="1" applyFill="1" applyBorder="1" applyAlignment="1">
      <alignment horizontal="center" vertical="center" shrinkToFit="1"/>
    </xf>
    <xf numFmtId="165" fontId="1" fillId="0" borderId="7" xfId="0" applyNumberFormat="1" applyFont="1" applyFill="1" applyBorder="1" applyAlignment="1">
      <alignment horizontal="center" vertical="center" shrinkToFit="1"/>
    </xf>
    <xf numFmtId="0" fontId="1" fillId="0" borderId="7" xfId="0" applyFont="1" applyFill="1" applyBorder="1" applyAlignment="1">
      <alignment horizontal="center" vertical="center" shrinkToFit="1"/>
    </xf>
    <xf numFmtId="0" fontId="1" fillId="0" borderId="8" xfId="0" applyFont="1" applyFill="1" applyBorder="1" applyAlignment="1">
      <alignment horizontal="center" vertical="center" shrinkToFit="1"/>
    </xf>
  </cellXfs>
  <cellStyles count="2">
    <cellStyle name="Normal" xfId="0" builtinId="0"/>
    <cellStyle name="Percent" xfId="1" builtinId="5"/>
  </cellStyles>
  <dxfs count="25"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7" tint="-0.24994659260841701"/>
        </patternFill>
      </fill>
    </dxf>
    <dxf>
      <fill>
        <patternFill>
          <bgColor rgb="FF00206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2060"/>
        </patternFill>
      </fill>
    </dxf>
    <dxf>
      <fill>
        <patternFill>
          <bgColor theme="7" tint="-0.24994659260841701"/>
        </patternFill>
      </fill>
    </dxf>
    <dxf>
      <fill>
        <patternFill>
          <bgColor rgb="FF00206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4304284175312415E-3"/>
          <c:w val="0.99183655604810539"/>
          <c:h val="0.97649478329729733"/>
        </c:manualLayout>
      </c:layout>
      <c:lineChart>
        <c:grouping val="standard"/>
        <c:varyColors val="0"/>
        <c:ser>
          <c:idx val="0"/>
          <c:order val="0"/>
          <c:tx>
            <c:v>PLAN</c:v>
          </c:tx>
          <c:spPr>
            <a:ln w="1270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'Weekly PLAN'!$AD$54:$DL$54</c:f>
              <c:numCache>
                <c:formatCode>_(* #,##0.00_);_(* \(#,##0.00\);_(* "-"??_);_(@_)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5.75</c:v>
                </c:pt>
                <c:pt idx="19">
                  <c:v>6.5</c:v>
                </c:pt>
                <c:pt idx="20">
                  <c:v>8.75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15.5</c:v>
                </c:pt>
                <c:pt idx="25">
                  <c:v>19</c:v>
                </c:pt>
                <c:pt idx="26">
                  <c:v>22.5</c:v>
                </c:pt>
                <c:pt idx="27">
                  <c:v>30.833333333333336</c:v>
                </c:pt>
                <c:pt idx="28">
                  <c:v>40.416666666666671</c:v>
                </c:pt>
                <c:pt idx="29">
                  <c:v>55.833333333333343</c:v>
                </c:pt>
                <c:pt idx="30">
                  <c:v>64.166666666666671</c:v>
                </c:pt>
                <c:pt idx="31">
                  <c:v>86.25</c:v>
                </c:pt>
                <c:pt idx="32">
                  <c:v>97.5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4-42B8-B94F-7ED8768FE632}"/>
            </c:ext>
          </c:extLst>
        </c:ser>
        <c:ser>
          <c:idx val="1"/>
          <c:order val="1"/>
          <c:tx>
            <c:v>Actual</c:v>
          </c:tx>
          <c:spPr>
            <a:ln w="1270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'Weekly PLAN'!$AD$56:$DL$56</c:f>
              <c:numCache>
                <c:formatCode>_(* #,##0.00_);_(* \(#,##0.00\);_(* "-"??_);_(@_)</c:formatCode>
                <c:ptCount val="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4-42B8-B94F-7ED8768FE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161007"/>
        <c:axId val="1994164847"/>
      </c:lineChart>
      <c:catAx>
        <c:axId val="1994161007"/>
        <c:scaling>
          <c:orientation val="minMax"/>
        </c:scaling>
        <c:delete val="1"/>
        <c:axPos val="b"/>
        <c:majorTickMark val="none"/>
        <c:minorTickMark val="none"/>
        <c:tickLblPos val="nextTo"/>
        <c:crossAx val="1994164847"/>
        <c:crosses val="autoZero"/>
        <c:auto val="1"/>
        <c:lblAlgn val="ctr"/>
        <c:lblOffset val="100"/>
        <c:noMultiLvlLbl val="0"/>
      </c:catAx>
      <c:valAx>
        <c:axId val="1994164847"/>
        <c:scaling>
          <c:orientation val="minMax"/>
          <c:min val="-1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199416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Plan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DC8-4FB3-9B9C-4A06645355E4}"/>
            </c:ext>
          </c:extLst>
        </c:ser>
        <c:ser>
          <c:idx val="1"/>
          <c:order val="1"/>
          <c:tx>
            <c:v>Actual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DC8-4FB3-9B9C-4A0664535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515679"/>
        <c:axId val="302215151"/>
      </c:lineChart>
      <c:catAx>
        <c:axId val="747515679"/>
        <c:scaling>
          <c:orientation val="minMax"/>
        </c:scaling>
        <c:delete val="1"/>
        <c:axPos val="b"/>
        <c:numFmt formatCode="dd/mm" sourceLinked="1"/>
        <c:majorTickMark val="none"/>
        <c:minorTickMark val="none"/>
        <c:tickLblPos val="nextTo"/>
        <c:crossAx val="302215151"/>
        <c:crosses val="autoZero"/>
        <c:auto val="1"/>
        <c:lblAlgn val="ctr"/>
        <c:lblOffset val="100"/>
        <c:noMultiLvlLbl val="1"/>
      </c:catAx>
      <c:valAx>
        <c:axId val="302215151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751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66130</xdr:colOff>
      <xdr:row>3</xdr:row>
      <xdr:rowOff>357188</xdr:rowOff>
    </xdr:from>
    <xdr:ext cx="251803" cy="22898933"/>
    <xdr:grpSp>
      <xdr:nvGrpSpPr>
        <xdr:cNvPr id="7" name="Shape 2">
          <a:extLst>
            <a:ext uri="{FF2B5EF4-FFF2-40B4-BE49-F238E27FC236}">
              <a16:creationId xmlns:a16="http://schemas.microsoft.com/office/drawing/2014/main" id="{9805958C-2A95-475A-A0D0-9DD44B4E8756}"/>
            </a:ext>
          </a:extLst>
        </xdr:cNvPr>
        <xdr:cNvGrpSpPr/>
      </xdr:nvGrpSpPr>
      <xdr:grpSpPr>
        <a:xfrm>
          <a:off x="4548188" y="3361373"/>
          <a:ext cx="251803" cy="22898933"/>
          <a:chOff x="5339022" y="0"/>
          <a:chExt cx="13319" cy="7559996"/>
        </a:xfrm>
      </xdr:grpSpPr>
      <xdr:grpSp>
        <xdr:nvGrpSpPr>
          <xdr:cNvPr id="8" name="Shape 3">
            <a:extLst>
              <a:ext uri="{FF2B5EF4-FFF2-40B4-BE49-F238E27FC236}">
                <a16:creationId xmlns:a16="http://schemas.microsoft.com/office/drawing/2014/main" id="{D65F1262-ABB0-63F9-C199-E4E59CDD8D41}"/>
              </a:ext>
            </a:extLst>
          </xdr:cNvPr>
          <xdr:cNvGrpSpPr/>
        </xdr:nvGrpSpPr>
        <xdr:grpSpPr>
          <a:xfrm>
            <a:off x="5339022" y="0"/>
            <a:ext cx="13319" cy="7559996"/>
            <a:chOff x="2168877" y="327731"/>
            <a:chExt cx="2775" cy="6458550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41CB3E1B-847A-D231-A705-517C9F3383F5}"/>
                </a:ext>
              </a:extLst>
            </xdr:cNvPr>
            <xdr:cNvSpPr/>
          </xdr:nvSpPr>
          <xdr:spPr>
            <a:xfrm>
              <a:off x="2168877" y="327731"/>
              <a:ext cx="2775" cy="6458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5">
              <a:extLst>
                <a:ext uri="{FF2B5EF4-FFF2-40B4-BE49-F238E27FC236}">
                  <a16:creationId xmlns:a16="http://schemas.microsoft.com/office/drawing/2014/main" id="{AE2B6649-DAA2-7A34-3D4B-4978006CBECF}"/>
                </a:ext>
              </a:extLst>
            </xdr:cNvPr>
            <xdr:cNvCxnSpPr/>
          </xdr:nvCxnSpPr>
          <xdr:spPr>
            <a:xfrm>
              <a:off x="2171313" y="346610"/>
              <a:ext cx="221" cy="6427226"/>
            </a:xfrm>
            <a:prstGeom prst="straightConnector1">
              <a:avLst/>
            </a:prstGeom>
            <a:noFill/>
            <a:ln w="31750" cap="flat" cmpd="sng">
              <a:solidFill>
                <a:srgbClr val="FF0000"/>
              </a:solidFill>
              <a:prstDash val="dash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34</xdr:col>
      <xdr:colOff>171984</xdr:colOff>
      <xdr:row>0</xdr:row>
      <xdr:rowOff>1673137</xdr:rowOff>
    </xdr:to>
    <xdr:pic>
      <xdr:nvPicPr>
        <xdr:cNvPr id="12" name="รูปภาพ 8">
          <a:extLst>
            <a:ext uri="{FF2B5EF4-FFF2-40B4-BE49-F238E27FC236}">
              <a16:creationId xmlns:a16="http://schemas.microsoft.com/office/drawing/2014/main" id="{04C53350-226F-4EAA-A959-9C15AEDC9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78568" cy="1668057"/>
        </a:xfrm>
        <a:prstGeom prst="rect">
          <a:avLst/>
        </a:prstGeom>
      </xdr:spPr>
    </xdr:pic>
    <xdr:clientData/>
  </xdr:twoCellAnchor>
  <xdr:twoCellAnchor>
    <xdr:from>
      <xdr:col>29</xdr:col>
      <xdr:colOff>208360</xdr:colOff>
      <xdr:row>4</xdr:row>
      <xdr:rowOff>476250</xdr:rowOff>
    </xdr:from>
    <xdr:to>
      <xdr:col>115</xdr:col>
      <xdr:colOff>440746</xdr:colOff>
      <xdr:row>53</xdr:row>
      <xdr:rowOff>170973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559536F2-60E4-F5EF-8212-B428AFC28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5</xdr:row>
      <xdr:rowOff>28575</xdr:rowOff>
    </xdr:from>
    <xdr:to>
      <xdr:col>22</xdr:col>
      <xdr:colOff>313509</xdr:colOff>
      <xdr:row>24</xdr:row>
      <xdr:rowOff>45991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12BFA-70ED-409E-924F-A4DA9F3EA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DC53A-B163-4293-9C75-A3D6D1AED766}">
  <sheetPr>
    <pageSetUpPr fitToPage="1"/>
  </sheetPr>
  <dimension ref="A1:JX56"/>
  <sheetViews>
    <sheetView tabSelected="1" zoomScale="40" zoomScaleNormal="40" workbookViewId="0">
      <selection activeCell="G49" sqref="G49:H51"/>
    </sheetView>
  </sheetViews>
  <sheetFormatPr defaultColWidth="13" defaultRowHeight="15" customHeight="1"/>
  <cols>
    <col min="1" max="1" width="5.44140625" style="1" customWidth="1"/>
    <col min="2" max="2" width="60.88671875" style="1" bestFit="1" customWidth="1"/>
    <col min="3" max="3" width="8.109375" style="1" hidden="1" customWidth="1"/>
    <col min="4" max="4" width="3.88671875" style="1" hidden="1" customWidth="1"/>
    <col min="5" max="5" width="11.44140625" style="6" customWidth="1"/>
    <col min="6" max="6" width="11.88671875" style="1" customWidth="1"/>
    <col min="7" max="7" width="11.44140625" style="1" customWidth="1"/>
    <col min="8" max="8" width="10.6640625" style="1" customWidth="1"/>
    <col min="9" max="9" width="7.44140625" style="1" customWidth="1"/>
    <col min="10" max="12" width="6.109375" style="1" hidden="1" customWidth="1"/>
    <col min="13" max="14" width="6.44140625" style="1" hidden="1" customWidth="1"/>
    <col min="15" max="15" width="6.109375" style="1" hidden="1" customWidth="1"/>
    <col min="16" max="16" width="6.44140625" style="1" hidden="1" customWidth="1"/>
    <col min="17" max="20" width="6.109375" style="1" hidden="1" customWidth="1"/>
    <col min="21" max="26" width="6" hidden="1" customWidth="1"/>
    <col min="27" max="27" width="5.5546875" hidden="1" customWidth="1"/>
    <col min="28" max="28" width="6.44140625" hidden="1" customWidth="1"/>
    <col min="29" max="29" width="4.88671875" hidden="1" customWidth="1"/>
    <col min="30" max="36" width="6" customWidth="1"/>
    <col min="37" max="37" width="5.5546875" bestFit="1" customWidth="1"/>
    <col min="38" max="64" width="6" customWidth="1"/>
    <col min="65" max="73" width="6.109375" style="1" customWidth="1"/>
    <col min="74" max="284" width="6" customWidth="1"/>
    <col min="285" max="16384" width="13" style="1"/>
  </cols>
  <sheetData>
    <row r="1" spans="1:284" ht="143.25" customHeight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"/>
      <c r="AK1" s="1"/>
      <c r="AL1" s="1"/>
      <c r="AM1" s="1"/>
      <c r="AN1" s="1"/>
      <c r="AO1" s="1"/>
      <c r="AP1" s="1"/>
      <c r="AQ1" s="1"/>
      <c r="AR1" s="1"/>
      <c r="BE1" s="1"/>
      <c r="BF1" s="1"/>
      <c r="BG1" s="1"/>
      <c r="BH1" s="1"/>
      <c r="BI1" s="1"/>
      <c r="BJ1" s="1"/>
      <c r="BK1" s="1"/>
      <c r="BL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</row>
    <row r="2" spans="1:284" customFormat="1" ht="54" customHeight="1">
      <c r="A2" s="144" t="s">
        <v>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</row>
    <row r="3" spans="1:284" customFormat="1" ht="39" customHeight="1">
      <c r="A3" s="141" t="s">
        <v>1</v>
      </c>
      <c r="B3" s="141"/>
      <c r="C3" s="141"/>
      <c r="D3" s="145" t="s">
        <v>95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K3" s="21"/>
    </row>
    <row r="4" spans="1:284" customFormat="1" ht="39" customHeight="1">
      <c r="A4" s="141" t="s">
        <v>2</v>
      </c>
      <c r="B4" s="141"/>
      <c r="C4" s="141"/>
      <c r="D4" s="146" t="s">
        <v>96</v>
      </c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</row>
    <row r="5" spans="1:284" customFormat="1" ht="39" customHeight="1" thickBot="1">
      <c r="A5" s="142" t="s">
        <v>3</v>
      </c>
      <c r="B5" s="142"/>
      <c r="C5" s="142"/>
      <c r="D5" s="104" t="s">
        <v>20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</row>
    <row r="6" spans="1:284" ht="19.95" customHeight="1">
      <c r="A6" s="137" t="s">
        <v>4</v>
      </c>
      <c r="B6" s="135" t="s">
        <v>5</v>
      </c>
      <c r="C6" s="79"/>
      <c r="D6" s="80"/>
      <c r="E6" s="81"/>
      <c r="F6" s="81"/>
      <c r="G6" s="129" t="s">
        <v>6</v>
      </c>
      <c r="H6" s="129"/>
      <c r="I6" s="130"/>
      <c r="J6" s="83"/>
      <c r="K6" s="83"/>
      <c r="L6" s="113">
        <f>L8</f>
        <v>45292</v>
      </c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6"/>
      <c r="BM6" s="125">
        <f>BM8</f>
        <v>45662</v>
      </c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6"/>
    </row>
    <row r="7" spans="1:284" ht="19.95" customHeight="1">
      <c r="A7" s="137"/>
      <c r="B7" s="135"/>
      <c r="C7" s="133" t="s">
        <v>7</v>
      </c>
      <c r="D7" s="134"/>
      <c r="E7" s="3" t="s">
        <v>8</v>
      </c>
      <c r="F7" s="3" t="s">
        <v>9</v>
      </c>
      <c r="G7" s="131"/>
      <c r="H7" s="131"/>
      <c r="I7" s="132"/>
      <c r="J7" s="20"/>
      <c r="K7" s="20"/>
      <c r="L7" s="117">
        <f>L8</f>
        <v>45292</v>
      </c>
      <c r="M7" s="118"/>
      <c r="N7" s="118"/>
      <c r="O7" s="118"/>
      <c r="P7" s="118"/>
      <c r="Q7" s="118">
        <f>Q8</f>
        <v>45326</v>
      </c>
      <c r="R7" s="118"/>
      <c r="S7" s="118"/>
      <c r="T7" s="118"/>
      <c r="U7" s="120">
        <f>U8</f>
        <v>45354</v>
      </c>
      <c r="V7" s="121"/>
      <c r="W7" s="121"/>
      <c r="X7" s="121"/>
      <c r="Y7" s="122"/>
      <c r="Z7" s="120">
        <f>Z8</f>
        <v>45389</v>
      </c>
      <c r="AA7" s="121"/>
      <c r="AB7" s="121"/>
      <c r="AC7" s="122"/>
      <c r="AD7" s="118">
        <f>AD8</f>
        <v>45417</v>
      </c>
      <c r="AE7" s="118"/>
      <c r="AF7" s="118"/>
      <c r="AG7" s="118"/>
      <c r="AH7" s="120">
        <f>AH8</f>
        <v>45445</v>
      </c>
      <c r="AI7" s="121"/>
      <c r="AJ7" s="121"/>
      <c r="AK7" s="121"/>
      <c r="AL7" s="122"/>
      <c r="AM7" s="120">
        <f>AM8</f>
        <v>45480</v>
      </c>
      <c r="AN7" s="121"/>
      <c r="AO7" s="121"/>
      <c r="AP7" s="122"/>
      <c r="AQ7" s="118">
        <f>AQ8</f>
        <v>45508</v>
      </c>
      <c r="AR7" s="118"/>
      <c r="AS7" s="118"/>
      <c r="AT7" s="118"/>
      <c r="AU7" s="118">
        <f>AU8</f>
        <v>45536</v>
      </c>
      <c r="AV7" s="118"/>
      <c r="AW7" s="118"/>
      <c r="AX7" s="118"/>
      <c r="AY7" s="118"/>
      <c r="AZ7" s="118">
        <f>AZ8</f>
        <v>45571</v>
      </c>
      <c r="BA7" s="118"/>
      <c r="BB7" s="118"/>
      <c r="BC7" s="118"/>
      <c r="BD7" s="118">
        <f>BD8</f>
        <v>45599</v>
      </c>
      <c r="BE7" s="118"/>
      <c r="BF7" s="118"/>
      <c r="BG7" s="118"/>
      <c r="BH7" s="118">
        <f>BH8</f>
        <v>45627</v>
      </c>
      <c r="BI7" s="118"/>
      <c r="BJ7" s="118"/>
      <c r="BK7" s="118"/>
      <c r="BL7" s="119"/>
      <c r="BM7" s="121">
        <f>BM8</f>
        <v>45662</v>
      </c>
      <c r="BN7" s="121"/>
      <c r="BO7" s="121"/>
      <c r="BP7" s="122"/>
      <c r="BQ7" s="120">
        <f>BR8</f>
        <v>45697</v>
      </c>
      <c r="BR7" s="121"/>
      <c r="BS7" s="121"/>
      <c r="BT7" s="122"/>
      <c r="BU7" s="120">
        <f>BV8</f>
        <v>45725</v>
      </c>
      <c r="BV7" s="121"/>
      <c r="BW7" s="121"/>
      <c r="BX7" s="121"/>
      <c r="BY7" s="122"/>
      <c r="BZ7" s="120">
        <f>BZ8</f>
        <v>45753</v>
      </c>
      <c r="CA7" s="121"/>
      <c r="CB7" s="121"/>
      <c r="CC7" s="122"/>
      <c r="CD7" s="120">
        <f>CE8</f>
        <v>45788</v>
      </c>
      <c r="CE7" s="121"/>
      <c r="CF7" s="121"/>
      <c r="CG7" s="122"/>
      <c r="CH7" s="120">
        <f>CI8</f>
        <v>45816</v>
      </c>
      <c r="CI7" s="121"/>
      <c r="CJ7" s="121"/>
      <c r="CK7" s="121"/>
      <c r="CL7" s="122"/>
      <c r="CM7" s="120">
        <f>CM8</f>
        <v>45844</v>
      </c>
      <c r="CN7" s="121"/>
      <c r="CO7" s="121"/>
      <c r="CP7" s="122"/>
      <c r="CQ7" s="120">
        <f>CR8</f>
        <v>45879</v>
      </c>
      <c r="CR7" s="121"/>
      <c r="CS7" s="121"/>
      <c r="CT7" s="121"/>
      <c r="CU7" s="122"/>
      <c r="CV7" s="120">
        <f>CV8</f>
        <v>45907</v>
      </c>
      <c r="CW7" s="121"/>
      <c r="CX7" s="121"/>
      <c r="CY7" s="122"/>
      <c r="CZ7" s="120">
        <f>DA8</f>
        <v>45942</v>
      </c>
      <c r="DA7" s="121"/>
      <c r="DB7" s="121"/>
      <c r="DC7" s="121"/>
      <c r="DD7" s="118">
        <f>DE8</f>
        <v>45970</v>
      </c>
      <c r="DE7" s="118"/>
      <c r="DF7" s="118"/>
      <c r="DG7" s="118"/>
      <c r="DH7" s="118"/>
      <c r="DI7" s="118">
        <f>DI8</f>
        <v>45998</v>
      </c>
      <c r="DJ7" s="118"/>
      <c r="DK7" s="118"/>
      <c r="DL7" s="119"/>
    </row>
    <row r="8" spans="1:284" s="6" customFormat="1" ht="19.95" customHeight="1">
      <c r="A8" s="137"/>
      <c r="B8" s="135"/>
      <c r="C8" s="133" t="s">
        <v>10</v>
      </c>
      <c r="D8" s="134"/>
      <c r="E8" s="3" t="s">
        <v>11</v>
      </c>
      <c r="F8" s="3" t="s">
        <v>12</v>
      </c>
      <c r="G8" s="2" t="s">
        <v>13</v>
      </c>
      <c r="H8" s="2" t="s">
        <v>14</v>
      </c>
      <c r="I8" s="132" t="s">
        <v>15</v>
      </c>
      <c r="J8" s="20"/>
      <c r="K8" s="20"/>
      <c r="L8" s="11">
        <v>45292</v>
      </c>
      <c r="M8" s="9">
        <f>L8+6</f>
        <v>45298</v>
      </c>
      <c r="N8" s="9">
        <f t="shared" ref="N8" si="0">M8+7</f>
        <v>45305</v>
      </c>
      <c r="O8" s="9">
        <f t="shared" ref="O8" si="1">N8+7</f>
        <v>45312</v>
      </c>
      <c r="P8" s="9">
        <f t="shared" ref="P8" si="2">O8+7</f>
        <v>45319</v>
      </c>
      <c r="Q8" s="9">
        <f t="shared" ref="Q8" si="3">P8+7</f>
        <v>45326</v>
      </c>
      <c r="R8" s="9">
        <f t="shared" ref="R8" si="4">Q8+7</f>
        <v>45333</v>
      </c>
      <c r="S8" s="9">
        <f t="shared" ref="S8" si="5">R8+7</f>
        <v>45340</v>
      </c>
      <c r="T8" s="9">
        <f t="shared" ref="T8" si="6">S8+7</f>
        <v>45347</v>
      </c>
      <c r="U8" s="9">
        <f t="shared" ref="U8" si="7">T8+7</f>
        <v>45354</v>
      </c>
      <c r="V8" s="9">
        <f t="shared" ref="V8" si="8">U8+7</f>
        <v>45361</v>
      </c>
      <c r="W8" s="9">
        <f t="shared" ref="W8" si="9">V8+7</f>
        <v>45368</v>
      </c>
      <c r="X8" s="9">
        <f t="shared" ref="X8" si="10">W8+7</f>
        <v>45375</v>
      </c>
      <c r="Y8" s="9">
        <f t="shared" ref="Y8" si="11">X8+7</f>
        <v>45382</v>
      </c>
      <c r="Z8" s="9">
        <f t="shared" ref="Z8" si="12">Y8+7</f>
        <v>45389</v>
      </c>
      <c r="AA8" s="9">
        <f t="shared" ref="AA8" si="13">Z8+7</f>
        <v>45396</v>
      </c>
      <c r="AB8" s="9">
        <f t="shared" ref="AB8" si="14">AA8+7</f>
        <v>45403</v>
      </c>
      <c r="AC8" s="9">
        <f t="shared" ref="AC8" si="15">AB8+7</f>
        <v>45410</v>
      </c>
      <c r="AD8" s="9">
        <f t="shared" ref="AD8" si="16">AC8+7</f>
        <v>45417</v>
      </c>
      <c r="AE8" s="9">
        <f t="shared" ref="AE8" si="17">AD8+7</f>
        <v>45424</v>
      </c>
      <c r="AF8" s="9">
        <f t="shared" ref="AF8" si="18">AE8+7</f>
        <v>45431</v>
      </c>
      <c r="AG8" s="9">
        <f t="shared" ref="AG8" si="19">AF8+7</f>
        <v>45438</v>
      </c>
      <c r="AH8" s="9">
        <f t="shared" ref="AH8" si="20">AG8+7</f>
        <v>45445</v>
      </c>
      <c r="AI8" s="9">
        <f t="shared" ref="AI8" si="21">AH8+7</f>
        <v>45452</v>
      </c>
      <c r="AJ8" s="9">
        <f t="shared" ref="AJ8" si="22">AI8+7</f>
        <v>45459</v>
      </c>
      <c r="AK8" s="9">
        <f t="shared" ref="AK8" si="23">AJ8+7</f>
        <v>45466</v>
      </c>
      <c r="AL8" s="9">
        <f t="shared" ref="AL8" si="24">AK8+7</f>
        <v>45473</v>
      </c>
      <c r="AM8" s="9">
        <f t="shared" ref="AM8" si="25">AL8+7</f>
        <v>45480</v>
      </c>
      <c r="AN8" s="9">
        <f t="shared" ref="AN8" si="26">AM8+7</f>
        <v>45487</v>
      </c>
      <c r="AO8" s="9">
        <f t="shared" ref="AO8" si="27">AN8+7</f>
        <v>45494</v>
      </c>
      <c r="AP8" s="9">
        <f t="shared" ref="AP8" si="28">AO8+7</f>
        <v>45501</v>
      </c>
      <c r="AQ8" s="9">
        <f t="shared" ref="AQ8" si="29">AP8+7</f>
        <v>45508</v>
      </c>
      <c r="AR8" s="9">
        <f t="shared" ref="AR8" si="30">AQ8+7</f>
        <v>45515</v>
      </c>
      <c r="AS8" s="9">
        <f t="shared" ref="AS8" si="31">AR8+7</f>
        <v>45522</v>
      </c>
      <c r="AT8" s="9">
        <f t="shared" ref="AT8" si="32">AS8+7</f>
        <v>45529</v>
      </c>
      <c r="AU8" s="9">
        <f t="shared" ref="AU8" si="33">AT8+7</f>
        <v>45536</v>
      </c>
      <c r="AV8" s="9">
        <f t="shared" ref="AV8" si="34">AU8+7</f>
        <v>45543</v>
      </c>
      <c r="AW8" s="9">
        <f t="shared" ref="AW8" si="35">AV8+7</f>
        <v>45550</v>
      </c>
      <c r="AX8" s="9">
        <f t="shared" ref="AX8" si="36">AW8+7</f>
        <v>45557</v>
      </c>
      <c r="AY8" s="9">
        <f t="shared" ref="AY8" si="37">AX8+7</f>
        <v>45564</v>
      </c>
      <c r="AZ8" s="9">
        <f t="shared" ref="AZ8" si="38">AY8+7</f>
        <v>45571</v>
      </c>
      <c r="BA8" s="9">
        <f t="shared" ref="BA8" si="39">AZ8+7</f>
        <v>45578</v>
      </c>
      <c r="BB8" s="9">
        <f t="shared" ref="BB8" si="40">BA8+7</f>
        <v>45585</v>
      </c>
      <c r="BC8" s="9">
        <f t="shared" ref="BC8" si="41">BB8+7</f>
        <v>45592</v>
      </c>
      <c r="BD8" s="9">
        <f t="shared" ref="BD8" si="42">BC8+7</f>
        <v>45599</v>
      </c>
      <c r="BE8" s="9">
        <f t="shared" ref="BE8" si="43">BD8+7</f>
        <v>45606</v>
      </c>
      <c r="BF8" s="9">
        <f t="shared" ref="BF8" si="44">BE8+7</f>
        <v>45613</v>
      </c>
      <c r="BG8" s="9">
        <f t="shared" ref="BG8" si="45">BF8+7</f>
        <v>45620</v>
      </c>
      <c r="BH8" s="9">
        <f t="shared" ref="BH8" si="46">BG8+7</f>
        <v>45627</v>
      </c>
      <c r="BI8" s="9">
        <f t="shared" ref="BI8" si="47">BH8+7</f>
        <v>45634</v>
      </c>
      <c r="BJ8" s="9">
        <f t="shared" ref="BJ8" si="48">BI8+7</f>
        <v>45641</v>
      </c>
      <c r="BK8" s="9">
        <f t="shared" ref="BK8" si="49">BJ8+7</f>
        <v>45648</v>
      </c>
      <c r="BL8" s="12">
        <f t="shared" ref="BL8" si="50">BK8+7</f>
        <v>45655</v>
      </c>
      <c r="BM8" s="26">
        <f>BL8+7</f>
        <v>45662</v>
      </c>
      <c r="BN8" s="9">
        <f t="shared" ref="BN8:BZ8" si="51">BM8+7</f>
        <v>45669</v>
      </c>
      <c r="BO8" s="9">
        <f t="shared" si="51"/>
        <v>45676</v>
      </c>
      <c r="BP8" s="9">
        <f t="shared" si="51"/>
        <v>45683</v>
      </c>
      <c r="BQ8" s="9">
        <f t="shared" si="51"/>
        <v>45690</v>
      </c>
      <c r="BR8" s="9">
        <f t="shared" si="51"/>
        <v>45697</v>
      </c>
      <c r="BS8" s="9">
        <f t="shared" si="51"/>
        <v>45704</v>
      </c>
      <c r="BT8" s="9">
        <f t="shared" si="51"/>
        <v>45711</v>
      </c>
      <c r="BU8" s="9">
        <f t="shared" si="51"/>
        <v>45718</v>
      </c>
      <c r="BV8" s="9">
        <f t="shared" si="51"/>
        <v>45725</v>
      </c>
      <c r="BW8" s="9">
        <f t="shared" si="51"/>
        <v>45732</v>
      </c>
      <c r="BX8" s="9">
        <f t="shared" si="51"/>
        <v>45739</v>
      </c>
      <c r="BY8" s="9">
        <f t="shared" si="51"/>
        <v>45746</v>
      </c>
      <c r="BZ8" s="9">
        <f t="shared" si="51"/>
        <v>45753</v>
      </c>
      <c r="CA8" s="9">
        <f t="shared" ref="CA8:DL8" si="52">BZ8+7</f>
        <v>45760</v>
      </c>
      <c r="CB8" s="9">
        <f t="shared" si="52"/>
        <v>45767</v>
      </c>
      <c r="CC8" s="9">
        <f t="shared" si="52"/>
        <v>45774</v>
      </c>
      <c r="CD8" s="9">
        <f t="shared" si="52"/>
        <v>45781</v>
      </c>
      <c r="CE8" s="9">
        <f t="shared" si="52"/>
        <v>45788</v>
      </c>
      <c r="CF8" s="9">
        <f t="shared" si="52"/>
        <v>45795</v>
      </c>
      <c r="CG8" s="9">
        <f t="shared" si="52"/>
        <v>45802</v>
      </c>
      <c r="CH8" s="9">
        <f t="shared" si="52"/>
        <v>45809</v>
      </c>
      <c r="CI8" s="9">
        <f t="shared" si="52"/>
        <v>45816</v>
      </c>
      <c r="CJ8" s="9">
        <f t="shared" si="52"/>
        <v>45823</v>
      </c>
      <c r="CK8" s="9">
        <f t="shared" si="52"/>
        <v>45830</v>
      </c>
      <c r="CL8" s="9">
        <f t="shared" si="52"/>
        <v>45837</v>
      </c>
      <c r="CM8" s="9">
        <f t="shared" si="52"/>
        <v>45844</v>
      </c>
      <c r="CN8" s="9">
        <f t="shared" si="52"/>
        <v>45851</v>
      </c>
      <c r="CO8" s="9">
        <f t="shared" si="52"/>
        <v>45858</v>
      </c>
      <c r="CP8" s="9">
        <f t="shared" si="52"/>
        <v>45865</v>
      </c>
      <c r="CQ8" s="9">
        <f t="shared" si="52"/>
        <v>45872</v>
      </c>
      <c r="CR8" s="9">
        <f t="shared" si="52"/>
        <v>45879</v>
      </c>
      <c r="CS8" s="9">
        <f t="shared" si="52"/>
        <v>45886</v>
      </c>
      <c r="CT8" s="9">
        <f t="shared" si="52"/>
        <v>45893</v>
      </c>
      <c r="CU8" s="9">
        <f t="shared" si="52"/>
        <v>45900</v>
      </c>
      <c r="CV8" s="9">
        <f t="shared" si="52"/>
        <v>45907</v>
      </c>
      <c r="CW8" s="9">
        <f t="shared" si="52"/>
        <v>45914</v>
      </c>
      <c r="CX8" s="9">
        <f t="shared" si="52"/>
        <v>45921</v>
      </c>
      <c r="CY8" s="9">
        <f t="shared" si="52"/>
        <v>45928</v>
      </c>
      <c r="CZ8" s="9">
        <f t="shared" si="52"/>
        <v>45935</v>
      </c>
      <c r="DA8" s="9">
        <f t="shared" si="52"/>
        <v>45942</v>
      </c>
      <c r="DB8" s="9">
        <f t="shared" si="52"/>
        <v>45949</v>
      </c>
      <c r="DC8" s="9">
        <f t="shared" si="52"/>
        <v>45956</v>
      </c>
      <c r="DD8" s="9">
        <f t="shared" si="52"/>
        <v>45963</v>
      </c>
      <c r="DE8" s="9">
        <f t="shared" si="52"/>
        <v>45970</v>
      </c>
      <c r="DF8" s="9">
        <f t="shared" si="52"/>
        <v>45977</v>
      </c>
      <c r="DG8" s="9">
        <f t="shared" si="52"/>
        <v>45984</v>
      </c>
      <c r="DH8" s="9">
        <f t="shared" si="52"/>
        <v>45991</v>
      </c>
      <c r="DI8" s="9">
        <f t="shared" si="52"/>
        <v>45998</v>
      </c>
      <c r="DJ8" s="9">
        <f t="shared" si="52"/>
        <v>46005</v>
      </c>
      <c r="DK8" s="9">
        <f t="shared" si="52"/>
        <v>46012</v>
      </c>
      <c r="DL8" s="12">
        <f t="shared" si="52"/>
        <v>46019</v>
      </c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</row>
    <row r="9" spans="1:284" ht="19.95" customHeight="1" thickBot="1">
      <c r="A9" s="138"/>
      <c r="B9" s="136"/>
      <c r="C9" s="17" t="s">
        <v>16</v>
      </c>
      <c r="D9" s="3"/>
      <c r="E9" s="3" t="s">
        <v>16</v>
      </c>
      <c r="F9" s="3"/>
      <c r="G9" s="2" t="s">
        <v>17</v>
      </c>
      <c r="H9" s="2" t="s">
        <v>17</v>
      </c>
      <c r="I9" s="132"/>
      <c r="J9" s="20"/>
      <c r="K9" s="20"/>
      <c r="L9" s="13" t="s">
        <v>21</v>
      </c>
      <c r="M9" s="8" t="s">
        <v>22</v>
      </c>
      <c r="N9" s="8" t="s">
        <v>23</v>
      </c>
      <c r="O9" s="8" t="s">
        <v>24</v>
      </c>
      <c r="P9" s="8" t="s">
        <v>25</v>
      </c>
      <c r="Q9" s="8" t="s">
        <v>26</v>
      </c>
      <c r="R9" s="8" t="s">
        <v>27</v>
      </c>
      <c r="S9" s="8" t="s">
        <v>28</v>
      </c>
      <c r="T9" s="8" t="s">
        <v>29</v>
      </c>
      <c r="U9" s="8" t="s">
        <v>30</v>
      </c>
      <c r="V9" s="8" t="s">
        <v>31</v>
      </c>
      <c r="W9" s="8" t="s">
        <v>32</v>
      </c>
      <c r="X9" s="8" t="s">
        <v>33</v>
      </c>
      <c r="Y9" s="8" t="s">
        <v>34</v>
      </c>
      <c r="Z9" s="8" t="s">
        <v>35</v>
      </c>
      <c r="AA9" s="8" t="s">
        <v>36</v>
      </c>
      <c r="AB9" s="8" t="s">
        <v>37</v>
      </c>
      <c r="AC9" s="8" t="s">
        <v>38</v>
      </c>
      <c r="AD9" s="8" t="s">
        <v>39</v>
      </c>
      <c r="AE9" s="8" t="s">
        <v>40</v>
      </c>
      <c r="AF9" s="8" t="s">
        <v>41</v>
      </c>
      <c r="AG9" s="8" t="s">
        <v>42</v>
      </c>
      <c r="AH9" s="8" t="s">
        <v>43</v>
      </c>
      <c r="AI9" s="8" t="s">
        <v>44</v>
      </c>
      <c r="AJ9" s="8" t="s">
        <v>45</v>
      </c>
      <c r="AK9" s="8" t="s">
        <v>46</v>
      </c>
      <c r="AL9" s="8" t="s">
        <v>47</v>
      </c>
      <c r="AM9" s="8" t="s">
        <v>48</v>
      </c>
      <c r="AN9" s="8" t="s">
        <v>49</v>
      </c>
      <c r="AO9" s="8" t="s">
        <v>50</v>
      </c>
      <c r="AP9" s="8" t="s">
        <v>51</v>
      </c>
      <c r="AQ9" s="8" t="s">
        <v>52</v>
      </c>
      <c r="AR9" s="8" t="s">
        <v>53</v>
      </c>
      <c r="AS9" s="8" t="s">
        <v>54</v>
      </c>
      <c r="AT9" s="8" t="s">
        <v>55</v>
      </c>
      <c r="AU9" s="8" t="s">
        <v>56</v>
      </c>
      <c r="AV9" s="8" t="s">
        <v>57</v>
      </c>
      <c r="AW9" s="8" t="s">
        <v>58</v>
      </c>
      <c r="AX9" s="8" t="s">
        <v>59</v>
      </c>
      <c r="AY9" s="8" t="s">
        <v>60</v>
      </c>
      <c r="AZ9" s="8" t="s">
        <v>61</v>
      </c>
      <c r="BA9" s="8" t="s">
        <v>62</v>
      </c>
      <c r="BB9" s="8" t="s">
        <v>63</v>
      </c>
      <c r="BC9" s="8" t="s">
        <v>64</v>
      </c>
      <c r="BD9" s="8" t="s">
        <v>65</v>
      </c>
      <c r="BE9" s="8" t="s">
        <v>66</v>
      </c>
      <c r="BF9" s="8" t="s">
        <v>67</v>
      </c>
      <c r="BG9" s="8" t="s">
        <v>68</v>
      </c>
      <c r="BH9" s="8" t="s">
        <v>69</v>
      </c>
      <c r="BI9" s="8" t="s">
        <v>70</v>
      </c>
      <c r="BJ9" s="8" t="s">
        <v>71</v>
      </c>
      <c r="BK9" s="8" t="s">
        <v>72</v>
      </c>
      <c r="BL9" s="14" t="s">
        <v>73</v>
      </c>
      <c r="BM9" s="27" t="s">
        <v>21</v>
      </c>
      <c r="BN9" s="8" t="s">
        <v>22</v>
      </c>
      <c r="BO9" s="8" t="s">
        <v>23</v>
      </c>
      <c r="BP9" s="8" t="s">
        <v>24</v>
      </c>
      <c r="BQ9" s="8" t="s">
        <v>25</v>
      </c>
      <c r="BR9" s="8" t="s">
        <v>26</v>
      </c>
      <c r="BS9" s="8" t="s">
        <v>27</v>
      </c>
      <c r="BT9" s="8" t="s">
        <v>28</v>
      </c>
      <c r="BU9" s="8" t="s">
        <v>29</v>
      </c>
      <c r="BV9" s="8" t="s">
        <v>30</v>
      </c>
      <c r="BW9" s="8" t="s">
        <v>31</v>
      </c>
      <c r="BX9" s="8" t="s">
        <v>32</v>
      </c>
      <c r="BY9" s="8" t="s">
        <v>33</v>
      </c>
      <c r="BZ9" s="8" t="s">
        <v>34</v>
      </c>
      <c r="CA9" s="8" t="s">
        <v>35</v>
      </c>
      <c r="CB9" s="8" t="s">
        <v>36</v>
      </c>
      <c r="CC9" s="8" t="s">
        <v>37</v>
      </c>
      <c r="CD9" s="8" t="s">
        <v>38</v>
      </c>
      <c r="CE9" s="8" t="s">
        <v>39</v>
      </c>
      <c r="CF9" s="8" t="s">
        <v>40</v>
      </c>
      <c r="CG9" s="8" t="s">
        <v>41</v>
      </c>
      <c r="CH9" s="8" t="s">
        <v>42</v>
      </c>
      <c r="CI9" s="8" t="s">
        <v>43</v>
      </c>
      <c r="CJ9" s="8" t="s">
        <v>44</v>
      </c>
      <c r="CK9" s="8" t="s">
        <v>45</v>
      </c>
      <c r="CL9" s="8" t="s">
        <v>46</v>
      </c>
      <c r="CM9" s="8" t="s">
        <v>47</v>
      </c>
      <c r="CN9" s="8" t="s">
        <v>48</v>
      </c>
      <c r="CO9" s="8" t="s">
        <v>49</v>
      </c>
      <c r="CP9" s="8" t="s">
        <v>50</v>
      </c>
      <c r="CQ9" s="8" t="s">
        <v>51</v>
      </c>
      <c r="CR9" s="8" t="s">
        <v>52</v>
      </c>
      <c r="CS9" s="8" t="s">
        <v>53</v>
      </c>
      <c r="CT9" s="8" t="s">
        <v>54</v>
      </c>
      <c r="CU9" s="8" t="s">
        <v>55</v>
      </c>
      <c r="CV9" s="8" t="s">
        <v>56</v>
      </c>
      <c r="CW9" s="8" t="s">
        <v>57</v>
      </c>
      <c r="CX9" s="8" t="s">
        <v>58</v>
      </c>
      <c r="CY9" s="8" t="s">
        <v>59</v>
      </c>
      <c r="CZ9" s="8" t="s">
        <v>60</v>
      </c>
      <c r="DA9" s="8" t="s">
        <v>61</v>
      </c>
      <c r="DB9" s="8" t="s">
        <v>62</v>
      </c>
      <c r="DC9" s="8" t="s">
        <v>63</v>
      </c>
      <c r="DD9" s="8" t="s">
        <v>64</v>
      </c>
      <c r="DE9" s="8" t="s">
        <v>65</v>
      </c>
      <c r="DF9" s="8" t="s">
        <v>66</v>
      </c>
      <c r="DG9" s="8" t="s">
        <v>67</v>
      </c>
      <c r="DH9" s="8" t="s">
        <v>68</v>
      </c>
      <c r="DI9" s="8" t="s">
        <v>69</v>
      </c>
      <c r="DJ9" s="8" t="s">
        <v>70</v>
      </c>
      <c r="DK9" s="8" t="s">
        <v>71</v>
      </c>
      <c r="DL9" s="14" t="s">
        <v>72</v>
      </c>
    </row>
    <row r="10" spans="1:284" ht="19.95" customHeight="1" thickBot="1">
      <c r="A10" s="7"/>
      <c r="B10" s="78"/>
      <c r="C10" s="18"/>
      <c r="D10" s="4"/>
      <c r="E10" s="4"/>
      <c r="F10" s="4"/>
      <c r="G10" s="5"/>
      <c r="H10" s="5"/>
      <c r="I10" s="16"/>
      <c r="J10" s="19"/>
      <c r="K10" s="19"/>
      <c r="L10" s="15">
        <v>1</v>
      </c>
      <c r="M10" s="10">
        <v>2</v>
      </c>
      <c r="N10" s="10">
        <v>3</v>
      </c>
      <c r="O10" s="10">
        <v>4</v>
      </c>
      <c r="P10" s="10">
        <v>5</v>
      </c>
      <c r="Q10" s="10">
        <v>6</v>
      </c>
      <c r="R10" s="10">
        <v>7</v>
      </c>
      <c r="S10" s="10">
        <v>8</v>
      </c>
      <c r="T10" s="10">
        <v>9</v>
      </c>
      <c r="U10" s="10">
        <v>10</v>
      </c>
      <c r="V10" s="10">
        <v>11</v>
      </c>
      <c r="W10" s="10">
        <v>12</v>
      </c>
      <c r="X10" s="10">
        <v>13</v>
      </c>
      <c r="Y10" s="10">
        <v>14</v>
      </c>
      <c r="Z10" s="10">
        <v>15</v>
      </c>
      <c r="AA10" s="10">
        <v>16</v>
      </c>
      <c r="AB10" s="10">
        <v>17</v>
      </c>
      <c r="AC10" s="10">
        <v>18</v>
      </c>
      <c r="AD10" s="10">
        <v>19</v>
      </c>
      <c r="AE10" s="10">
        <v>20</v>
      </c>
      <c r="AF10" s="10">
        <v>21</v>
      </c>
      <c r="AG10" s="10">
        <v>22</v>
      </c>
      <c r="AH10" s="10">
        <v>23</v>
      </c>
      <c r="AI10" s="10">
        <v>24</v>
      </c>
      <c r="AJ10" s="10">
        <v>25</v>
      </c>
      <c r="AK10" s="10">
        <v>26</v>
      </c>
      <c r="AL10" s="10">
        <v>27</v>
      </c>
      <c r="AM10" s="10">
        <v>28</v>
      </c>
      <c r="AN10" s="10">
        <v>29</v>
      </c>
      <c r="AO10" s="10">
        <v>30</v>
      </c>
      <c r="AP10" s="10">
        <v>31</v>
      </c>
      <c r="AQ10" s="10">
        <v>32</v>
      </c>
      <c r="AR10" s="10">
        <v>33</v>
      </c>
      <c r="AS10" s="10">
        <v>34</v>
      </c>
      <c r="AT10" s="10">
        <v>35</v>
      </c>
      <c r="AU10" s="10">
        <v>36</v>
      </c>
      <c r="AV10" s="10">
        <v>37</v>
      </c>
      <c r="AW10" s="10">
        <v>38</v>
      </c>
      <c r="AX10" s="10">
        <v>39</v>
      </c>
      <c r="AY10" s="10">
        <v>40</v>
      </c>
      <c r="AZ10" s="10">
        <v>41</v>
      </c>
      <c r="BA10" s="10">
        <v>42</v>
      </c>
      <c r="BB10" s="10">
        <v>43</v>
      </c>
      <c r="BC10" s="10">
        <v>44</v>
      </c>
      <c r="BD10" s="10">
        <v>45</v>
      </c>
      <c r="BE10" s="10">
        <v>46</v>
      </c>
      <c r="BF10" s="10">
        <v>47</v>
      </c>
      <c r="BG10" s="10">
        <v>48</v>
      </c>
      <c r="BH10" s="10">
        <v>49</v>
      </c>
      <c r="BI10" s="10">
        <v>50</v>
      </c>
      <c r="BJ10" s="10">
        <v>51</v>
      </c>
      <c r="BK10" s="10">
        <v>52</v>
      </c>
      <c r="BL10" s="22">
        <v>53</v>
      </c>
      <c r="BM10" s="28">
        <v>54</v>
      </c>
      <c r="BN10" s="10">
        <v>55</v>
      </c>
      <c r="BO10" s="10">
        <v>56</v>
      </c>
      <c r="BP10" s="10">
        <v>57</v>
      </c>
      <c r="BQ10" s="10">
        <v>58</v>
      </c>
      <c r="BR10" s="10">
        <v>59</v>
      </c>
      <c r="BS10" s="10">
        <v>60</v>
      </c>
      <c r="BT10" s="10">
        <v>61</v>
      </c>
      <c r="BU10" s="10">
        <v>62</v>
      </c>
      <c r="BV10" s="10">
        <v>63</v>
      </c>
      <c r="BW10" s="10">
        <v>64</v>
      </c>
      <c r="BX10" s="10">
        <v>65</v>
      </c>
      <c r="BY10" s="10">
        <v>66</v>
      </c>
      <c r="BZ10" s="10">
        <v>67</v>
      </c>
      <c r="CA10" s="10">
        <v>68</v>
      </c>
      <c r="CB10" s="10">
        <v>69</v>
      </c>
      <c r="CC10" s="10">
        <v>70</v>
      </c>
      <c r="CD10" s="10">
        <v>71</v>
      </c>
      <c r="CE10" s="10">
        <v>72</v>
      </c>
      <c r="CF10" s="10">
        <v>73</v>
      </c>
      <c r="CG10" s="10">
        <v>74</v>
      </c>
      <c r="CH10" s="10">
        <v>75</v>
      </c>
      <c r="CI10" s="10">
        <v>76</v>
      </c>
      <c r="CJ10" s="10">
        <v>77</v>
      </c>
      <c r="CK10" s="10">
        <v>78</v>
      </c>
      <c r="CL10" s="10">
        <v>79</v>
      </c>
      <c r="CM10" s="10">
        <v>80</v>
      </c>
      <c r="CN10" s="10">
        <v>81</v>
      </c>
      <c r="CO10" s="10">
        <v>82</v>
      </c>
      <c r="CP10" s="10">
        <v>83</v>
      </c>
      <c r="CQ10" s="10">
        <v>84</v>
      </c>
      <c r="CR10" s="10">
        <v>85</v>
      </c>
      <c r="CS10" s="10">
        <v>86</v>
      </c>
      <c r="CT10" s="10">
        <v>87</v>
      </c>
      <c r="CU10" s="10">
        <v>88</v>
      </c>
      <c r="CV10" s="10">
        <v>89</v>
      </c>
      <c r="CW10" s="10">
        <v>90</v>
      </c>
      <c r="CX10" s="10">
        <v>91</v>
      </c>
      <c r="CY10" s="10">
        <v>92</v>
      </c>
      <c r="CZ10" s="10">
        <v>93</v>
      </c>
      <c r="DA10" s="10">
        <v>94</v>
      </c>
      <c r="DB10" s="10">
        <v>95</v>
      </c>
      <c r="DC10" s="10">
        <v>96</v>
      </c>
      <c r="DD10" s="10">
        <v>97</v>
      </c>
      <c r="DE10" s="10">
        <v>98</v>
      </c>
      <c r="DF10" s="10">
        <v>99</v>
      </c>
      <c r="DG10" s="10">
        <v>100</v>
      </c>
      <c r="DH10" s="10">
        <v>101</v>
      </c>
      <c r="DI10" s="10">
        <v>102</v>
      </c>
      <c r="DJ10" s="10">
        <v>103</v>
      </c>
      <c r="DK10" s="10">
        <v>104</v>
      </c>
      <c r="DL10" s="22">
        <v>105</v>
      </c>
    </row>
    <row r="11" spans="1:284" s="77" customFormat="1" ht="19.95" customHeight="1">
      <c r="A11" s="123">
        <v>1</v>
      </c>
      <c r="B11" s="106" t="s">
        <v>84</v>
      </c>
      <c r="C11" s="126"/>
      <c r="D11" s="92"/>
      <c r="E11" s="52">
        <f>SUMIF($F13:$F26,"Plan",E13:E26)</f>
        <v>15</v>
      </c>
      <c r="F11" s="65" t="s">
        <v>18</v>
      </c>
      <c r="G11" s="66">
        <f>_xlfn.MINIFS(G17:G26,F17:F26,"Plan")</f>
        <v>45546</v>
      </c>
      <c r="H11" s="66">
        <f>_xlfn.MAXIFS(H17:H26,F17:F26,"Plan")</f>
        <v>45602</v>
      </c>
      <c r="I11" s="94">
        <f>H11-G11</f>
        <v>56</v>
      </c>
      <c r="J11" s="70">
        <f t="shared" ref="J11:J52" si="53">IF(G11&lt;=DATE(2024,12,31),WEEKNUM(G11),WEEKNUM(G11)+53)</f>
        <v>37</v>
      </c>
      <c r="K11" s="70">
        <f t="shared" ref="K11:K52" si="54">IF($H11&lt;=DATE(2024,12,31),WEEKNUM($H11),WEEKNUM($H11)+53)</f>
        <v>45</v>
      </c>
      <c r="L11" s="52">
        <f t="shared" ref="L11:AQ11" si="55">SUMIF($F13:$F26,"Plan",L13:L26)</f>
        <v>0</v>
      </c>
      <c r="M11" s="65">
        <f t="shared" si="55"/>
        <v>0</v>
      </c>
      <c r="N11" s="65">
        <f t="shared" si="55"/>
        <v>0</v>
      </c>
      <c r="O11" s="65">
        <f t="shared" si="55"/>
        <v>0</v>
      </c>
      <c r="P11" s="65">
        <f t="shared" si="55"/>
        <v>0</v>
      </c>
      <c r="Q11" s="65">
        <f t="shared" si="55"/>
        <v>0</v>
      </c>
      <c r="R11" s="65">
        <f t="shared" si="55"/>
        <v>0</v>
      </c>
      <c r="S11" s="65">
        <f t="shared" si="55"/>
        <v>0</v>
      </c>
      <c r="T11" s="65">
        <f t="shared" si="55"/>
        <v>0</v>
      </c>
      <c r="U11" s="65">
        <f t="shared" si="55"/>
        <v>0</v>
      </c>
      <c r="V11" s="65">
        <f t="shared" si="55"/>
        <v>0</v>
      </c>
      <c r="W11" s="65">
        <f t="shared" si="55"/>
        <v>0</v>
      </c>
      <c r="X11" s="65">
        <f t="shared" si="55"/>
        <v>0</v>
      </c>
      <c r="Y11" s="65">
        <f t="shared" si="55"/>
        <v>0</v>
      </c>
      <c r="Z11" s="65">
        <f t="shared" si="55"/>
        <v>0</v>
      </c>
      <c r="AA11" s="65">
        <f t="shared" si="55"/>
        <v>0</v>
      </c>
      <c r="AB11" s="65">
        <f t="shared" si="55"/>
        <v>0</v>
      </c>
      <c r="AC11" s="65">
        <f t="shared" si="55"/>
        <v>0</v>
      </c>
      <c r="AD11" s="65">
        <f t="shared" si="55"/>
        <v>0</v>
      </c>
      <c r="AE11" s="65">
        <f t="shared" si="55"/>
        <v>0</v>
      </c>
      <c r="AF11" s="65">
        <f t="shared" si="55"/>
        <v>0</v>
      </c>
      <c r="AG11" s="65">
        <f t="shared" si="55"/>
        <v>0</v>
      </c>
      <c r="AH11" s="65">
        <f t="shared" si="55"/>
        <v>0</v>
      </c>
      <c r="AI11" s="65">
        <f t="shared" si="55"/>
        <v>0</v>
      </c>
      <c r="AJ11" s="65">
        <f t="shared" si="55"/>
        <v>3</v>
      </c>
      <c r="AK11" s="65">
        <f t="shared" si="55"/>
        <v>1</v>
      </c>
      <c r="AL11" s="65">
        <f t="shared" si="55"/>
        <v>1</v>
      </c>
      <c r="AM11" s="65">
        <f t="shared" si="55"/>
        <v>0</v>
      </c>
      <c r="AN11" s="65">
        <f t="shared" si="55"/>
        <v>0</v>
      </c>
      <c r="AO11" s="65">
        <f t="shared" si="55"/>
        <v>0</v>
      </c>
      <c r="AP11" s="65">
        <f t="shared" si="55"/>
        <v>0</v>
      </c>
      <c r="AQ11" s="65">
        <f t="shared" si="55"/>
        <v>0</v>
      </c>
      <c r="AR11" s="65">
        <f t="shared" ref="AR11:BW11" si="56">SUMIF($F13:$F26,"Plan",AR13:AR26)</f>
        <v>0</v>
      </c>
      <c r="AS11" s="65">
        <f t="shared" si="56"/>
        <v>0</v>
      </c>
      <c r="AT11" s="65">
        <f t="shared" si="56"/>
        <v>0</v>
      </c>
      <c r="AU11" s="65">
        <f t="shared" si="56"/>
        <v>0</v>
      </c>
      <c r="AV11" s="65">
        <f t="shared" si="56"/>
        <v>0.75</v>
      </c>
      <c r="AW11" s="65">
        <f t="shared" si="56"/>
        <v>0.75</v>
      </c>
      <c r="AX11" s="65">
        <f t="shared" si="56"/>
        <v>2.25</v>
      </c>
      <c r="AY11" s="65">
        <f t="shared" si="56"/>
        <v>2.25</v>
      </c>
      <c r="AZ11" s="65">
        <f t="shared" si="56"/>
        <v>0</v>
      </c>
      <c r="BA11" s="65">
        <f t="shared" si="56"/>
        <v>0</v>
      </c>
      <c r="BB11" s="65">
        <f t="shared" si="56"/>
        <v>2</v>
      </c>
      <c r="BC11" s="65">
        <f t="shared" si="56"/>
        <v>1</v>
      </c>
      <c r="BD11" s="65">
        <f t="shared" si="56"/>
        <v>1</v>
      </c>
      <c r="BE11" s="65">
        <f t="shared" si="56"/>
        <v>0</v>
      </c>
      <c r="BF11" s="65">
        <f t="shared" si="56"/>
        <v>0</v>
      </c>
      <c r="BG11" s="65">
        <f t="shared" si="56"/>
        <v>0</v>
      </c>
      <c r="BH11" s="65">
        <f t="shared" si="56"/>
        <v>0</v>
      </c>
      <c r="BI11" s="65">
        <f t="shared" si="56"/>
        <v>0</v>
      </c>
      <c r="BJ11" s="65">
        <f t="shared" si="56"/>
        <v>0</v>
      </c>
      <c r="BK11" s="65">
        <f t="shared" si="56"/>
        <v>0</v>
      </c>
      <c r="BL11" s="65">
        <f t="shared" si="56"/>
        <v>0</v>
      </c>
      <c r="BM11" s="65">
        <f t="shared" si="56"/>
        <v>0</v>
      </c>
      <c r="BN11" s="65">
        <f t="shared" si="56"/>
        <v>0</v>
      </c>
      <c r="BO11" s="65">
        <f t="shared" si="56"/>
        <v>0</v>
      </c>
      <c r="BP11" s="65">
        <f t="shared" si="56"/>
        <v>0</v>
      </c>
      <c r="BQ11" s="65">
        <f t="shared" si="56"/>
        <v>0</v>
      </c>
      <c r="BR11" s="65">
        <f t="shared" si="56"/>
        <v>0</v>
      </c>
      <c r="BS11" s="65">
        <f t="shared" si="56"/>
        <v>0</v>
      </c>
      <c r="BT11" s="65">
        <f t="shared" si="56"/>
        <v>0</v>
      </c>
      <c r="BU11" s="65">
        <f t="shared" si="56"/>
        <v>0</v>
      </c>
      <c r="BV11" s="65">
        <f t="shared" si="56"/>
        <v>0</v>
      </c>
      <c r="BW11" s="65">
        <f t="shared" si="56"/>
        <v>0</v>
      </c>
      <c r="BX11" s="65">
        <f t="shared" ref="BX11:DC11" si="57">SUMIF($F13:$F26,"Plan",BX13:BX26)</f>
        <v>0</v>
      </c>
      <c r="BY11" s="65">
        <f t="shared" si="57"/>
        <v>0</v>
      </c>
      <c r="BZ11" s="65">
        <f t="shared" si="57"/>
        <v>0</v>
      </c>
      <c r="CA11" s="65">
        <f t="shared" si="57"/>
        <v>0</v>
      </c>
      <c r="CB11" s="65">
        <f t="shared" si="57"/>
        <v>0</v>
      </c>
      <c r="CC11" s="65">
        <f t="shared" si="57"/>
        <v>0</v>
      </c>
      <c r="CD11" s="65">
        <f t="shared" si="57"/>
        <v>0</v>
      </c>
      <c r="CE11" s="65">
        <f t="shared" si="57"/>
        <v>0</v>
      </c>
      <c r="CF11" s="65">
        <f t="shared" si="57"/>
        <v>0</v>
      </c>
      <c r="CG11" s="65">
        <f t="shared" si="57"/>
        <v>0</v>
      </c>
      <c r="CH11" s="65">
        <f t="shared" si="57"/>
        <v>0</v>
      </c>
      <c r="CI11" s="65">
        <f t="shared" si="57"/>
        <v>0</v>
      </c>
      <c r="CJ11" s="65">
        <f t="shared" si="57"/>
        <v>0</v>
      </c>
      <c r="CK11" s="65">
        <f t="shared" si="57"/>
        <v>0</v>
      </c>
      <c r="CL11" s="65">
        <f t="shared" si="57"/>
        <v>0</v>
      </c>
      <c r="CM11" s="65">
        <f t="shared" si="57"/>
        <v>0</v>
      </c>
      <c r="CN11" s="65">
        <f t="shared" si="57"/>
        <v>0</v>
      </c>
      <c r="CO11" s="65">
        <f t="shared" si="57"/>
        <v>0</v>
      </c>
      <c r="CP11" s="65">
        <f t="shared" si="57"/>
        <v>0</v>
      </c>
      <c r="CQ11" s="65">
        <f t="shared" si="57"/>
        <v>0</v>
      </c>
      <c r="CR11" s="65">
        <f t="shared" si="57"/>
        <v>0</v>
      </c>
      <c r="CS11" s="65">
        <f t="shared" si="57"/>
        <v>0</v>
      </c>
      <c r="CT11" s="65">
        <f t="shared" si="57"/>
        <v>0</v>
      </c>
      <c r="CU11" s="65">
        <f t="shared" si="57"/>
        <v>0</v>
      </c>
      <c r="CV11" s="65">
        <f t="shared" si="57"/>
        <v>0</v>
      </c>
      <c r="CW11" s="65">
        <f t="shared" si="57"/>
        <v>0</v>
      </c>
      <c r="CX11" s="65">
        <f t="shared" si="57"/>
        <v>0</v>
      </c>
      <c r="CY11" s="65">
        <f t="shared" si="57"/>
        <v>0</v>
      </c>
      <c r="CZ11" s="65">
        <f t="shared" si="57"/>
        <v>0</v>
      </c>
      <c r="DA11" s="65">
        <f t="shared" si="57"/>
        <v>0</v>
      </c>
      <c r="DB11" s="65">
        <f t="shared" si="57"/>
        <v>0</v>
      </c>
      <c r="DC11" s="65">
        <f t="shared" si="57"/>
        <v>0</v>
      </c>
      <c r="DD11" s="65">
        <f t="shared" ref="DD11:DL11" si="58">SUMIF($F13:$F26,"Plan",DD13:DD26)</f>
        <v>0</v>
      </c>
      <c r="DE11" s="65">
        <f t="shared" si="58"/>
        <v>0</v>
      </c>
      <c r="DF11" s="65">
        <f t="shared" si="58"/>
        <v>0</v>
      </c>
      <c r="DG11" s="65">
        <f t="shared" si="58"/>
        <v>0</v>
      </c>
      <c r="DH11" s="65">
        <f t="shared" si="58"/>
        <v>0</v>
      </c>
      <c r="DI11" s="65">
        <f t="shared" si="58"/>
        <v>0</v>
      </c>
      <c r="DJ11" s="65">
        <f t="shared" si="58"/>
        <v>0</v>
      </c>
      <c r="DK11" s="65">
        <f t="shared" si="58"/>
        <v>0</v>
      </c>
      <c r="DL11" s="65">
        <f t="shared" si="58"/>
        <v>0</v>
      </c>
      <c r="DM11" s="87"/>
      <c r="DN11" s="87"/>
      <c r="DO11" s="87"/>
      <c r="DP11" s="87"/>
      <c r="DQ11" s="87"/>
      <c r="DR11" s="87"/>
      <c r="DS11" s="87"/>
      <c r="DT11" s="87"/>
      <c r="DU11" s="87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87"/>
      <c r="EI11" s="87"/>
      <c r="EJ11" s="87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7"/>
      <c r="GE11" s="87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  <c r="GR11" s="87"/>
      <c r="GS11" s="87"/>
      <c r="GT11" s="87"/>
      <c r="GU11" s="87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7"/>
      <c r="IL11" s="87"/>
      <c r="IM11" s="87"/>
      <c r="IN11" s="87"/>
      <c r="IO11" s="87"/>
      <c r="IP11" s="87"/>
      <c r="IQ11" s="87"/>
      <c r="IR11" s="87"/>
      <c r="IS11" s="87"/>
      <c r="IT11" s="87"/>
      <c r="IU11" s="87"/>
      <c r="IV11" s="87"/>
      <c r="IW11" s="87"/>
      <c r="IX11" s="87"/>
      <c r="IY11" s="87"/>
      <c r="IZ11" s="87"/>
      <c r="JA11" s="87"/>
      <c r="JB11" s="87"/>
      <c r="JC11" s="87"/>
      <c r="JD11" s="87"/>
      <c r="JE11" s="87"/>
      <c r="JF11" s="87"/>
      <c r="JG11" s="87"/>
      <c r="JH11" s="87"/>
      <c r="JI11" s="87"/>
      <c r="JJ11" s="87"/>
      <c r="JK11" s="87"/>
      <c r="JL11" s="87"/>
      <c r="JM11" s="87"/>
      <c r="JN11" s="87"/>
      <c r="JO11" s="87"/>
      <c r="JP11" s="87"/>
      <c r="JQ11" s="87"/>
      <c r="JR11" s="87"/>
      <c r="JS11" s="87"/>
      <c r="JT11" s="87"/>
      <c r="JU11" s="87"/>
      <c r="JV11" s="87"/>
      <c r="JW11" s="87"/>
      <c r="JX11" s="87"/>
    </row>
    <row r="12" spans="1:284" ht="19.95" customHeight="1" thickBot="1">
      <c r="A12" s="124"/>
      <c r="B12" s="107"/>
      <c r="C12" s="127"/>
      <c r="D12" s="93"/>
      <c r="E12" s="39">
        <f>SUMIF($F13:$F26,"Actual",E13:E26)</f>
        <v>0</v>
      </c>
      <c r="F12" s="68" t="s">
        <v>19</v>
      </c>
      <c r="G12" s="69">
        <f>_xlfn.MINIFS(G17:G26,F17:F26,"Actual")</f>
        <v>0</v>
      </c>
      <c r="H12" s="69">
        <f>_xlfn.MAXIFS(H17:H26,F17:F26,"Actual")</f>
        <v>0</v>
      </c>
      <c r="I12" s="95">
        <f>H12-G12</f>
        <v>0</v>
      </c>
      <c r="J12" s="71">
        <f t="shared" si="53"/>
        <v>0</v>
      </c>
      <c r="K12" s="71">
        <f t="shared" si="54"/>
        <v>0</v>
      </c>
      <c r="L12" s="39">
        <f t="shared" ref="L12:AQ12" si="59">SUMIF($F13:$F26,"Actual",L13:L26)</f>
        <v>0</v>
      </c>
      <c r="M12" s="67">
        <f t="shared" si="59"/>
        <v>0</v>
      </c>
      <c r="N12" s="67">
        <f t="shared" si="59"/>
        <v>0</v>
      </c>
      <c r="O12" s="67">
        <f t="shared" si="59"/>
        <v>0</v>
      </c>
      <c r="P12" s="67">
        <f t="shared" si="59"/>
        <v>0</v>
      </c>
      <c r="Q12" s="67">
        <f t="shared" si="59"/>
        <v>0</v>
      </c>
      <c r="R12" s="67">
        <f t="shared" si="59"/>
        <v>0</v>
      </c>
      <c r="S12" s="67">
        <f t="shared" si="59"/>
        <v>0</v>
      </c>
      <c r="T12" s="67">
        <f t="shared" si="59"/>
        <v>0</v>
      </c>
      <c r="U12" s="67">
        <f t="shared" si="59"/>
        <v>0</v>
      </c>
      <c r="V12" s="67">
        <f t="shared" si="59"/>
        <v>0</v>
      </c>
      <c r="W12" s="67">
        <f t="shared" si="59"/>
        <v>0</v>
      </c>
      <c r="X12" s="67">
        <f t="shared" si="59"/>
        <v>0</v>
      </c>
      <c r="Y12" s="67">
        <f t="shared" si="59"/>
        <v>0</v>
      </c>
      <c r="Z12" s="67">
        <f t="shared" si="59"/>
        <v>0</v>
      </c>
      <c r="AA12" s="67">
        <f t="shared" si="59"/>
        <v>0</v>
      </c>
      <c r="AB12" s="67">
        <f t="shared" si="59"/>
        <v>0</v>
      </c>
      <c r="AC12" s="67">
        <f t="shared" si="59"/>
        <v>0</v>
      </c>
      <c r="AD12" s="67">
        <f t="shared" si="59"/>
        <v>0</v>
      </c>
      <c r="AE12" s="67">
        <f t="shared" si="59"/>
        <v>0</v>
      </c>
      <c r="AF12" s="67">
        <f t="shared" si="59"/>
        <v>0</v>
      </c>
      <c r="AG12" s="67">
        <f t="shared" si="59"/>
        <v>0</v>
      </c>
      <c r="AH12" s="67">
        <f t="shared" si="59"/>
        <v>0</v>
      </c>
      <c r="AI12" s="67">
        <f t="shared" si="59"/>
        <v>0</v>
      </c>
      <c r="AJ12" s="67">
        <f t="shared" si="59"/>
        <v>0</v>
      </c>
      <c r="AK12" s="67">
        <f t="shared" si="59"/>
        <v>0</v>
      </c>
      <c r="AL12" s="67">
        <f t="shared" si="59"/>
        <v>0</v>
      </c>
      <c r="AM12" s="67">
        <f t="shared" si="59"/>
        <v>0</v>
      </c>
      <c r="AN12" s="67">
        <f t="shared" si="59"/>
        <v>0</v>
      </c>
      <c r="AO12" s="67">
        <f t="shared" si="59"/>
        <v>0</v>
      </c>
      <c r="AP12" s="67">
        <f t="shared" si="59"/>
        <v>0</v>
      </c>
      <c r="AQ12" s="67">
        <f t="shared" si="59"/>
        <v>0</v>
      </c>
      <c r="AR12" s="67">
        <f t="shared" ref="AR12:BW12" si="60">SUMIF($F13:$F26,"Actual",AR13:AR26)</f>
        <v>0</v>
      </c>
      <c r="AS12" s="67">
        <f t="shared" si="60"/>
        <v>0</v>
      </c>
      <c r="AT12" s="67">
        <f t="shared" si="60"/>
        <v>0</v>
      </c>
      <c r="AU12" s="67">
        <f t="shared" si="60"/>
        <v>0</v>
      </c>
      <c r="AV12" s="67">
        <f t="shared" si="60"/>
        <v>0</v>
      </c>
      <c r="AW12" s="67">
        <f t="shared" si="60"/>
        <v>0</v>
      </c>
      <c r="AX12" s="67">
        <f t="shared" si="60"/>
        <v>0</v>
      </c>
      <c r="AY12" s="67">
        <f t="shared" si="60"/>
        <v>0</v>
      </c>
      <c r="AZ12" s="67">
        <f t="shared" si="60"/>
        <v>0</v>
      </c>
      <c r="BA12" s="67">
        <f t="shared" si="60"/>
        <v>0</v>
      </c>
      <c r="BB12" s="67">
        <f t="shared" si="60"/>
        <v>0</v>
      </c>
      <c r="BC12" s="67">
        <f t="shared" si="60"/>
        <v>0</v>
      </c>
      <c r="BD12" s="67">
        <f t="shared" si="60"/>
        <v>0</v>
      </c>
      <c r="BE12" s="67">
        <f t="shared" si="60"/>
        <v>0</v>
      </c>
      <c r="BF12" s="67">
        <f t="shared" si="60"/>
        <v>0</v>
      </c>
      <c r="BG12" s="67">
        <f t="shared" si="60"/>
        <v>0</v>
      </c>
      <c r="BH12" s="67">
        <f t="shared" si="60"/>
        <v>0</v>
      </c>
      <c r="BI12" s="67">
        <f t="shared" si="60"/>
        <v>0</v>
      </c>
      <c r="BJ12" s="67">
        <f t="shared" si="60"/>
        <v>0</v>
      </c>
      <c r="BK12" s="67">
        <f t="shared" si="60"/>
        <v>0</v>
      </c>
      <c r="BL12" s="67">
        <f t="shared" si="60"/>
        <v>0</v>
      </c>
      <c r="BM12" s="67">
        <f t="shared" si="60"/>
        <v>0</v>
      </c>
      <c r="BN12" s="67">
        <f t="shared" si="60"/>
        <v>0</v>
      </c>
      <c r="BO12" s="67">
        <f t="shared" si="60"/>
        <v>0</v>
      </c>
      <c r="BP12" s="67">
        <f t="shared" si="60"/>
        <v>0</v>
      </c>
      <c r="BQ12" s="67">
        <f t="shared" si="60"/>
        <v>0</v>
      </c>
      <c r="BR12" s="67">
        <f t="shared" si="60"/>
        <v>0</v>
      </c>
      <c r="BS12" s="67">
        <f t="shared" si="60"/>
        <v>0</v>
      </c>
      <c r="BT12" s="67">
        <f t="shared" si="60"/>
        <v>0</v>
      </c>
      <c r="BU12" s="67">
        <f t="shared" si="60"/>
        <v>0</v>
      </c>
      <c r="BV12" s="67">
        <f t="shared" si="60"/>
        <v>0</v>
      </c>
      <c r="BW12" s="67">
        <f t="shared" si="60"/>
        <v>0</v>
      </c>
      <c r="BX12" s="67">
        <f t="shared" ref="BX12:DC12" si="61">SUMIF($F13:$F26,"Actual",BX13:BX26)</f>
        <v>0</v>
      </c>
      <c r="BY12" s="67">
        <f t="shared" si="61"/>
        <v>0</v>
      </c>
      <c r="BZ12" s="67">
        <f t="shared" si="61"/>
        <v>0</v>
      </c>
      <c r="CA12" s="67">
        <f t="shared" si="61"/>
        <v>0</v>
      </c>
      <c r="CB12" s="67">
        <f t="shared" si="61"/>
        <v>0</v>
      </c>
      <c r="CC12" s="67">
        <f t="shared" si="61"/>
        <v>0</v>
      </c>
      <c r="CD12" s="67">
        <f t="shared" si="61"/>
        <v>0</v>
      </c>
      <c r="CE12" s="67">
        <f t="shared" si="61"/>
        <v>0</v>
      </c>
      <c r="CF12" s="67">
        <f t="shared" si="61"/>
        <v>0</v>
      </c>
      <c r="CG12" s="67">
        <f t="shared" si="61"/>
        <v>0</v>
      </c>
      <c r="CH12" s="67">
        <f t="shared" si="61"/>
        <v>0</v>
      </c>
      <c r="CI12" s="67">
        <f t="shared" si="61"/>
        <v>0</v>
      </c>
      <c r="CJ12" s="67">
        <f t="shared" si="61"/>
        <v>0</v>
      </c>
      <c r="CK12" s="67">
        <f t="shared" si="61"/>
        <v>0</v>
      </c>
      <c r="CL12" s="67">
        <f t="shared" si="61"/>
        <v>0</v>
      </c>
      <c r="CM12" s="67">
        <f t="shared" si="61"/>
        <v>0</v>
      </c>
      <c r="CN12" s="67">
        <f t="shared" si="61"/>
        <v>0</v>
      </c>
      <c r="CO12" s="67">
        <f t="shared" si="61"/>
        <v>0</v>
      </c>
      <c r="CP12" s="67">
        <f t="shared" si="61"/>
        <v>0</v>
      </c>
      <c r="CQ12" s="67">
        <f t="shared" si="61"/>
        <v>0</v>
      </c>
      <c r="CR12" s="67">
        <f t="shared" si="61"/>
        <v>0</v>
      </c>
      <c r="CS12" s="67">
        <f t="shared" si="61"/>
        <v>0</v>
      </c>
      <c r="CT12" s="67">
        <f t="shared" si="61"/>
        <v>0</v>
      </c>
      <c r="CU12" s="67">
        <f t="shared" si="61"/>
        <v>0</v>
      </c>
      <c r="CV12" s="67">
        <f t="shared" si="61"/>
        <v>0</v>
      </c>
      <c r="CW12" s="67">
        <f t="shared" si="61"/>
        <v>0</v>
      </c>
      <c r="CX12" s="67">
        <f t="shared" si="61"/>
        <v>0</v>
      </c>
      <c r="CY12" s="67">
        <f t="shared" si="61"/>
        <v>0</v>
      </c>
      <c r="CZ12" s="67">
        <f t="shared" si="61"/>
        <v>0</v>
      </c>
      <c r="DA12" s="67">
        <f t="shared" si="61"/>
        <v>0</v>
      </c>
      <c r="DB12" s="67">
        <f t="shared" si="61"/>
        <v>0</v>
      </c>
      <c r="DC12" s="67">
        <f t="shared" si="61"/>
        <v>0</v>
      </c>
      <c r="DD12" s="67">
        <f t="shared" ref="DD12:DL12" si="62">SUMIF($F13:$F26,"Actual",DD13:DD26)</f>
        <v>0</v>
      </c>
      <c r="DE12" s="67">
        <f t="shared" si="62"/>
        <v>0</v>
      </c>
      <c r="DF12" s="67">
        <f t="shared" si="62"/>
        <v>0</v>
      </c>
      <c r="DG12" s="67">
        <f t="shared" si="62"/>
        <v>0</v>
      </c>
      <c r="DH12" s="67">
        <f t="shared" si="62"/>
        <v>0</v>
      </c>
      <c r="DI12" s="67">
        <f t="shared" si="62"/>
        <v>0</v>
      </c>
      <c r="DJ12" s="67">
        <f t="shared" si="62"/>
        <v>0</v>
      </c>
      <c r="DK12" s="67">
        <f t="shared" si="62"/>
        <v>0</v>
      </c>
      <c r="DL12" s="67">
        <f t="shared" si="62"/>
        <v>0</v>
      </c>
    </row>
    <row r="13" spans="1:284" ht="19.95" customHeight="1">
      <c r="A13" s="100"/>
      <c r="B13" s="108" t="s">
        <v>86</v>
      </c>
      <c r="C13" s="99"/>
      <c r="D13" s="54"/>
      <c r="E13" s="81">
        <v>2</v>
      </c>
      <c r="F13" s="76" t="s">
        <v>18</v>
      </c>
      <c r="G13" s="147">
        <v>45463</v>
      </c>
      <c r="H13" s="148">
        <f>G13</f>
        <v>45463</v>
      </c>
      <c r="I13" s="149">
        <v>1</v>
      </c>
      <c r="J13" s="20">
        <f t="shared" si="53"/>
        <v>25</v>
      </c>
      <c r="K13" s="20">
        <f t="shared" si="54"/>
        <v>25</v>
      </c>
      <c r="L13" s="31" t="str">
        <f>IF(L$10&gt;$K13,"0",IF(L$10&lt;$J13,"0",$E13/($K13-$J13+1)))</f>
        <v>0</v>
      </c>
      <c r="M13" s="32" t="str">
        <f t="shared" ref="M13:BX25" si="63">IF(M$10&gt;$K13,"0",IF(M$10&lt;$J13,"0",$E13/($K13-$J13+1)))</f>
        <v>0</v>
      </c>
      <c r="N13" s="32" t="str">
        <f t="shared" si="63"/>
        <v>0</v>
      </c>
      <c r="O13" s="32" t="str">
        <f t="shared" si="63"/>
        <v>0</v>
      </c>
      <c r="P13" s="32" t="str">
        <f t="shared" si="63"/>
        <v>0</v>
      </c>
      <c r="Q13" s="32" t="str">
        <f t="shared" si="63"/>
        <v>0</v>
      </c>
      <c r="R13" s="32" t="str">
        <f t="shared" si="63"/>
        <v>0</v>
      </c>
      <c r="S13" s="32" t="str">
        <f t="shared" si="63"/>
        <v>0</v>
      </c>
      <c r="T13" s="32" t="str">
        <f t="shared" si="63"/>
        <v>0</v>
      </c>
      <c r="U13" s="32" t="str">
        <f t="shared" si="63"/>
        <v>0</v>
      </c>
      <c r="V13" s="32" t="str">
        <f t="shared" si="63"/>
        <v>0</v>
      </c>
      <c r="W13" s="32" t="str">
        <f t="shared" si="63"/>
        <v>0</v>
      </c>
      <c r="X13" s="32" t="str">
        <f t="shared" si="63"/>
        <v>0</v>
      </c>
      <c r="Y13" s="32" t="str">
        <f t="shared" si="63"/>
        <v>0</v>
      </c>
      <c r="Z13" s="32" t="str">
        <f t="shared" si="63"/>
        <v>0</v>
      </c>
      <c r="AA13" s="32" t="str">
        <f t="shared" si="63"/>
        <v>0</v>
      </c>
      <c r="AB13" s="32" t="str">
        <f t="shared" si="63"/>
        <v>0</v>
      </c>
      <c r="AC13" s="32" t="str">
        <f t="shared" si="63"/>
        <v>0</v>
      </c>
      <c r="AD13" s="32" t="str">
        <f t="shared" si="63"/>
        <v>0</v>
      </c>
      <c r="AE13" s="32" t="str">
        <f t="shared" si="63"/>
        <v>0</v>
      </c>
      <c r="AF13" s="32" t="str">
        <f t="shared" si="63"/>
        <v>0</v>
      </c>
      <c r="AG13" s="32" t="str">
        <f t="shared" si="63"/>
        <v>0</v>
      </c>
      <c r="AH13" s="32" t="str">
        <f t="shared" si="63"/>
        <v>0</v>
      </c>
      <c r="AI13" s="32" t="str">
        <f t="shared" si="63"/>
        <v>0</v>
      </c>
      <c r="AJ13" s="32">
        <f t="shared" si="63"/>
        <v>2</v>
      </c>
      <c r="AK13" s="32" t="str">
        <f t="shared" si="63"/>
        <v>0</v>
      </c>
      <c r="AL13" s="32" t="str">
        <f t="shared" si="63"/>
        <v>0</v>
      </c>
      <c r="AM13" s="32" t="str">
        <f t="shared" si="63"/>
        <v>0</v>
      </c>
      <c r="AN13" s="32" t="str">
        <f t="shared" si="63"/>
        <v>0</v>
      </c>
      <c r="AO13" s="32" t="str">
        <f t="shared" si="63"/>
        <v>0</v>
      </c>
      <c r="AP13" s="32" t="str">
        <f t="shared" si="63"/>
        <v>0</v>
      </c>
      <c r="AQ13" s="32" t="str">
        <f t="shared" si="63"/>
        <v>0</v>
      </c>
      <c r="AR13" s="32" t="str">
        <f t="shared" si="63"/>
        <v>0</v>
      </c>
      <c r="AS13" s="32" t="str">
        <f t="shared" si="63"/>
        <v>0</v>
      </c>
      <c r="AT13" s="32" t="str">
        <f t="shared" si="63"/>
        <v>0</v>
      </c>
      <c r="AU13" s="32" t="str">
        <f t="shared" si="63"/>
        <v>0</v>
      </c>
      <c r="AV13" s="32" t="str">
        <f t="shared" si="63"/>
        <v>0</v>
      </c>
      <c r="AW13" s="32" t="str">
        <f t="shared" si="63"/>
        <v>0</v>
      </c>
      <c r="AX13" s="32" t="str">
        <f t="shared" si="63"/>
        <v>0</v>
      </c>
      <c r="AY13" s="32" t="str">
        <f t="shared" si="63"/>
        <v>0</v>
      </c>
      <c r="AZ13" s="32" t="str">
        <f t="shared" si="63"/>
        <v>0</v>
      </c>
      <c r="BA13" s="32" t="str">
        <f t="shared" si="63"/>
        <v>0</v>
      </c>
      <c r="BB13" s="32" t="str">
        <f t="shared" si="63"/>
        <v>0</v>
      </c>
      <c r="BC13" s="32" t="str">
        <f t="shared" si="63"/>
        <v>0</v>
      </c>
      <c r="BD13" s="32" t="str">
        <f t="shared" si="63"/>
        <v>0</v>
      </c>
      <c r="BE13" s="32" t="str">
        <f t="shared" si="63"/>
        <v>0</v>
      </c>
      <c r="BF13" s="32" t="str">
        <f t="shared" si="63"/>
        <v>0</v>
      </c>
      <c r="BG13" s="32" t="str">
        <f t="shared" si="63"/>
        <v>0</v>
      </c>
      <c r="BH13" s="32" t="str">
        <f t="shared" si="63"/>
        <v>0</v>
      </c>
      <c r="BI13" s="32" t="str">
        <f t="shared" si="63"/>
        <v>0</v>
      </c>
      <c r="BJ13" s="32" t="str">
        <f t="shared" si="63"/>
        <v>0</v>
      </c>
      <c r="BK13" s="32" t="str">
        <f t="shared" si="63"/>
        <v>0</v>
      </c>
      <c r="BL13" s="33" t="str">
        <f t="shared" si="63"/>
        <v>0</v>
      </c>
      <c r="BM13" s="34" t="str">
        <f t="shared" si="63"/>
        <v>0</v>
      </c>
      <c r="BN13" s="32" t="str">
        <f t="shared" si="63"/>
        <v>0</v>
      </c>
      <c r="BO13" s="32" t="str">
        <f t="shared" si="63"/>
        <v>0</v>
      </c>
      <c r="BP13" s="32" t="str">
        <f t="shared" si="63"/>
        <v>0</v>
      </c>
      <c r="BQ13" s="32" t="str">
        <f t="shared" si="63"/>
        <v>0</v>
      </c>
      <c r="BR13" s="32" t="str">
        <f t="shared" si="63"/>
        <v>0</v>
      </c>
      <c r="BS13" s="32" t="str">
        <f t="shared" si="63"/>
        <v>0</v>
      </c>
      <c r="BT13" s="32" t="str">
        <f t="shared" si="63"/>
        <v>0</v>
      </c>
      <c r="BU13" s="32" t="str">
        <f t="shared" si="63"/>
        <v>0</v>
      </c>
      <c r="BV13" s="32" t="str">
        <f t="shared" si="63"/>
        <v>0</v>
      </c>
      <c r="BW13" s="32" t="str">
        <f t="shared" si="63"/>
        <v>0</v>
      </c>
      <c r="BX13" s="32" t="str">
        <f t="shared" si="63"/>
        <v>0</v>
      </c>
      <c r="BY13" s="32" t="str">
        <f t="shared" ref="BY13:DL25" si="64">IF(BY$10&gt;$K13,"0",IF(BY$10&lt;$J13,"0",$E13/($K13-$J13+1)))</f>
        <v>0</v>
      </c>
      <c r="BZ13" s="32" t="str">
        <f t="shared" si="64"/>
        <v>0</v>
      </c>
      <c r="CA13" s="32" t="str">
        <f t="shared" si="64"/>
        <v>0</v>
      </c>
      <c r="CB13" s="32" t="str">
        <f t="shared" si="64"/>
        <v>0</v>
      </c>
      <c r="CC13" s="32" t="str">
        <f t="shared" si="64"/>
        <v>0</v>
      </c>
      <c r="CD13" s="32" t="str">
        <f t="shared" si="64"/>
        <v>0</v>
      </c>
      <c r="CE13" s="32" t="str">
        <f t="shared" si="64"/>
        <v>0</v>
      </c>
      <c r="CF13" s="32" t="str">
        <f t="shared" si="64"/>
        <v>0</v>
      </c>
      <c r="CG13" s="32" t="str">
        <f t="shared" si="64"/>
        <v>0</v>
      </c>
      <c r="CH13" s="32" t="str">
        <f t="shared" si="64"/>
        <v>0</v>
      </c>
      <c r="CI13" s="32" t="str">
        <f t="shared" si="64"/>
        <v>0</v>
      </c>
      <c r="CJ13" s="32" t="str">
        <f t="shared" si="64"/>
        <v>0</v>
      </c>
      <c r="CK13" s="32" t="str">
        <f t="shared" si="64"/>
        <v>0</v>
      </c>
      <c r="CL13" s="32" t="str">
        <f t="shared" si="64"/>
        <v>0</v>
      </c>
      <c r="CM13" s="32" t="str">
        <f t="shared" si="64"/>
        <v>0</v>
      </c>
      <c r="CN13" s="32" t="str">
        <f t="shared" si="64"/>
        <v>0</v>
      </c>
      <c r="CO13" s="32" t="str">
        <f t="shared" si="64"/>
        <v>0</v>
      </c>
      <c r="CP13" s="32" t="str">
        <f t="shared" si="64"/>
        <v>0</v>
      </c>
      <c r="CQ13" s="32" t="str">
        <f t="shared" si="64"/>
        <v>0</v>
      </c>
      <c r="CR13" s="32" t="str">
        <f t="shared" si="64"/>
        <v>0</v>
      </c>
      <c r="CS13" s="32" t="str">
        <f t="shared" si="64"/>
        <v>0</v>
      </c>
      <c r="CT13" s="32" t="str">
        <f t="shared" si="64"/>
        <v>0</v>
      </c>
      <c r="CU13" s="32" t="str">
        <f t="shared" si="64"/>
        <v>0</v>
      </c>
      <c r="CV13" s="32" t="str">
        <f t="shared" si="64"/>
        <v>0</v>
      </c>
      <c r="CW13" s="32" t="str">
        <f t="shared" si="64"/>
        <v>0</v>
      </c>
      <c r="CX13" s="32" t="str">
        <f t="shared" si="64"/>
        <v>0</v>
      </c>
      <c r="CY13" s="32" t="str">
        <f t="shared" si="64"/>
        <v>0</v>
      </c>
      <c r="CZ13" s="32" t="str">
        <f t="shared" si="64"/>
        <v>0</v>
      </c>
      <c r="DA13" s="32" t="str">
        <f t="shared" si="64"/>
        <v>0</v>
      </c>
      <c r="DB13" s="32" t="str">
        <f t="shared" si="64"/>
        <v>0</v>
      </c>
      <c r="DC13" s="32" t="str">
        <f t="shared" si="64"/>
        <v>0</v>
      </c>
      <c r="DD13" s="32" t="str">
        <f t="shared" si="64"/>
        <v>0</v>
      </c>
      <c r="DE13" s="32" t="str">
        <f t="shared" si="64"/>
        <v>0</v>
      </c>
      <c r="DF13" s="32" t="str">
        <f t="shared" si="64"/>
        <v>0</v>
      </c>
      <c r="DG13" s="32" t="str">
        <f t="shared" si="64"/>
        <v>0</v>
      </c>
      <c r="DH13" s="32" t="str">
        <f t="shared" si="64"/>
        <v>0</v>
      </c>
      <c r="DI13" s="32" t="str">
        <f t="shared" si="64"/>
        <v>0</v>
      </c>
      <c r="DJ13" s="32" t="str">
        <f t="shared" si="64"/>
        <v>0</v>
      </c>
      <c r="DK13" s="32" t="str">
        <f t="shared" si="64"/>
        <v>0</v>
      </c>
      <c r="DL13" s="33" t="str">
        <f t="shared" si="64"/>
        <v>0</v>
      </c>
    </row>
    <row r="14" spans="1:284" ht="19.95" customHeight="1">
      <c r="A14" s="55"/>
      <c r="B14" s="105"/>
      <c r="C14" s="99"/>
      <c r="D14" s="54"/>
      <c r="E14" s="53"/>
      <c r="F14" s="75" t="s">
        <v>19</v>
      </c>
      <c r="G14" s="150"/>
      <c r="H14" s="150"/>
      <c r="I14" s="151">
        <v>1</v>
      </c>
      <c r="J14" s="20">
        <f t="shared" si="53"/>
        <v>0</v>
      </c>
      <c r="K14" s="20">
        <f t="shared" si="54"/>
        <v>0</v>
      </c>
      <c r="L14" s="59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60"/>
      <c r="BM14" s="30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60"/>
    </row>
    <row r="15" spans="1:284" ht="19.95" customHeight="1">
      <c r="A15" s="55"/>
      <c r="B15" s="102" t="s">
        <v>87</v>
      </c>
      <c r="C15" s="99"/>
      <c r="D15" s="54"/>
      <c r="E15" s="53">
        <v>3</v>
      </c>
      <c r="F15" s="76" t="s">
        <v>18</v>
      </c>
      <c r="G15" s="150">
        <v>45463</v>
      </c>
      <c r="H15" s="148">
        <f>G15+I15</f>
        <v>45473</v>
      </c>
      <c r="I15" s="151">
        <v>10</v>
      </c>
      <c r="J15" s="20">
        <f t="shared" ref="J15:J20" si="65">IF(G15&lt;=DATE(2024,12,31),WEEKNUM(G15),WEEKNUM(G15)+53)</f>
        <v>25</v>
      </c>
      <c r="K15" s="20">
        <f t="shared" si="54"/>
        <v>27</v>
      </c>
      <c r="L15" s="24" t="str">
        <f>IF(L$10&gt;$K15,"0",IF(L$10&lt;$J15,"0",$E15/($K15-$J15+1)))</f>
        <v>0</v>
      </c>
      <c r="M15" s="23" t="str">
        <f t="shared" ref="M15:BX17" si="66">IF(M$10&gt;$K15,"0",IF(M$10&lt;$J15,"0",$E15/($K15-$J15+1)))</f>
        <v>0</v>
      </c>
      <c r="N15" s="23" t="str">
        <f t="shared" si="66"/>
        <v>0</v>
      </c>
      <c r="O15" s="23" t="str">
        <f t="shared" si="66"/>
        <v>0</v>
      </c>
      <c r="P15" s="23" t="str">
        <f t="shared" si="66"/>
        <v>0</v>
      </c>
      <c r="Q15" s="23" t="str">
        <f t="shared" si="66"/>
        <v>0</v>
      </c>
      <c r="R15" s="23" t="str">
        <f t="shared" si="66"/>
        <v>0</v>
      </c>
      <c r="S15" s="23" t="str">
        <f t="shared" si="66"/>
        <v>0</v>
      </c>
      <c r="T15" s="23" t="str">
        <f t="shared" si="66"/>
        <v>0</v>
      </c>
      <c r="U15" s="23" t="str">
        <f t="shared" si="66"/>
        <v>0</v>
      </c>
      <c r="V15" s="23" t="str">
        <f t="shared" si="66"/>
        <v>0</v>
      </c>
      <c r="W15" s="23" t="str">
        <f t="shared" si="66"/>
        <v>0</v>
      </c>
      <c r="X15" s="23" t="str">
        <f t="shared" si="66"/>
        <v>0</v>
      </c>
      <c r="Y15" s="23" t="str">
        <f t="shared" si="66"/>
        <v>0</v>
      </c>
      <c r="Z15" s="23" t="str">
        <f t="shared" si="66"/>
        <v>0</v>
      </c>
      <c r="AA15" s="23" t="str">
        <f t="shared" si="66"/>
        <v>0</v>
      </c>
      <c r="AB15" s="23" t="str">
        <f t="shared" si="66"/>
        <v>0</v>
      </c>
      <c r="AC15" s="23" t="str">
        <f t="shared" si="66"/>
        <v>0</v>
      </c>
      <c r="AD15" s="23" t="str">
        <f t="shared" si="66"/>
        <v>0</v>
      </c>
      <c r="AE15" s="23" t="str">
        <f t="shared" si="66"/>
        <v>0</v>
      </c>
      <c r="AF15" s="23" t="str">
        <f t="shared" si="66"/>
        <v>0</v>
      </c>
      <c r="AG15" s="23" t="str">
        <f t="shared" si="66"/>
        <v>0</v>
      </c>
      <c r="AH15" s="23" t="str">
        <f t="shared" si="66"/>
        <v>0</v>
      </c>
      <c r="AI15" s="23" t="str">
        <f t="shared" si="66"/>
        <v>0</v>
      </c>
      <c r="AJ15" s="23">
        <f t="shared" si="66"/>
        <v>1</v>
      </c>
      <c r="AK15" s="23">
        <f t="shared" si="66"/>
        <v>1</v>
      </c>
      <c r="AL15" s="23">
        <f t="shared" si="66"/>
        <v>1</v>
      </c>
      <c r="AM15" s="23" t="str">
        <f t="shared" si="66"/>
        <v>0</v>
      </c>
      <c r="AN15" s="23" t="str">
        <f t="shared" si="66"/>
        <v>0</v>
      </c>
      <c r="AO15" s="23" t="str">
        <f t="shared" si="66"/>
        <v>0</v>
      </c>
      <c r="AP15" s="23" t="str">
        <f t="shared" si="66"/>
        <v>0</v>
      </c>
      <c r="AQ15" s="23" t="str">
        <f t="shared" si="66"/>
        <v>0</v>
      </c>
      <c r="AR15" s="23" t="str">
        <f t="shared" si="66"/>
        <v>0</v>
      </c>
      <c r="AS15" s="23" t="str">
        <f t="shared" si="66"/>
        <v>0</v>
      </c>
      <c r="AT15" s="23" t="str">
        <f t="shared" si="66"/>
        <v>0</v>
      </c>
      <c r="AU15" s="23" t="str">
        <f t="shared" si="66"/>
        <v>0</v>
      </c>
      <c r="AV15" s="23" t="str">
        <f t="shared" si="66"/>
        <v>0</v>
      </c>
      <c r="AW15" s="23" t="str">
        <f t="shared" si="66"/>
        <v>0</v>
      </c>
      <c r="AX15" s="23" t="str">
        <f t="shared" si="66"/>
        <v>0</v>
      </c>
      <c r="AY15" s="23" t="str">
        <f t="shared" si="66"/>
        <v>0</v>
      </c>
      <c r="AZ15" s="23" t="str">
        <f t="shared" si="66"/>
        <v>0</v>
      </c>
      <c r="BA15" s="23" t="str">
        <f t="shared" si="66"/>
        <v>0</v>
      </c>
      <c r="BB15" s="23" t="str">
        <f t="shared" si="66"/>
        <v>0</v>
      </c>
      <c r="BC15" s="23" t="str">
        <f t="shared" si="66"/>
        <v>0</v>
      </c>
      <c r="BD15" s="23" t="str">
        <f t="shared" si="66"/>
        <v>0</v>
      </c>
      <c r="BE15" s="23" t="str">
        <f t="shared" si="66"/>
        <v>0</v>
      </c>
      <c r="BF15" s="23" t="str">
        <f t="shared" si="66"/>
        <v>0</v>
      </c>
      <c r="BG15" s="23" t="str">
        <f t="shared" si="66"/>
        <v>0</v>
      </c>
      <c r="BH15" s="23" t="str">
        <f t="shared" si="66"/>
        <v>0</v>
      </c>
      <c r="BI15" s="23" t="str">
        <f t="shared" si="66"/>
        <v>0</v>
      </c>
      <c r="BJ15" s="23" t="str">
        <f t="shared" si="66"/>
        <v>0</v>
      </c>
      <c r="BK15" s="23" t="str">
        <f t="shared" si="66"/>
        <v>0</v>
      </c>
      <c r="BL15" s="25" t="str">
        <f t="shared" si="66"/>
        <v>0</v>
      </c>
      <c r="BM15" s="29" t="str">
        <f t="shared" si="66"/>
        <v>0</v>
      </c>
      <c r="BN15" s="23" t="str">
        <f t="shared" si="66"/>
        <v>0</v>
      </c>
      <c r="BO15" s="23" t="str">
        <f t="shared" si="66"/>
        <v>0</v>
      </c>
      <c r="BP15" s="23" t="str">
        <f t="shared" si="66"/>
        <v>0</v>
      </c>
      <c r="BQ15" s="23" t="str">
        <f t="shared" si="66"/>
        <v>0</v>
      </c>
      <c r="BR15" s="23" t="str">
        <f t="shared" si="66"/>
        <v>0</v>
      </c>
      <c r="BS15" s="23" t="str">
        <f t="shared" si="66"/>
        <v>0</v>
      </c>
      <c r="BT15" s="23" t="str">
        <f t="shared" si="66"/>
        <v>0</v>
      </c>
      <c r="BU15" s="23" t="str">
        <f t="shared" si="66"/>
        <v>0</v>
      </c>
      <c r="BV15" s="23" t="str">
        <f t="shared" si="66"/>
        <v>0</v>
      </c>
      <c r="BW15" s="23" t="str">
        <f t="shared" si="66"/>
        <v>0</v>
      </c>
      <c r="BX15" s="23" t="str">
        <f t="shared" si="66"/>
        <v>0</v>
      </c>
      <c r="BY15" s="23" t="str">
        <f t="shared" si="64"/>
        <v>0</v>
      </c>
      <c r="BZ15" s="23" t="str">
        <f t="shared" si="64"/>
        <v>0</v>
      </c>
      <c r="CA15" s="23" t="str">
        <f t="shared" si="64"/>
        <v>0</v>
      </c>
      <c r="CB15" s="23" t="str">
        <f t="shared" si="64"/>
        <v>0</v>
      </c>
      <c r="CC15" s="23" t="str">
        <f t="shared" si="64"/>
        <v>0</v>
      </c>
      <c r="CD15" s="23" t="str">
        <f t="shared" si="64"/>
        <v>0</v>
      </c>
      <c r="CE15" s="23" t="str">
        <f t="shared" si="64"/>
        <v>0</v>
      </c>
      <c r="CF15" s="23" t="str">
        <f t="shared" si="64"/>
        <v>0</v>
      </c>
      <c r="CG15" s="23" t="str">
        <f t="shared" si="64"/>
        <v>0</v>
      </c>
      <c r="CH15" s="23" t="str">
        <f t="shared" si="64"/>
        <v>0</v>
      </c>
      <c r="CI15" s="23" t="str">
        <f t="shared" si="64"/>
        <v>0</v>
      </c>
      <c r="CJ15" s="23" t="str">
        <f t="shared" si="64"/>
        <v>0</v>
      </c>
      <c r="CK15" s="23" t="str">
        <f t="shared" si="64"/>
        <v>0</v>
      </c>
      <c r="CL15" s="23" t="str">
        <f t="shared" si="64"/>
        <v>0</v>
      </c>
      <c r="CM15" s="23" t="str">
        <f t="shared" si="64"/>
        <v>0</v>
      </c>
      <c r="CN15" s="23" t="str">
        <f t="shared" ref="CN15:DL15" si="67">IF(CN$10&gt;$K15,"0",IF(CN$10&lt;$J15,"0",$E15/($K15-$J15+1)))</f>
        <v>0</v>
      </c>
      <c r="CO15" s="23" t="str">
        <f t="shared" si="67"/>
        <v>0</v>
      </c>
      <c r="CP15" s="23" t="str">
        <f t="shared" si="67"/>
        <v>0</v>
      </c>
      <c r="CQ15" s="23" t="str">
        <f t="shared" si="67"/>
        <v>0</v>
      </c>
      <c r="CR15" s="23" t="str">
        <f t="shared" si="67"/>
        <v>0</v>
      </c>
      <c r="CS15" s="23" t="str">
        <f t="shared" si="67"/>
        <v>0</v>
      </c>
      <c r="CT15" s="23" t="str">
        <f t="shared" si="67"/>
        <v>0</v>
      </c>
      <c r="CU15" s="23" t="str">
        <f t="shared" si="67"/>
        <v>0</v>
      </c>
      <c r="CV15" s="23" t="str">
        <f t="shared" si="67"/>
        <v>0</v>
      </c>
      <c r="CW15" s="23" t="str">
        <f t="shared" si="67"/>
        <v>0</v>
      </c>
      <c r="CX15" s="23" t="str">
        <f t="shared" si="67"/>
        <v>0</v>
      </c>
      <c r="CY15" s="23" t="str">
        <f t="shared" si="67"/>
        <v>0</v>
      </c>
      <c r="CZ15" s="23" t="str">
        <f t="shared" si="67"/>
        <v>0</v>
      </c>
      <c r="DA15" s="23" t="str">
        <f t="shared" si="67"/>
        <v>0</v>
      </c>
      <c r="DB15" s="23" t="str">
        <f t="shared" si="67"/>
        <v>0</v>
      </c>
      <c r="DC15" s="23" t="str">
        <f t="shared" si="67"/>
        <v>0</v>
      </c>
      <c r="DD15" s="23" t="str">
        <f t="shared" si="67"/>
        <v>0</v>
      </c>
      <c r="DE15" s="23" t="str">
        <f t="shared" si="67"/>
        <v>0</v>
      </c>
      <c r="DF15" s="23" t="str">
        <f t="shared" si="67"/>
        <v>0</v>
      </c>
      <c r="DG15" s="23" t="str">
        <f t="shared" si="67"/>
        <v>0</v>
      </c>
      <c r="DH15" s="23" t="str">
        <f t="shared" si="67"/>
        <v>0</v>
      </c>
      <c r="DI15" s="23" t="str">
        <f t="shared" si="67"/>
        <v>0</v>
      </c>
      <c r="DJ15" s="23" t="str">
        <f t="shared" si="67"/>
        <v>0</v>
      </c>
      <c r="DK15" s="23" t="str">
        <f t="shared" si="67"/>
        <v>0</v>
      </c>
      <c r="DL15" s="25" t="str">
        <f t="shared" si="67"/>
        <v>0</v>
      </c>
    </row>
    <row r="16" spans="1:284" ht="19.95" customHeight="1">
      <c r="A16" s="55"/>
      <c r="B16" s="109"/>
      <c r="C16" s="99"/>
      <c r="D16" s="54"/>
      <c r="E16" s="53"/>
      <c r="F16" s="75" t="s">
        <v>19</v>
      </c>
      <c r="G16" s="150"/>
      <c r="H16" s="150"/>
      <c r="I16" s="151">
        <v>1</v>
      </c>
      <c r="J16" s="20">
        <f t="shared" si="65"/>
        <v>0</v>
      </c>
      <c r="K16" s="20">
        <f t="shared" si="54"/>
        <v>0</v>
      </c>
      <c r="L16" s="59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60"/>
      <c r="BM16" s="30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60"/>
    </row>
    <row r="17" spans="1:116" ht="19.95" customHeight="1">
      <c r="A17" s="98"/>
      <c r="B17" s="110" t="s">
        <v>92</v>
      </c>
      <c r="C17" s="99"/>
      <c r="D17" s="54"/>
      <c r="E17" s="53">
        <v>1</v>
      </c>
      <c r="F17" s="76" t="s">
        <v>18</v>
      </c>
      <c r="G17" s="150">
        <f>G29</f>
        <v>45588</v>
      </c>
      <c r="H17" s="150">
        <f>G17+I17-1</f>
        <v>45588</v>
      </c>
      <c r="I17" s="151">
        <v>1</v>
      </c>
      <c r="J17" s="20">
        <f t="shared" si="65"/>
        <v>43</v>
      </c>
      <c r="K17" s="20">
        <f t="shared" si="54"/>
        <v>43</v>
      </c>
      <c r="L17" s="24" t="str">
        <f>IF(L$10&gt;$K17,"0",IF(L$10&lt;$J17,"0",$E17/($K17-$J17+1)))</f>
        <v>0</v>
      </c>
      <c r="M17" s="23" t="str">
        <f t="shared" si="66"/>
        <v>0</v>
      </c>
      <c r="N17" s="23" t="str">
        <f t="shared" si="66"/>
        <v>0</v>
      </c>
      <c r="O17" s="23" t="str">
        <f t="shared" si="66"/>
        <v>0</v>
      </c>
      <c r="P17" s="23" t="str">
        <f t="shared" si="66"/>
        <v>0</v>
      </c>
      <c r="Q17" s="23" t="str">
        <f t="shared" si="66"/>
        <v>0</v>
      </c>
      <c r="R17" s="23" t="str">
        <f t="shared" si="66"/>
        <v>0</v>
      </c>
      <c r="S17" s="23" t="str">
        <f t="shared" si="66"/>
        <v>0</v>
      </c>
      <c r="T17" s="23" t="str">
        <f t="shared" si="66"/>
        <v>0</v>
      </c>
      <c r="U17" s="23" t="str">
        <f t="shared" si="66"/>
        <v>0</v>
      </c>
      <c r="V17" s="23" t="str">
        <f t="shared" si="66"/>
        <v>0</v>
      </c>
      <c r="W17" s="23" t="str">
        <f t="shared" si="66"/>
        <v>0</v>
      </c>
      <c r="X17" s="23" t="str">
        <f t="shared" si="66"/>
        <v>0</v>
      </c>
      <c r="Y17" s="23" t="str">
        <f t="shared" si="66"/>
        <v>0</v>
      </c>
      <c r="Z17" s="23" t="str">
        <f t="shared" si="66"/>
        <v>0</v>
      </c>
      <c r="AA17" s="23" t="str">
        <f t="shared" si="66"/>
        <v>0</v>
      </c>
      <c r="AB17" s="23" t="str">
        <f t="shared" si="66"/>
        <v>0</v>
      </c>
      <c r="AC17" s="23" t="str">
        <f t="shared" si="66"/>
        <v>0</v>
      </c>
      <c r="AD17" s="23" t="str">
        <f t="shared" si="66"/>
        <v>0</v>
      </c>
      <c r="AE17" s="23" t="str">
        <f t="shared" si="66"/>
        <v>0</v>
      </c>
      <c r="AF17" s="23" t="str">
        <f t="shared" si="66"/>
        <v>0</v>
      </c>
      <c r="AG17" s="23" t="str">
        <f t="shared" si="66"/>
        <v>0</v>
      </c>
      <c r="AH17" s="23" t="str">
        <f t="shared" si="66"/>
        <v>0</v>
      </c>
      <c r="AI17" s="23" t="str">
        <f t="shared" si="66"/>
        <v>0</v>
      </c>
      <c r="AJ17" s="23" t="str">
        <f t="shared" si="66"/>
        <v>0</v>
      </c>
      <c r="AK17" s="23" t="str">
        <f t="shared" si="66"/>
        <v>0</v>
      </c>
      <c r="AL17" s="23" t="str">
        <f t="shared" si="66"/>
        <v>0</v>
      </c>
      <c r="AM17" s="23" t="str">
        <f t="shared" si="66"/>
        <v>0</v>
      </c>
      <c r="AN17" s="23" t="str">
        <f t="shared" si="66"/>
        <v>0</v>
      </c>
      <c r="AO17" s="23" t="str">
        <f t="shared" si="66"/>
        <v>0</v>
      </c>
      <c r="AP17" s="23" t="str">
        <f t="shared" si="66"/>
        <v>0</v>
      </c>
      <c r="AQ17" s="23" t="str">
        <f t="shared" si="66"/>
        <v>0</v>
      </c>
      <c r="AR17" s="23" t="str">
        <f t="shared" si="66"/>
        <v>0</v>
      </c>
      <c r="AS17" s="23" t="str">
        <f t="shared" si="66"/>
        <v>0</v>
      </c>
      <c r="AT17" s="23" t="str">
        <f t="shared" si="66"/>
        <v>0</v>
      </c>
      <c r="AU17" s="23" t="str">
        <f t="shared" si="66"/>
        <v>0</v>
      </c>
      <c r="AV17" s="23" t="str">
        <f t="shared" si="66"/>
        <v>0</v>
      </c>
      <c r="AW17" s="23" t="str">
        <f t="shared" si="66"/>
        <v>0</v>
      </c>
      <c r="AX17" s="23" t="str">
        <f t="shared" si="66"/>
        <v>0</v>
      </c>
      <c r="AY17" s="23" t="str">
        <f t="shared" si="66"/>
        <v>0</v>
      </c>
      <c r="AZ17" s="23" t="str">
        <f t="shared" si="66"/>
        <v>0</v>
      </c>
      <c r="BA17" s="23" t="str">
        <f t="shared" si="66"/>
        <v>0</v>
      </c>
      <c r="BB17" s="23">
        <f t="shared" si="66"/>
        <v>1</v>
      </c>
      <c r="BC17" s="23" t="str">
        <f t="shared" si="66"/>
        <v>0</v>
      </c>
      <c r="BD17" s="23" t="str">
        <f t="shared" si="66"/>
        <v>0</v>
      </c>
      <c r="BE17" s="23" t="str">
        <f t="shared" si="66"/>
        <v>0</v>
      </c>
      <c r="BF17" s="23" t="str">
        <f t="shared" si="66"/>
        <v>0</v>
      </c>
      <c r="BG17" s="23" t="str">
        <f t="shared" si="66"/>
        <v>0</v>
      </c>
      <c r="BH17" s="23" t="str">
        <f t="shared" si="66"/>
        <v>0</v>
      </c>
      <c r="BI17" s="23" t="str">
        <f t="shared" si="66"/>
        <v>0</v>
      </c>
      <c r="BJ17" s="23" t="str">
        <f t="shared" si="66"/>
        <v>0</v>
      </c>
      <c r="BK17" s="23" t="str">
        <f t="shared" si="66"/>
        <v>0</v>
      </c>
      <c r="BL17" s="25" t="str">
        <f t="shared" si="66"/>
        <v>0</v>
      </c>
      <c r="BM17" s="29" t="str">
        <f t="shared" si="66"/>
        <v>0</v>
      </c>
      <c r="BN17" s="23" t="str">
        <f t="shared" si="66"/>
        <v>0</v>
      </c>
      <c r="BO17" s="23" t="str">
        <f t="shared" si="66"/>
        <v>0</v>
      </c>
      <c r="BP17" s="23" t="str">
        <f t="shared" si="66"/>
        <v>0</v>
      </c>
      <c r="BQ17" s="23" t="str">
        <f t="shared" si="66"/>
        <v>0</v>
      </c>
      <c r="BR17" s="23" t="str">
        <f t="shared" si="66"/>
        <v>0</v>
      </c>
      <c r="BS17" s="23" t="str">
        <f t="shared" si="66"/>
        <v>0</v>
      </c>
      <c r="BT17" s="23" t="str">
        <f t="shared" si="66"/>
        <v>0</v>
      </c>
      <c r="BU17" s="23" t="str">
        <f t="shared" si="66"/>
        <v>0</v>
      </c>
      <c r="BV17" s="23" t="str">
        <f t="shared" si="66"/>
        <v>0</v>
      </c>
      <c r="BW17" s="23" t="str">
        <f t="shared" si="66"/>
        <v>0</v>
      </c>
      <c r="BX17" s="23" t="str">
        <f t="shared" si="66"/>
        <v>0</v>
      </c>
      <c r="BY17" s="23" t="str">
        <f t="shared" ref="BY17:DL19" si="68">IF(BY$10&gt;$K17,"0",IF(BY$10&lt;$J17,"0",$E17/($K17-$J17+1)))</f>
        <v>0</v>
      </c>
      <c r="BZ17" s="23" t="str">
        <f t="shared" si="68"/>
        <v>0</v>
      </c>
      <c r="CA17" s="23" t="str">
        <f t="shared" si="68"/>
        <v>0</v>
      </c>
      <c r="CB17" s="23" t="str">
        <f t="shared" si="68"/>
        <v>0</v>
      </c>
      <c r="CC17" s="23" t="str">
        <f t="shared" si="68"/>
        <v>0</v>
      </c>
      <c r="CD17" s="23" t="str">
        <f t="shared" si="68"/>
        <v>0</v>
      </c>
      <c r="CE17" s="23" t="str">
        <f t="shared" si="68"/>
        <v>0</v>
      </c>
      <c r="CF17" s="23" t="str">
        <f t="shared" si="68"/>
        <v>0</v>
      </c>
      <c r="CG17" s="23" t="str">
        <f t="shared" si="68"/>
        <v>0</v>
      </c>
      <c r="CH17" s="23" t="str">
        <f t="shared" si="68"/>
        <v>0</v>
      </c>
      <c r="CI17" s="23" t="str">
        <f t="shared" si="68"/>
        <v>0</v>
      </c>
      <c r="CJ17" s="23" t="str">
        <f t="shared" si="68"/>
        <v>0</v>
      </c>
      <c r="CK17" s="23" t="str">
        <f t="shared" si="68"/>
        <v>0</v>
      </c>
      <c r="CL17" s="23" t="str">
        <f t="shared" si="68"/>
        <v>0</v>
      </c>
      <c r="CM17" s="23" t="str">
        <f t="shared" si="68"/>
        <v>0</v>
      </c>
      <c r="CN17" s="23" t="str">
        <f t="shared" si="68"/>
        <v>0</v>
      </c>
      <c r="CO17" s="23" t="str">
        <f t="shared" si="68"/>
        <v>0</v>
      </c>
      <c r="CP17" s="23" t="str">
        <f t="shared" si="68"/>
        <v>0</v>
      </c>
      <c r="CQ17" s="23" t="str">
        <f t="shared" si="68"/>
        <v>0</v>
      </c>
      <c r="CR17" s="23" t="str">
        <f t="shared" si="68"/>
        <v>0</v>
      </c>
      <c r="CS17" s="23" t="str">
        <f t="shared" si="68"/>
        <v>0</v>
      </c>
      <c r="CT17" s="23" t="str">
        <f t="shared" si="68"/>
        <v>0</v>
      </c>
      <c r="CU17" s="23" t="str">
        <f t="shared" si="68"/>
        <v>0</v>
      </c>
      <c r="CV17" s="23" t="str">
        <f t="shared" si="68"/>
        <v>0</v>
      </c>
      <c r="CW17" s="23" t="str">
        <f t="shared" si="68"/>
        <v>0</v>
      </c>
      <c r="CX17" s="23" t="str">
        <f t="shared" si="68"/>
        <v>0</v>
      </c>
      <c r="CY17" s="23" t="str">
        <f t="shared" si="68"/>
        <v>0</v>
      </c>
      <c r="CZ17" s="23" t="str">
        <f t="shared" si="68"/>
        <v>0</v>
      </c>
      <c r="DA17" s="23" t="str">
        <f t="shared" si="68"/>
        <v>0</v>
      </c>
      <c r="DB17" s="23" t="str">
        <f t="shared" si="68"/>
        <v>0</v>
      </c>
      <c r="DC17" s="23" t="str">
        <f t="shared" si="68"/>
        <v>0</v>
      </c>
      <c r="DD17" s="23" t="str">
        <f t="shared" si="68"/>
        <v>0</v>
      </c>
      <c r="DE17" s="23" t="str">
        <f t="shared" si="68"/>
        <v>0</v>
      </c>
      <c r="DF17" s="23" t="str">
        <f t="shared" si="68"/>
        <v>0</v>
      </c>
      <c r="DG17" s="23" t="str">
        <f t="shared" si="68"/>
        <v>0</v>
      </c>
      <c r="DH17" s="23" t="str">
        <f t="shared" si="68"/>
        <v>0</v>
      </c>
      <c r="DI17" s="23" t="str">
        <f t="shared" si="68"/>
        <v>0</v>
      </c>
      <c r="DJ17" s="23" t="str">
        <f t="shared" si="68"/>
        <v>0</v>
      </c>
      <c r="DK17" s="23" t="str">
        <f t="shared" si="68"/>
        <v>0</v>
      </c>
      <c r="DL17" s="25" t="str">
        <f t="shared" si="68"/>
        <v>0</v>
      </c>
    </row>
    <row r="18" spans="1:116" ht="19.95" customHeight="1">
      <c r="A18" s="98"/>
      <c r="B18" s="139"/>
      <c r="C18" s="99"/>
      <c r="D18" s="54"/>
      <c r="E18" s="96"/>
      <c r="F18" s="97" t="s">
        <v>19</v>
      </c>
      <c r="G18" s="150"/>
      <c r="H18" s="150"/>
      <c r="I18" s="152">
        <v>1</v>
      </c>
      <c r="J18" s="20">
        <f t="shared" si="65"/>
        <v>0</v>
      </c>
      <c r="K18" s="20">
        <f t="shared" si="54"/>
        <v>0</v>
      </c>
      <c r="L18" s="35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7"/>
      <c r="BM18" s="38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7"/>
    </row>
    <row r="19" spans="1:116" ht="19.95" customHeight="1">
      <c r="A19" s="98"/>
      <c r="B19" s="110" t="s">
        <v>88</v>
      </c>
      <c r="C19" s="99"/>
      <c r="D19" s="54"/>
      <c r="E19" s="53">
        <v>3</v>
      </c>
      <c r="F19" s="76" t="s">
        <v>18</v>
      </c>
      <c r="G19" s="150">
        <f>G17</f>
        <v>45588</v>
      </c>
      <c r="H19" s="150">
        <f>G19+I19</f>
        <v>45602</v>
      </c>
      <c r="I19" s="151">
        <v>14</v>
      </c>
      <c r="J19" s="20">
        <f t="shared" si="65"/>
        <v>43</v>
      </c>
      <c r="K19" s="20">
        <f t="shared" si="54"/>
        <v>45</v>
      </c>
      <c r="L19" s="24" t="str">
        <f>IF(L$10&gt;$K19,"0",IF(L$10&lt;$J19,"0",$E19/($K19-$J19+1)))</f>
        <v>0</v>
      </c>
      <c r="M19" s="23" t="str">
        <f t="shared" ref="M19:BX19" si="69">IF(M$10&gt;$K19,"0",IF(M$10&lt;$J19,"0",$E19/($K19-$J19+1)))</f>
        <v>0</v>
      </c>
      <c r="N19" s="23" t="str">
        <f t="shared" si="69"/>
        <v>0</v>
      </c>
      <c r="O19" s="23" t="str">
        <f t="shared" si="69"/>
        <v>0</v>
      </c>
      <c r="P19" s="23" t="str">
        <f t="shared" si="69"/>
        <v>0</v>
      </c>
      <c r="Q19" s="23" t="str">
        <f t="shared" si="69"/>
        <v>0</v>
      </c>
      <c r="R19" s="23" t="str">
        <f t="shared" si="69"/>
        <v>0</v>
      </c>
      <c r="S19" s="23" t="str">
        <f t="shared" si="69"/>
        <v>0</v>
      </c>
      <c r="T19" s="23" t="str">
        <f t="shared" si="69"/>
        <v>0</v>
      </c>
      <c r="U19" s="23" t="str">
        <f t="shared" si="69"/>
        <v>0</v>
      </c>
      <c r="V19" s="23" t="str">
        <f t="shared" si="69"/>
        <v>0</v>
      </c>
      <c r="W19" s="23" t="str">
        <f t="shared" si="69"/>
        <v>0</v>
      </c>
      <c r="X19" s="23" t="str">
        <f t="shared" si="69"/>
        <v>0</v>
      </c>
      <c r="Y19" s="23" t="str">
        <f t="shared" si="69"/>
        <v>0</v>
      </c>
      <c r="Z19" s="23" t="str">
        <f t="shared" si="69"/>
        <v>0</v>
      </c>
      <c r="AA19" s="23" t="str">
        <f t="shared" si="69"/>
        <v>0</v>
      </c>
      <c r="AB19" s="23" t="str">
        <f t="shared" si="69"/>
        <v>0</v>
      </c>
      <c r="AC19" s="23" t="str">
        <f t="shared" si="69"/>
        <v>0</v>
      </c>
      <c r="AD19" s="23" t="str">
        <f t="shared" si="69"/>
        <v>0</v>
      </c>
      <c r="AE19" s="23" t="str">
        <f t="shared" si="69"/>
        <v>0</v>
      </c>
      <c r="AF19" s="23" t="str">
        <f t="shared" si="69"/>
        <v>0</v>
      </c>
      <c r="AG19" s="23" t="str">
        <f t="shared" si="69"/>
        <v>0</v>
      </c>
      <c r="AH19" s="23" t="str">
        <f t="shared" si="69"/>
        <v>0</v>
      </c>
      <c r="AI19" s="23" t="str">
        <f t="shared" si="69"/>
        <v>0</v>
      </c>
      <c r="AJ19" s="23" t="str">
        <f t="shared" si="69"/>
        <v>0</v>
      </c>
      <c r="AK19" s="23" t="str">
        <f t="shared" si="69"/>
        <v>0</v>
      </c>
      <c r="AL19" s="23" t="str">
        <f t="shared" si="69"/>
        <v>0</v>
      </c>
      <c r="AM19" s="23" t="str">
        <f t="shared" si="69"/>
        <v>0</v>
      </c>
      <c r="AN19" s="23" t="str">
        <f t="shared" si="69"/>
        <v>0</v>
      </c>
      <c r="AO19" s="23" t="str">
        <f t="shared" si="69"/>
        <v>0</v>
      </c>
      <c r="AP19" s="23" t="str">
        <f t="shared" si="69"/>
        <v>0</v>
      </c>
      <c r="AQ19" s="23" t="str">
        <f t="shared" si="69"/>
        <v>0</v>
      </c>
      <c r="AR19" s="23" t="str">
        <f t="shared" si="69"/>
        <v>0</v>
      </c>
      <c r="AS19" s="23" t="str">
        <f t="shared" si="69"/>
        <v>0</v>
      </c>
      <c r="AT19" s="23" t="str">
        <f t="shared" si="69"/>
        <v>0</v>
      </c>
      <c r="AU19" s="23" t="str">
        <f t="shared" si="69"/>
        <v>0</v>
      </c>
      <c r="AV19" s="23" t="str">
        <f t="shared" si="69"/>
        <v>0</v>
      </c>
      <c r="AW19" s="23" t="str">
        <f t="shared" si="69"/>
        <v>0</v>
      </c>
      <c r="AX19" s="23" t="str">
        <f t="shared" si="69"/>
        <v>0</v>
      </c>
      <c r="AY19" s="23" t="str">
        <f t="shared" si="69"/>
        <v>0</v>
      </c>
      <c r="AZ19" s="23" t="str">
        <f t="shared" si="69"/>
        <v>0</v>
      </c>
      <c r="BA19" s="23" t="str">
        <f t="shared" si="69"/>
        <v>0</v>
      </c>
      <c r="BB19" s="23">
        <f t="shared" si="69"/>
        <v>1</v>
      </c>
      <c r="BC19" s="23">
        <f t="shared" si="69"/>
        <v>1</v>
      </c>
      <c r="BD19" s="23">
        <f t="shared" si="69"/>
        <v>1</v>
      </c>
      <c r="BE19" s="23" t="str">
        <f t="shared" si="69"/>
        <v>0</v>
      </c>
      <c r="BF19" s="23" t="str">
        <f t="shared" si="69"/>
        <v>0</v>
      </c>
      <c r="BG19" s="23" t="str">
        <f t="shared" si="69"/>
        <v>0</v>
      </c>
      <c r="BH19" s="23" t="str">
        <f t="shared" si="69"/>
        <v>0</v>
      </c>
      <c r="BI19" s="23" t="str">
        <f t="shared" si="69"/>
        <v>0</v>
      </c>
      <c r="BJ19" s="23" t="str">
        <f t="shared" si="69"/>
        <v>0</v>
      </c>
      <c r="BK19" s="23" t="str">
        <f t="shared" si="69"/>
        <v>0</v>
      </c>
      <c r="BL19" s="25" t="str">
        <f t="shared" si="69"/>
        <v>0</v>
      </c>
      <c r="BM19" s="29" t="str">
        <f t="shared" si="69"/>
        <v>0</v>
      </c>
      <c r="BN19" s="23" t="str">
        <f t="shared" si="69"/>
        <v>0</v>
      </c>
      <c r="BO19" s="23" t="str">
        <f t="shared" si="69"/>
        <v>0</v>
      </c>
      <c r="BP19" s="23" t="str">
        <f t="shared" si="69"/>
        <v>0</v>
      </c>
      <c r="BQ19" s="23" t="str">
        <f t="shared" si="69"/>
        <v>0</v>
      </c>
      <c r="BR19" s="23" t="str">
        <f t="shared" si="69"/>
        <v>0</v>
      </c>
      <c r="BS19" s="23" t="str">
        <f t="shared" si="69"/>
        <v>0</v>
      </c>
      <c r="BT19" s="23" t="str">
        <f t="shared" si="69"/>
        <v>0</v>
      </c>
      <c r="BU19" s="23" t="str">
        <f t="shared" si="69"/>
        <v>0</v>
      </c>
      <c r="BV19" s="23" t="str">
        <f t="shared" si="69"/>
        <v>0</v>
      </c>
      <c r="BW19" s="23" t="str">
        <f t="shared" si="69"/>
        <v>0</v>
      </c>
      <c r="BX19" s="23" t="str">
        <f t="shared" si="69"/>
        <v>0</v>
      </c>
      <c r="BY19" s="23" t="str">
        <f t="shared" si="68"/>
        <v>0</v>
      </c>
      <c r="BZ19" s="23" t="str">
        <f t="shared" si="68"/>
        <v>0</v>
      </c>
      <c r="CA19" s="23" t="str">
        <f t="shared" si="68"/>
        <v>0</v>
      </c>
      <c r="CB19" s="23" t="str">
        <f t="shared" si="68"/>
        <v>0</v>
      </c>
      <c r="CC19" s="23" t="str">
        <f t="shared" si="68"/>
        <v>0</v>
      </c>
      <c r="CD19" s="23" t="str">
        <f t="shared" si="68"/>
        <v>0</v>
      </c>
      <c r="CE19" s="23" t="str">
        <f t="shared" si="68"/>
        <v>0</v>
      </c>
      <c r="CF19" s="23" t="str">
        <f t="shared" si="68"/>
        <v>0</v>
      </c>
      <c r="CG19" s="23" t="str">
        <f t="shared" si="68"/>
        <v>0</v>
      </c>
      <c r="CH19" s="23" t="str">
        <f t="shared" si="68"/>
        <v>0</v>
      </c>
      <c r="CI19" s="23" t="str">
        <f t="shared" si="68"/>
        <v>0</v>
      </c>
      <c r="CJ19" s="23" t="str">
        <f t="shared" si="68"/>
        <v>0</v>
      </c>
      <c r="CK19" s="23" t="str">
        <f t="shared" si="68"/>
        <v>0</v>
      </c>
      <c r="CL19" s="23" t="str">
        <f t="shared" si="68"/>
        <v>0</v>
      </c>
      <c r="CM19" s="23" t="str">
        <f t="shared" si="68"/>
        <v>0</v>
      </c>
      <c r="CN19" s="23" t="str">
        <f t="shared" si="68"/>
        <v>0</v>
      </c>
      <c r="CO19" s="23" t="str">
        <f t="shared" si="68"/>
        <v>0</v>
      </c>
      <c r="CP19" s="23" t="str">
        <f t="shared" si="68"/>
        <v>0</v>
      </c>
      <c r="CQ19" s="23" t="str">
        <f t="shared" si="68"/>
        <v>0</v>
      </c>
      <c r="CR19" s="23" t="str">
        <f t="shared" si="68"/>
        <v>0</v>
      </c>
      <c r="CS19" s="23" t="str">
        <f t="shared" si="68"/>
        <v>0</v>
      </c>
      <c r="CT19" s="23" t="str">
        <f t="shared" si="68"/>
        <v>0</v>
      </c>
      <c r="CU19" s="23" t="str">
        <f t="shared" si="68"/>
        <v>0</v>
      </c>
      <c r="CV19" s="23" t="str">
        <f t="shared" si="68"/>
        <v>0</v>
      </c>
      <c r="CW19" s="23" t="str">
        <f t="shared" si="68"/>
        <v>0</v>
      </c>
      <c r="CX19" s="23" t="str">
        <f t="shared" si="68"/>
        <v>0</v>
      </c>
      <c r="CY19" s="23" t="str">
        <f t="shared" si="68"/>
        <v>0</v>
      </c>
      <c r="CZ19" s="23" t="str">
        <f t="shared" si="68"/>
        <v>0</v>
      </c>
      <c r="DA19" s="23" t="str">
        <f t="shared" si="68"/>
        <v>0</v>
      </c>
      <c r="DB19" s="23" t="str">
        <f t="shared" si="68"/>
        <v>0</v>
      </c>
      <c r="DC19" s="23" t="str">
        <f t="shared" si="68"/>
        <v>0</v>
      </c>
      <c r="DD19" s="23" t="str">
        <f t="shared" si="68"/>
        <v>0</v>
      </c>
      <c r="DE19" s="23" t="str">
        <f t="shared" si="68"/>
        <v>0</v>
      </c>
      <c r="DF19" s="23" t="str">
        <f t="shared" si="68"/>
        <v>0</v>
      </c>
      <c r="DG19" s="23" t="str">
        <f t="shared" si="68"/>
        <v>0</v>
      </c>
      <c r="DH19" s="23" t="str">
        <f t="shared" si="68"/>
        <v>0</v>
      </c>
      <c r="DI19" s="23" t="str">
        <f t="shared" si="68"/>
        <v>0</v>
      </c>
      <c r="DJ19" s="23" t="str">
        <f t="shared" si="68"/>
        <v>0</v>
      </c>
      <c r="DK19" s="23" t="str">
        <f t="shared" si="68"/>
        <v>0</v>
      </c>
      <c r="DL19" s="25" t="str">
        <f t="shared" si="68"/>
        <v>0</v>
      </c>
    </row>
    <row r="20" spans="1:116" ht="19.95" customHeight="1">
      <c r="A20" s="98"/>
      <c r="B20" s="140"/>
      <c r="C20" s="99"/>
      <c r="D20" s="54"/>
      <c r="E20" s="96"/>
      <c r="F20" s="97" t="s">
        <v>19</v>
      </c>
      <c r="G20" s="150"/>
      <c r="H20" s="150"/>
      <c r="I20" s="152">
        <v>1</v>
      </c>
      <c r="J20" s="20">
        <f t="shared" si="65"/>
        <v>0</v>
      </c>
      <c r="K20" s="20">
        <f t="shared" si="54"/>
        <v>0</v>
      </c>
      <c r="L20" s="35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7"/>
      <c r="BM20" s="38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7"/>
    </row>
    <row r="21" spans="1:116" ht="19.95" customHeight="1">
      <c r="A21" s="55"/>
      <c r="B21" s="102" t="s">
        <v>89</v>
      </c>
      <c r="C21" s="99"/>
      <c r="D21" s="54"/>
      <c r="E21" s="53">
        <v>3</v>
      </c>
      <c r="F21" s="76" t="s">
        <v>18</v>
      </c>
      <c r="G21" s="150">
        <f>H21-I21</f>
        <v>45546</v>
      </c>
      <c r="H21" s="148">
        <v>45566</v>
      </c>
      <c r="I21" s="151">
        <v>20</v>
      </c>
      <c r="J21" s="20">
        <f t="shared" si="53"/>
        <v>37</v>
      </c>
      <c r="K21" s="20">
        <f t="shared" si="54"/>
        <v>40</v>
      </c>
      <c r="L21" s="24" t="str">
        <f>IF(L$10&gt;$K21,"0",IF(L$10&lt;$J21,"0",$E21/($K21-$J21+1)))</f>
        <v>0</v>
      </c>
      <c r="M21" s="23" t="str">
        <f t="shared" si="63"/>
        <v>0</v>
      </c>
      <c r="N21" s="23" t="str">
        <f t="shared" si="63"/>
        <v>0</v>
      </c>
      <c r="O21" s="23" t="str">
        <f t="shared" si="63"/>
        <v>0</v>
      </c>
      <c r="P21" s="23" t="str">
        <f t="shared" si="63"/>
        <v>0</v>
      </c>
      <c r="Q21" s="23" t="str">
        <f t="shared" si="63"/>
        <v>0</v>
      </c>
      <c r="R21" s="23" t="str">
        <f t="shared" si="63"/>
        <v>0</v>
      </c>
      <c r="S21" s="23" t="str">
        <f t="shared" si="63"/>
        <v>0</v>
      </c>
      <c r="T21" s="23" t="str">
        <f t="shared" si="63"/>
        <v>0</v>
      </c>
      <c r="U21" s="23" t="str">
        <f t="shared" si="63"/>
        <v>0</v>
      </c>
      <c r="V21" s="23" t="str">
        <f t="shared" si="63"/>
        <v>0</v>
      </c>
      <c r="W21" s="23" t="str">
        <f t="shared" si="63"/>
        <v>0</v>
      </c>
      <c r="X21" s="23" t="str">
        <f t="shared" si="63"/>
        <v>0</v>
      </c>
      <c r="Y21" s="23" t="str">
        <f t="shared" si="63"/>
        <v>0</v>
      </c>
      <c r="Z21" s="23" t="str">
        <f t="shared" si="63"/>
        <v>0</v>
      </c>
      <c r="AA21" s="23" t="str">
        <f t="shared" si="63"/>
        <v>0</v>
      </c>
      <c r="AB21" s="23" t="str">
        <f t="shared" si="63"/>
        <v>0</v>
      </c>
      <c r="AC21" s="23" t="str">
        <f t="shared" si="63"/>
        <v>0</v>
      </c>
      <c r="AD21" s="23" t="str">
        <f t="shared" si="63"/>
        <v>0</v>
      </c>
      <c r="AE21" s="23" t="str">
        <f t="shared" si="63"/>
        <v>0</v>
      </c>
      <c r="AF21" s="23" t="str">
        <f t="shared" si="63"/>
        <v>0</v>
      </c>
      <c r="AG21" s="23" t="str">
        <f t="shared" si="63"/>
        <v>0</v>
      </c>
      <c r="AH21" s="23" t="str">
        <f t="shared" si="63"/>
        <v>0</v>
      </c>
      <c r="AI21" s="23" t="str">
        <f t="shared" si="63"/>
        <v>0</v>
      </c>
      <c r="AJ21" s="23" t="str">
        <f t="shared" si="63"/>
        <v>0</v>
      </c>
      <c r="AK21" s="23" t="str">
        <f t="shared" si="63"/>
        <v>0</v>
      </c>
      <c r="AL21" s="23" t="str">
        <f t="shared" si="63"/>
        <v>0</v>
      </c>
      <c r="AM21" s="23" t="str">
        <f t="shared" si="63"/>
        <v>0</v>
      </c>
      <c r="AN21" s="23" t="str">
        <f t="shared" si="63"/>
        <v>0</v>
      </c>
      <c r="AO21" s="23" t="str">
        <f t="shared" si="63"/>
        <v>0</v>
      </c>
      <c r="AP21" s="23" t="str">
        <f t="shared" si="63"/>
        <v>0</v>
      </c>
      <c r="AQ21" s="23" t="str">
        <f t="shared" si="63"/>
        <v>0</v>
      </c>
      <c r="AR21" s="23" t="str">
        <f t="shared" si="63"/>
        <v>0</v>
      </c>
      <c r="AS21" s="23" t="str">
        <f t="shared" si="63"/>
        <v>0</v>
      </c>
      <c r="AT21" s="23" t="str">
        <f t="shared" si="63"/>
        <v>0</v>
      </c>
      <c r="AU21" s="23" t="str">
        <f t="shared" si="63"/>
        <v>0</v>
      </c>
      <c r="AV21" s="23">
        <f t="shared" si="63"/>
        <v>0.75</v>
      </c>
      <c r="AW21" s="23">
        <f t="shared" si="63"/>
        <v>0.75</v>
      </c>
      <c r="AX21" s="23">
        <f t="shared" si="63"/>
        <v>0.75</v>
      </c>
      <c r="AY21" s="23">
        <f t="shared" si="63"/>
        <v>0.75</v>
      </c>
      <c r="AZ21" s="23" t="str">
        <f t="shared" si="63"/>
        <v>0</v>
      </c>
      <c r="BA21" s="23" t="str">
        <f t="shared" si="63"/>
        <v>0</v>
      </c>
      <c r="BB21" s="23" t="str">
        <f t="shared" si="63"/>
        <v>0</v>
      </c>
      <c r="BC21" s="23" t="str">
        <f t="shared" si="63"/>
        <v>0</v>
      </c>
      <c r="BD21" s="23" t="str">
        <f t="shared" si="63"/>
        <v>0</v>
      </c>
      <c r="BE21" s="23" t="str">
        <f t="shared" si="63"/>
        <v>0</v>
      </c>
      <c r="BF21" s="23" t="str">
        <f t="shared" si="63"/>
        <v>0</v>
      </c>
      <c r="BG21" s="23" t="str">
        <f t="shared" si="63"/>
        <v>0</v>
      </c>
      <c r="BH21" s="23" t="str">
        <f t="shared" si="63"/>
        <v>0</v>
      </c>
      <c r="BI21" s="23" t="str">
        <f t="shared" si="63"/>
        <v>0</v>
      </c>
      <c r="BJ21" s="23" t="str">
        <f t="shared" si="63"/>
        <v>0</v>
      </c>
      <c r="BK21" s="23" t="str">
        <f t="shared" si="63"/>
        <v>0</v>
      </c>
      <c r="BL21" s="25" t="str">
        <f t="shared" si="63"/>
        <v>0</v>
      </c>
      <c r="BM21" s="29" t="str">
        <f t="shared" si="63"/>
        <v>0</v>
      </c>
      <c r="BN21" s="23" t="str">
        <f t="shared" si="63"/>
        <v>0</v>
      </c>
      <c r="BO21" s="23" t="str">
        <f t="shared" si="63"/>
        <v>0</v>
      </c>
      <c r="BP21" s="23" t="str">
        <f t="shared" si="63"/>
        <v>0</v>
      </c>
      <c r="BQ21" s="23" t="str">
        <f t="shared" si="63"/>
        <v>0</v>
      </c>
      <c r="BR21" s="23" t="str">
        <f t="shared" si="63"/>
        <v>0</v>
      </c>
      <c r="BS21" s="23" t="str">
        <f t="shared" si="63"/>
        <v>0</v>
      </c>
      <c r="BT21" s="23" t="str">
        <f t="shared" si="63"/>
        <v>0</v>
      </c>
      <c r="BU21" s="23" t="str">
        <f t="shared" si="63"/>
        <v>0</v>
      </c>
      <c r="BV21" s="23" t="str">
        <f t="shared" si="63"/>
        <v>0</v>
      </c>
      <c r="BW21" s="23" t="str">
        <f t="shared" si="63"/>
        <v>0</v>
      </c>
      <c r="BX21" s="23" t="str">
        <f t="shared" si="63"/>
        <v>0</v>
      </c>
      <c r="BY21" s="23" t="str">
        <f t="shared" si="64"/>
        <v>0</v>
      </c>
      <c r="BZ21" s="23" t="str">
        <f t="shared" si="64"/>
        <v>0</v>
      </c>
      <c r="CA21" s="23" t="str">
        <f t="shared" si="64"/>
        <v>0</v>
      </c>
      <c r="CB21" s="23" t="str">
        <f t="shared" si="64"/>
        <v>0</v>
      </c>
      <c r="CC21" s="23" t="str">
        <f t="shared" si="64"/>
        <v>0</v>
      </c>
      <c r="CD21" s="23" t="str">
        <f t="shared" si="64"/>
        <v>0</v>
      </c>
      <c r="CE21" s="23" t="str">
        <f t="shared" si="64"/>
        <v>0</v>
      </c>
      <c r="CF21" s="23" t="str">
        <f t="shared" si="64"/>
        <v>0</v>
      </c>
      <c r="CG21" s="23" t="str">
        <f t="shared" si="64"/>
        <v>0</v>
      </c>
      <c r="CH21" s="23" t="str">
        <f t="shared" si="64"/>
        <v>0</v>
      </c>
      <c r="CI21" s="23" t="str">
        <f t="shared" si="64"/>
        <v>0</v>
      </c>
      <c r="CJ21" s="23" t="str">
        <f t="shared" si="64"/>
        <v>0</v>
      </c>
      <c r="CK21" s="23" t="str">
        <f t="shared" si="64"/>
        <v>0</v>
      </c>
      <c r="CL21" s="23" t="str">
        <f t="shared" si="64"/>
        <v>0</v>
      </c>
      <c r="CM21" s="23" t="str">
        <f t="shared" si="64"/>
        <v>0</v>
      </c>
      <c r="CN21" s="23" t="str">
        <f t="shared" si="64"/>
        <v>0</v>
      </c>
      <c r="CO21" s="23" t="str">
        <f t="shared" si="64"/>
        <v>0</v>
      </c>
      <c r="CP21" s="23" t="str">
        <f t="shared" si="64"/>
        <v>0</v>
      </c>
      <c r="CQ21" s="23" t="str">
        <f t="shared" si="64"/>
        <v>0</v>
      </c>
      <c r="CR21" s="23" t="str">
        <f t="shared" si="64"/>
        <v>0</v>
      </c>
      <c r="CS21" s="23" t="str">
        <f t="shared" si="64"/>
        <v>0</v>
      </c>
      <c r="CT21" s="23" t="str">
        <f t="shared" si="64"/>
        <v>0</v>
      </c>
      <c r="CU21" s="23" t="str">
        <f t="shared" si="64"/>
        <v>0</v>
      </c>
      <c r="CV21" s="23" t="str">
        <f t="shared" si="64"/>
        <v>0</v>
      </c>
      <c r="CW21" s="23" t="str">
        <f t="shared" si="64"/>
        <v>0</v>
      </c>
      <c r="CX21" s="23" t="str">
        <f t="shared" si="64"/>
        <v>0</v>
      </c>
      <c r="CY21" s="23" t="str">
        <f t="shared" si="64"/>
        <v>0</v>
      </c>
      <c r="CZ21" s="23" t="str">
        <f t="shared" si="64"/>
        <v>0</v>
      </c>
      <c r="DA21" s="23" t="str">
        <f t="shared" si="64"/>
        <v>0</v>
      </c>
      <c r="DB21" s="23" t="str">
        <f t="shared" si="64"/>
        <v>0</v>
      </c>
      <c r="DC21" s="23" t="str">
        <f t="shared" si="64"/>
        <v>0</v>
      </c>
      <c r="DD21" s="23" t="str">
        <f t="shared" si="64"/>
        <v>0</v>
      </c>
      <c r="DE21" s="23" t="str">
        <f t="shared" si="64"/>
        <v>0</v>
      </c>
      <c r="DF21" s="23" t="str">
        <f t="shared" si="64"/>
        <v>0</v>
      </c>
      <c r="DG21" s="23" t="str">
        <f t="shared" si="64"/>
        <v>0</v>
      </c>
      <c r="DH21" s="23" t="str">
        <f t="shared" si="64"/>
        <v>0</v>
      </c>
      <c r="DI21" s="23" t="str">
        <f t="shared" si="64"/>
        <v>0</v>
      </c>
      <c r="DJ21" s="23" t="str">
        <f t="shared" si="64"/>
        <v>0</v>
      </c>
      <c r="DK21" s="23" t="str">
        <f t="shared" si="64"/>
        <v>0</v>
      </c>
      <c r="DL21" s="25" t="str">
        <f t="shared" si="64"/>
        <v>0</v>
      </c>
    </row>
    <row r="22" spans="1:116" ht="19.95" customHeight="1">
      <c r="A22" s="55"/>
      <c r="B22" s="109"/>
      <c r="C22" s="99"/>
      <c r="D22" s="54"/>
      <c r="E22" s="53"/>
      <c r="F22" s="75" t="s">
        <v>19</v>
      </c>
      <c r="G22" s="150"/>
      <c r="H22" s="150"/>
      <c r="I22" s="151">
        <v>1</v>
      </c>
      <c r="J22" s="20">
        <f t="shared" si="53"/>
        <v>0</v>
      </c>
      <c r="K22" s="20">
        <f t="shared" si="54"/>
        <v>0</v>
      </c>
      <c r="L22" s="59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60"/>
      <c r="BM22" s="30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60"/>
    </row>
    <row r="23" spans="1:116" ht="19.95" customHeight="1">
      <c r="A23" s="98"/>
      <c r="B23" s="110" t="s">
        <v>90</v>
      </c>
      <c r="C23" s="99"/>
      <c r="D23" s="54"/>
      <c r="E23" s="53">
        <v>0</v>
      </c>
      <c r="F23" s="76" t="s">
        <v>18</v>
      </c>
      <c r="G23" s="150"/>
      <c r="H23" s="150"/>
      <c r="I23" s="151"/>
      <c r="J23" s="20">
        <f t="shared" ref="J23:J24" si="70">IF(G23&lt;=DATE(2024,12,31),WEEKNUM(G23),WEEKNUM(G23)+53)</f>
        <v>0</v>
      </c>
      <c r="K23" s="20">
        <f t="shared" si="54"/>
        <v>0</v>
      </c>
      <c r="L23" s="24" t="str">
        <f>IF(L$10&gt;$K23,"0",IF(L$10&lt;$J23,"0",$E23/($K23-$J23+1)))</f>
        <v>0</v>
      </c>
      <c r="M23" s="23" t="str">
        <f t="shared" si="63"/>
        <v>0</v>
      </c>
      <c r="N23" s="23" t="str">
        <f t="shared" si="63"/>
        <v>0</v>
      </c>
      <c r="O23" s="23" t="str">
        <f t="shared" si="63"/>
        <v>0</v>
      </c>
      <c r="P23" s="23" t="str">
        <f t="shared" si="63"/>
        <v>0</v>
      </c>
      <c r="Q23" s="23" t="str">
        <f t="shared" si="63"/>
        <v>0</v>
      </c>
      <c r="R23" s="23" t="str">
        <f t="shared" si="63"/>
        <v>0</v>
      </c>
      <c r="S23" s="23" t="str">
        <f t="shared" si="63"/>
        <v>0</v>
      </c>
      <c r="T23" s="23" t="str">
        <f t="shared" si="63"/>
        <v>0</v>
      </c>
      <c r="U23" s="23" t="str">
        <f t="shared" si="63"/>
        <v>0</v>
      </c>
      <c r="V23" s="23" t="str">
        <f t="shared" si="63"/>
        <v>0</v>
      </c>
      <c r="W23" s="23" t="str">
        <f t="shared" si="63"/>
        <v>0</v>
      </c>
      <c r="X23" s="23" t="str">
        <f t="shared" si="63"/>
        <v>0</v>
      </c>
      <c r="Y23" s="23" t="str">
        <f t="shared" si="63"/>
        <v>0</v>
      </c>
      <c r="Z23" s="23" t="str">
        <f t="shared" si="63"/>
        <v>0</v>
      </c>
      <c r="AA23" s="23" t="str">
        <f t="shared" si="63"/>
        <v>0</v>
      </c>
      <c r="AB23" s="23" t="str">
        <f t="shared" si="63"/>
        <v>0</v>
      </c>
      <c r="AC23" s="23" t="str">
        <f t="shared" si="63"/>
        <v>0</v>
      </c>
      <c r="AD23" s="23" t="str">
        <f t="shared" si="63"/>
        <v>0</v>
      </c>
      <c r="AE23" s="23" t="str">
        <f t="shared" si="63"/>
        <v>0</v>
      </c>
      <c r="AF23" s="23" t="str">
        <f t="shared" si="63"/>
        <v>0</v>
      </c>
      <c r="AG23" s="23" t="str">
        <f t="shared" si="63"/>
        <v>0</v>
      </c>
      <c r="AH23" s="23" t="str">
        <f t="shared" si="63"/>
        <v>0</v>
      </c>
      <c r="AI23" s="23" t="str">
        <f t="shared" si="63"/>
        <v>0</v>
      </c>
      <c r="AJ23" s="23" t="str">
        <f t="shared" si="63"/>
        <v>0</v>
      </c>
      <c r="AK23" s="23" t="str">
        <f t="shared" si="63"/>
        <v>0</v>
      </c>
      <c r="AL23" s="23" t="str">
        <f t="shared" si="63"/>
        <v>0</v>
      </c>
      <c r="AM23" s="23" t="str">
        <f t="shared" si="63"/>
        <v>0</v>
      </c>
      <c r="AN23" s="23" t="str">
        <f t="shared" si="63"/>
        <v>0</v>
      </c>
      <c r="AO23" s="23" t="str">
        <f t="shared" si="63"/>
        <v>0</v>
      </c>
      <c r="AP23" s="23" t="str">
        <f t="shared" si="63"/>
        <v>0</v>
      </c>
      <c r="AQ23" s="23" t="str">
        <f t="shared" si="63"/>
        <v>0</v>
      </c>
      <c r="AR23" s="23" t="str">
        <f t="shared" si="63"/>
        <v>0</v>
      </c>
      <c r="AS23" s="23" t="str">
        <f t="shared" si="63"/>
        <v>0</v>
      </c>
      <c r="AT23" s="23" t="str">
        <f t="shared" si="63"/>
        <v>0</v>
      </c>
      <c r="AU23" s="23" t="str">
        <f t="shared" si="63"/>
        <v>0</v>
      </c>
      <c r="AV23" s="23" t="str">
        <f t="shared" si="63"/>
        <v>0</v>
      </c>
      <c r="AW23" s="23" t="str">
        <f t="shared" si="63"/>
        <v>0</v>
      </c>
      <c r="AX23" s="23" t="str">
        <f t="shared" si="63"/>
        <v>0</v>
      </c>
      <c r="AY23" s="23" t="str">
        <f t="shared" si="63"/>
        <v>0</v>
      </c>
      <c r="AZ23" s="23" t="str">
        <f t="shared" si="63"/>
        <v>0</v>
      </c>
      <c r="BA23" s="23" t="str">
        <f t="shared" si="63"/>
        <v>0</v>
      </c>
      <c r="BB23" s="23" t="str">
        <f t="shared" si="63"/>
        <v>0</v>
      </c>
      <c r="BC23" s="23" t="str">
        <f t="shared" si="63"/>
        <v>0</v>
      </c>
      <c r="BD23" s="23" t="str">
        <f t="shared" si="63"/>
        <v>0</v>
      </c>
      <c r="BE23" s="23" t="str">
        <f t="shared" si="63"/>
        <v>0</v>
      </c>
      <c r="BF23" s="23" t="str">
        <f t="shared" si="63"/>
        <v>0</v>
      </c>
      <c r="BG23" s="23" t="str">
        <f t="shared" si="63"/>
        <v>0</v>
      </c>
      <c r="BH23" s="23" t="str">
        <f t="shared" si="63"/>
        <v>0</v>
      </c>
      <c r="BI23" s="23" t="str">
        <f t="shared" si="63"/>
        <v>0</v>
      </c>
      <c r="BJ23" s="23" t="str">
        <f t="shared" si="63"/>
        <v>0</v>
      </c>
      <c r="BK23" s="23" t="str">
        <f t="shared" si="63"/>
        <v>0</v>
      </c>
      <c r="BL23" s="25" t="str">
        <f t="shared" si="63"/>
        <v>0</v>
      </c>
      <c r="BM23" s="29" t="str">
        <f t="shared" si="63"/>
        <v>0</v>
      </c>
      <c r="BN23" s="23" t="str">
        <f t="shared" si="63"/>
        <v>0</v>
      </c>
      <c r="BO23" s="23" t="str">
        <f t="shared" si="63"/>
        <v>0</v>
      </c>
      <c r="BP23" s="23" t="str">
        <f t="shared" si="63"/>
        <v>0</v>
      </c>
      <c r="BQ23" s="23" t="str">
        <f t="shared" si="63"/>
        <v>0</v>
      </c>
      <c r="BR23" s="23" t="str">
        <f t="shared" si="63"/>
        <v>0</v>
      </c>
      <c r="BS23" s="23" t="str">
        <f t="shared" si="63"/>
        <v>0</v>
      </c>
      <c r="BT23" s="23" t="str">
        <f t="shared" si="63"/>
        <v>0</v>
      </c>
      <c r="BU23" s="23" t="str">
        <f t="shared" si="63"/>
        <v>0</v>
      </c>
      <c r="BV23" s="23" t="str">
        <f t="shared" si="63"/>
        <v>0</v>
      </c>
      <c r="BW23" s="23" t="str">
        <f t="shared" si="63"/>
        <v>0</v>
      </c>
      <c r="BX23" s="23" t="str">
        <f t="shared" ref="BX23" si="71">IF(BX$10&gt;$K23,"0",IF(BX$10&lt;$J23,"0",$E23/($K23-$J23+1)))</f>
        <v>0</v>
      </c>
      <c r="BY23" s="23" t="str">
        <f t="shared" si="64"/>
        <v>0</v>
      </c>
      <c r="BZ23" s="23" t="str">
        <f t="shared" si="64"/>
        <v>0</v>
      </c>
      <c r="CA23" s="23" t="str">
        <f t="shared" si="64"/>
        <v>0</v>
      </c>
      <c r="CB23" s="23" t="str">
        <f t="shared" si="64"/>
        <v>0</v>
      </c>
      <c r="CC23" s="23" t="str">
        <f t="shared" si="64"/>
        <v>0</v>
      </c>
      <c r="CD23" s="23" t="str">
        <f t="shared" si="64"/>
        <v>0</v>
      </c>
      <c r="CE23" s="23" t="str">
        <f t="shared" si="64"/>
        <v>0</v>
      </c>
      <c r="CF23" s="23" t="str">
        <f t="shared" si="64"/>
        <v>0</v>
      </c>
      <c r="CG23" s="23" t="str">
        <f t="shared" si="64"/>
        <v>0</v>
      </c>
      <c r="CH23" s="23" t="str">
        <f t="shared" si="64"/>
        <v>0</v>
      </c>
      <c r="CI23" s="23" t="str">
        <f t="shared" si="64"/>
        <v>0</v>
      </c>
      <c r="CJ23" s="23" t="str">
        <f t="shared" si="64"/>
        <v>0</v>
      </c>
      <c r="CK23" s="23" t="str">
        <f t="shared" si="64"/>
        <v>0</v>
      </c>
      <c r="CL23" s="23" t="str">
        <f t="shared" si="64"/>
        <v>0</v>
      </c>
      <c r="CM23" s="23" t="str">
        <f t="shared" si="64"/>
        <v>0</v>
      </c>
      <c r="CN23" s="23" t="str">
        <f t="shared" si="64"/>
        <v>0</v>
      </c>
      <c r="CO23" s="23" t="str">
        <f t="shared" si="64"/>
        <v>0</v>
      </c>
      <c r="CP23" s="23" t="str">
        <f t="shared" si="64"/>
        <v>0</v>
      </c>
      <c r="CQ23" s="23" t="str">
        <f t="shared" si="64"/>
        <v>0</v>
      </c>
      <c r="CR23" s="23" t="str">
        <f t="shared" si="64"/>
        <v>0</v>
      </c>
      <c r="CS23" s="23" t="str">
        <f t="shared" si="64"/>
        <v>0</v>
      </c>
      <c r="CT23" s="23" t="str">
        <f t="shared" si="64"/>
        <v>0</v>
      </c>
      <c r="CU23" s="23" t="str">
        <f t="shared" si="64"/>
        <v>0</v>
      </c>
      <c r="CV23" s="23" t="str">
        <f t="shared" si="64"/>
        <v>0</v>
      </c>
      <c r="CW23" s="23" t="str">
        <f t="shared" si="64"/>
        <v>0</v>
      </c>
      <c r="CX23" s="23" t="str">
        <f t="shared" si="64"/>
        <v>0</v>
      </c>
      <c r="CY23" s="23" t="str">
        <f t="shared" si="64"/>
        <v>0</v>
      </c>
      <c r="CZ23" s="23" t="str">
        <f t="shared" si="64"/>
        <v>0</v>
      </c>
      <c r="DA23" s="23" t="str">
        <f t="shared" si="64"/>
        <v>0</v>
      </c>
      <c r="DB23" s="23" t="str">
        <f t="shared" si="64"/>
        <v>0</v>
      </c>
      <c r="DC23" s="23" t="str">
        <f t="shared" si="64"/>
        <v>0</v>
      </c>
      <c r="DD23" s="23" t="str">
        <f t="shared" si="64"/>
        <v>0</v>
      </c>
      <c r="DE23" s="23" t="str">
        <f t="shared" si="64"/>
        <v>0</v>
      </c>
      <c r="DF23" s="23" t="str">
        <f t="shared" si="64"/>
        <v>0</v>
      </c>
      <c r="DG23" s="23" t="str">
        <f t="shared" si="64"/>
        <v>0</v>
      </c>
      <c r="DH23" s="23" t="str">
        <f t="shared" si="64"/>
        <v>0</v>
      </c>
      <c r="DI23" s="23" t="str">
        <f t="shared" si="64"/>
        <v>0</v>
      </c>
      <c r="DJ23" s="23" t="str">
        <f t="shared" si="64"/>
        <v>0</v>
      </c>
      <c r="DK23" s="23" t="str">
        <f t="shared" si="64"/>
        <v>0</v>
      </c>
      <c r="DL23" s="25" t="str">
        <f t="shared" si="64"/>
        <v>0</v>
      </c>
    </row>
    <row r="24" spans="1:116" ht="19.95" customHeight="1">
      <c r="A24" s="98"/>
      <c r="B24" s="139"/>
      <c r="C24" s="99"/>
      <c r="D24" s="54"/>
      <c r="E24" s="96"/>
      <c r="F24" s="97" t="s">
        <v>19</v>
      </c>
      <c r="G24" s="150"/>
      <c r="H24" s="150"/>
      <c r="I24" s="152">
        <v>1</v>
      </c>
      <c r="J24" s="20">
        <f t="shared" si="70"/>
        <v>0</v>
      </c>
      <c r="K24" s="20">
        <f t="shared" si="54"/>
        <v>0</v>
      </c>
      <c r="L24" s="35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7"/>
      <c r="BM24" s="38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7"/>
    </row>
    <row r="25" spans="1:116" ht="19.95" customHeight="1">
      <c r="A25" s="98"/>
      <c r="B25" s="110" t="s">
        <v>91</v>
      </c>
      <c r="C25" s="99"/>
      <c r="D25" s="54"/>
      <c r="E25" s="53">
        <v>3</v>
      </c>
      <c r="F25" s="76" t="s">
        <v>18</v>
      </c>
      <c r="G25" s="150">
        <f>H21-7</f>
        <v>45559</v>
      </c>
      <c r="H25" s="150">
        <v>45566</v>
      </c>
      <c r="I25" s="151">
        <v>7</v>
      </c>
      <c r="J25" s="20">
        <f t="shared" si="53"/>
        <v>39</v>
      </c>
      <c r="K25" s="20">
        <f t="shared" si="54"/>
        <v>40</v>
      </c>
      <c r="L25" s="24" t="str">
        <f>IF(L$10&gt;$K25,"0",IF(L$10&lt;$J25,"0",$E25/($K25-$J25+1)))</f>
        <v>0</v>
      </c>
      <c r="M25" s="23" t="str">
        <f t="shared" si="63"/>
        <v>0</v>
      </c>
      <c r="N25" s="23" t="str">
        <f t="shared" si="63"/>
        <v>0</v>
      </c>
      <c r="O25" s="23" t="str">
        <f t="shared" si="63"/>
        <v>0</v>
      </c>
      <c r="P25" s="23" t="str">
        <f t="shared" si="63"/>
        <v>0</v>
      </c>
      <c r="Q25" s="23" t="str">
        <f t="shared" si="63"/>
        <v>0</v>
      </c>
      <c r="R25" s="23" t="str">
        <f t="shared" si="63"/>
        <v>0</v>
      </c>
      <c r="S25" s="23" t="str">
        <f t="shared" si="63"/>
        <v>0</v>
      </c>
      <c r="T25" s="23" t="str">
        <f t="shared" si="63"/>
        <v>0</v>
      </c>
      <c r="U25" s="23" t="str">
        <f t="shared" si="63"/>
        <v>0</v>
      </c>
      <c r="V25" s="23" t="str">
        <f t="shared" si="63"/>
        <v>0</v>
      </c>
      <c r="W25" s="23" t="str">
        <f t="shared" si="63"/>
        <v>0</v>
      </c>
      <c r="X25" s="23" t="str">
        <f t="shared" si="63"/>
        <v>0</v>
      </c>
      <c r="Y25" s="23" t="str">
        <f t="shared" si="63"/>
        <v>0</v>
      </c>
      <c r="Z25" s="23" t="str">
        <f t="shared" si="63"/>
        <v>0</v>
      </c>
      <c r="AA25" s="23" t="str">
        <f t="shared" si="63"/>
        <v>0</v>
      </c>
      <c r="AB25" s="23" t="str">
        <f t="shared" si="63"/>
        <v>0</v>
      </c>
      <c r="AC25" s="23" t="str">
        <f t="shared" si="63"/>
        <v>0</v>
      </c>
      <c r="AD25" s="23" t="str">
        <f t="shared" si="63"/>
        <v>0</v>
      </c>
      <c r="AE25" s="23" t="str">
        <f t="shared" si="63"/>
        <v>0</v>
      </c>
      <c r="AF25" s="23" t="str">
        <f t="shared" si="63"/>
        <v>0</v>
      </c>
      <c r="AG25" s="23" t="str">
        <f t="shared" si="63"/>
        <v>0</v>
      </c>
      <c r="AH25" s="23" t="str">
        <f t="shared" si="63"/>
        <v>0</v>
      </c>
      <c r="AI25" s="23" t="str">
        <f t="shared" si="63"/>
        <v>0</v>
      </c>
      <c r="AJ25" s="23" t="str">
        <f t="shared" si="63"/>
        <v>0</v>
      </c>
      <c r="AK25" s="23" t="str">
        <f t="shared" si="63"/>
        <v>0</v>
      </c>
      <c r="AL25" s="23" t="str">
        <f t="shared" si="63"/>
        <v>0</v>
      </c>
      <c r="AM25" s="23" t="str">
        <f t="shared" si="63"/>
        <v>0</v>
      </c>
      <c r="AN25" s="23" t="str">
        <f t="shared" si="63"/>
        <v>0</v>
      </c>
      <c r="AO25" s="23" t="str">
        <f t="shared" si="63"/>
        <v>0</v>
      </c>
      <c r="AP25" s="23" t="str">
        <f t="shared" si="63"/>
        <v>0</v>
      </c>
      <c r="AQ25" s="23" t="str">
        <f t="shared" si="63"/>
        <v>0</v>
      </c>
      <c r="AR25" s="23" t="str">
        <f t="shared" si="63"/>
        <v>0</v>
      </c>
      <c r="AS25" s="23" t="str">
        <f t="shared" si="63"/>
        <v>0</v>
      </c>
      <c r="AT25" s="23" t="str">
        <f t="shared" si="63"/>
        <v>0</v>
      </c>
      <c r="AU25" s="23" t="str">
        <f t="shared" si="63"/>
        <v>0</v>
      </c>
      <c r="AV25" s="23" t="str">
        <f t="shared" si="63"/>
        <v>0</v>
      </c>
      <c r="AW25" s="23" t="str">
        <f t="shared" si="63"/>
        <v>0</v>
      </c>
      <c r="AX25" s="23">
        <f t="shared" si="63"/>
        <v>1.5</v>
      </c>
      <c r="AY25" s="23">
        <f t="shared" si="63"/>
        <v>1.5</v>
      </c>
      <c r="AZ25" s="23" t="str">
        <f t="shared" si="63"/>
        <v>0</v>
      </c>
      <c r="BA25" s="23" t="str">
        <f t="shared" si="63"/>
        <v>0</v>
      </c>
      <c r="BB25" s="23" t="str">
        <f t="shared" si="63"/>
        <v>0</v>
      </c>
      <c r="BC25" s="23" t="str">
        <f t="shared" si="63"/>
        <v>0</v>
      </c>
      <c r="BD25" s="23" t="str">
        <f t="shared" si="63"/>
        <v>0</v>
      </c>
      <c r="BE25" s="23" t="str">
        <f t="shared" si="63"/>
        <v>0</v>
      </c>
      <c r="BF25" s="23" t="str">
        <f t="shared" si="63"/>
        <v>0</v>
      </c>
      <c r="BG25" s="23" t="str">
        <f t="shared" si="63"/>
        <v>0</v>
      </c>
      <c r="BH25" s="23" t="str">
        <f t="shared" si="63"/>
        <v>0</v>
      </c>
      <c r="BI25" s="23" t="str">
        <f t="shared" si="63"/>
        <v>0</v>
      </c>
      <c r="BJ25" s="23" t="str">
        <f t="shared" si="63"/>
        <v>0</v>
      </c>
      <c r="BK25" s="23" t="str">
        <f t="shared" si="63"/>
        <v>0</v>
      </c>
      <c r="BL25" s="25" t="str">
        <f t="shared" si="63"/>
        <v>0</v>
      </c>
      <c r="BM25" s="29" t="str">
        <f t="shared" si="63"/>
        <v>0</v>
      </c>
      <c r="BN25" s="23" t="str">
        <f t="shared" si="63"/>
        <v>0</v>
      </c>
      <c r="BO25" s="23" t="str">
        <f t="shared" si="63"/>
        <v>0</v>
      </c>
      <c r="BP25" s="23" t="str">
        <f t="shared" si="63"/>
        <v>0</v>
      </c>
      <c r="BQ25" s="23" t="str">
        <f t="shared" si="63"/>
        <v>0</v>
      </c>
      <c r="BR25" s="23" t="str">
        <f t="shared" si="63"/>
        <v>0</v>
      </c>
      <c r="BS25" s="23" t="str">
        <f t="shared" si="63"/>
        <v>0</v>
      </c>
      <c r="BT25" s="23" t="str">
        <f t="shared" si="63"/>
        <v>0</v>
      </c>
      <c r="BU25" s="23" t="str">
        <f t="shared" si="63"/>
        <v>0</v>
      </c>
      <c r="BV25" s="23" t="str">
        <f t="shared" si="63"/>
        <v>0</v>
      </c>
      <c r="BW25" s="23" t="str">
        <f t="shared" si="63"/>
        <v>0</v>
      </c>
      <c r="BX25" s="23" t="str">
        <f t="shared" si="63"/>
        <v>0</v>
      </c>
      <c r="BY25" s="23" t="str">
        <f t="shared" si="64"/>
        <v>0</v>
      </c>
      <c r="BZ25" s="23" t="str">
        <f t="shared" si="64"/>
        <v>0</v>
      </c>
      <c r="CA25" s="23" t="str">
        <f t="shared" si="64"/>
        <v>0</v>
      </c>
      <c r="CB25" s="23" t="str">
        <f t="shared" si="64"/>
        <v>0</v>
      </c>
      <c r="CC25" s="23" t="str">
        <f t="shared" si="64"/>
        <v>0</v>
      </c>
      <c r="CD25" s="23" t="str">
        <f t="shared" si="64"/>
        <v>0</v>
      </c>
      <c r="CE25" s="23" t="str">
        <f t="shared" si="64"/>
        <v>0</v>
      </c>
      <c r="CF25" s="23" t="str">
        <f t="shared" si="64"/>
        <v>0</v>
      </c>
      <c r="CG25" s="23" t="str">
        <f t="shared" si="64"/>
        <v>0</v>
      </c>
      <c r="CH25" s="23" t="str">
        <f t="shared" si="64"/>
        <v>0</v>
      </c>
      <c r="CI25" s="23" t="str">
        <f t="shared" si="64"/>
        <v>0</v>
      </c>
      <c r="CJ25" s="23" t="str">
        <f t="shared" si="64"/>
        <v>0</v>
      </c>
      <c r="CK25" s="23" t="str">
        <f t="shared" si="64"/>
        <v>0</v>
      </c>
      <c r="CL25" s="23" t="str">
        <f t="shared" si="64"/>
        <v>0</v>
      </c>
      <c r="CM25" s="23" t="str">
        <f t="shared" si="64"/>
        <v>0</v>
      </c>
      <c r="CN25" s="23" t="str">
        <f t="shared" si="64"/>
        <v>0</v>
      </c>
      <c r="CO25" s="23" t="str">
        <f t="shared" si="64"/>
        <v>0</v>
      </c>
      <c r="CP25" s="23" t="str">
        <f t="shared" si="64"/>
        <v>0</v>
      </c>
      <c r="CQ25" s="23" t="str">
        <f t="shared" si="64"/>
        <v>0</v>
      </c>
      <c r="CR25" s="23" t="str">
        <f t="shared" si="64"/>
        <v>0</v>
      </c>
      <c r="CS25" s="23" t="str">
        <f t="shared" si="64"/>
        <v>0</v>
      </c>
      <c r="CT25" s="23" t="str">
        <f t="shared" si="64"/>
        <v>0</v>
      </c>
      <c r="CU25" s="23" t="str">
        <f t="shared" si="64"/>
        <v>0</v>
      </c>
      <c r="CV25" s="23" t="str">
        <f t="shared" si="64"/>
        <v>0</v>
      </c>
      <c r="CW25" s="23" t="str">
        <f t="shared" si="64"/>
        <v>0</v>
      </c>
      <c r="CX25" s="23" t="str">
        <f t="shared" si="64"/>
        <v>0</v>
      </c>
      <c r="CY25" s="23" t="str">
        <f t="shared" si="64"/>
        <v>0</v>
      </c>
      <c r="CZ25" s="23" t="str">
        <f t="shared" si="64"/>
        <v>0</v>
      </c>
      <c r="DA25" s="23" t="str">
        <f t="shared" si="64"/>
        <v>0</v>
      </c>
      <c r="DB25" s="23" t="str">
        <f t="shared" si="64"/>
        <v>0</v>
      </c>
      <c r="DC25" s="23" t="str">
        <f t="shared" si="64"/>
        <v>0</v>
      </c>
      <c r="DD25" s="23" t="str">
        <f t="shared" si="64"/>
        <v>0</v>
      </c>
      <c r="DE25" s="23" t="str">
        <f t="shared" si="64"/>
        <v>0</v>
      </c>
      <c r="DF25" s="23" t="str">
        <f t="shared" si="64"/>
        <v>0</v>
      </c>
      <c r="DG25" s="23" t="str">
        <f t="shared" si="64"/>
        <v>0</v>
      </c>
      <c r="DH25" s="23" t="str">
        <f t="shared" si="64"/>
        <v>0</v>
      </c>
      <c r="DI25" s="23" t="str">
        <f t="shared" si="64"/>
        <v>0</v>
      </c>
      <c r="DJ25" s="23" t="str">
        <f t="shared" si="64"/>
        <v>0</v>
      </c>
      <c r="DK25" s="23" t="str">
        <f t="shared" si="64"/>
        <v>0</v>
      </c>
      <c r="DL25" s="25" t="str">
        <f t="shared" si="64"/>
        <v>0</v>
      </c>
    </row>
    <row r="26" spans="1:116" ht="19.95" customHeight="1" thickBot="1">
      <c r="A26" s="101"/>
      <c r="B26" s="111"/>
      <c r="C26" s="99"/>
      <c r="D26" s="54"/>
      <c r="E26" s="96"/>
      <c r="F26" s="97" t="s">
        <v>19</v>
      </c>
      <c r="G26" s="36"/>
      <c r="H26" s="36"/>
      <c r="I26" s="5">
        <v>1</v>
      </c>
      <c r="J26" s="20">
        <f t="shared" si="53"/>
        <v>0</v>
      </c>
      <c r="K26" s="20">
        <f t="shared" si="54"/>
        <v>0</v>
      </c>
      <c r="L26" s="35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7"/>
      <c r="BM26" s="38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7"/>
    </row>
    <row r="27" spans="1:116" ht="19.95" customHeight="1">
      <c r="A27" s="128">
        <v>2</v>
      </c>
      <c r="B27" s="112" t="s">
        <v>74</v>
      </c>
      <c r="C27" s="126"/>
      <c r="D27" s="92"/>
      <c r="E27" s="52">
        <f t="shared" ref="E27" si="72">SUMIF($F29:$F46,"Plan",E29:E46)</f>
        <v>75</v>
      </c>
      <c r="F27" s="65" t="s">
        <v>18</v>
      </c>
      <c r="G27" s="66">
        <v>45588</v>
      </c>
      <c r="H27" s="66">
        <v>45646</v>
      </c>
      <c r="I27" s="94">
        <f>H27-G27</f>
        <v>58</v>
      </c>
      <c r="J27" s="70">
        <f t="shared" si="53"/>
        <v>43</v>
      </c>
      <c r="K27" s="70">
        <f t="shared" si="54"/>
        <v>51</v>
      </c>
      <c r="L27" s="52">
        <f>SUMIF($F29:$F46,"Plan",L29:L46)</f>
        <v>0</v>
      </c>
      <c r="M27" s="65">
        <f t="shared" ref="M27:BX27" si="73">SUMIF($F29:$F46,"Plan",M29:M46)</f>
        <v>0</v>
      </c>
      <c r="N27" s="65">
        <f t="shared" si="73"/>
        <v>0</v>
      </c>
      <c r="O27" s="65">
        <f t="shared" si="73"/>
        <v>0</v>
      </c>
      <c r="P27" s="65">
        <f t="shared" si="73"/>
        <v>0</v>
      </c>
      <c r="Q27" s="65">
        <f t="shared" si="73"/>
        <v>0</v>
      </c>
      <c r="R27" s="65">
        <f t="shared" si="73"/>
        <v>0</v>
      </c>
      <c r="S27" s="65">
        <f t="shared" si="73"/>
        <v>0</v>
      </c>
      <c r="T27" s="65">
        <f t="shared" si="73"/>
        <v>0</v>
      </c>
      <c r="U27" s="65">
        <f t="shared" si="73"/>
        <v>0</v>
      </c>
      <c r="V27" s="65">
        <f t="shared" si="73"/>
        <v>0</v>
      </c>
      <c r="W27" s="65">
        <f t="shared" si="73"/>
        <v>0</v>
      </c>
      <c r="X27" s="65">
        <f t="shared" si="73"/>
        <v>0</v>
      </c>
      <c r="Y27" s="65">
        <f t="shared" si="73"/>
        <v>0</v>
      </c>
      <c r="Z27" s="65">
        <f t="shared" si="73"/>
        <v>0</v>
      </c>
      <c r="AA27" s="65">
        <f t="shared" si="73"/>
        <v>0</v>
      </c>
      <c r="AB27" s="65">
        <f t="shared" si="73"/>
        <v>0</v>
      </c>
      <c r="AC27" s="65">
        <f t="shared" si="73"/>
        <v>0</v>
      </c>
      <c r="AD27" s="65">
        <f t="shared" si="73"/>
        <v>0</v>
      </c>
      <c r="AE27" s="65">
        <f t="shared" si="73"/>
        <v>0</v>
      </c>
      <c r="AF27" s="65">
        <f t="shared" si="73"/>
        <v>0</v>
      </c>
      <c r="AG27" s="65">
        <f t="shared" si="73"/>
        <v>0</v>
      </c>
      <c r="AH27" s="65">
        <f t="shared" si="73"/>
        <v>0</v>
      </c>
      <c r="AI27" s="65">
        <f t="shared" si="73"/>
        <v>0</v>
      </c>
      <c r="AJ27" s="65">
        <f t="shared" si="73"/>
        <v>0</v>
      </c>
      <c r="AK27" s="65">
        <f t="shared" si="73"/>
        <v>0</v>
      </c>
      <c r="AL27" s="65">
        <f t="shared" si="73"/>
        <v>0</v>
      </c>
      <c r="AM27" s="65">
        <f t="shared" si="73"/>
        <v>0</v>
      </c>
      <c r="AN27" s="65">
        <f t="shared" si="73"/>
        <v>0</v>
      </c>
      <c r="AO27" s="65">
        <f t="shared" si="73"/>
        <v>0</v>
      </c>
      <c r="AP27" s="65">
        <f t="shared" si="73"/>
        <v>0</v>
      </c>
      <c r="AQ27" s="65">
        <f t="shared" si="73"/>
        <v>0</v>
      </c>
      <c r="AR27" s="65">
        <f t="shared" si="73"/>
        <v>0</v>
      </c>
      <c r="AS27" s="65">
        <f t="shared" si="73"/>
        <v>0</v>
      </c>
      <c r="AT27" s="65">
        <f t="shared" si="73"/>
        <v>0</v>
      </c>
      <c r="AU27" s="65">
        <f t="shared" si="73"/>
        <v>0</v>
      </c>
      <c r="AV27" s="65">
        <f t="shared" si="73"/>
        <v>0</v>
      </c>
      <c r="AW27" s="65">
        <f t="shared" si="73"/>
        <v>0</v>
      </c>
      <c r="AX27" s="65">
        <f t="shared" si="73"/>
        <v>0</v>
      </c>
      <c r="AY27" s="65">
        <f t="shared" si="73"/>
        <v>0</v>
      </c>
      <c r="AZ27" s="65">
        <f t="shared" si="73"/>
        <v>0</v>
      </c>
      <c r="BA27" s="65">
        <f t="shared" si="73"/>
        <v>0</v>
      </c>
      <c r="BB27" s="65">
        <f t="shared" si="73"/>
        <v>2.5</v>
      </c>
      <c r="BC27" s="65">
        <f t="shared" si="73"/>
        <v>2.5</v>
      </c>
      <c r="BD27" s="65">
        <f t="shared" si="73"/>
        <v>2.5</v>
      </c>
      <c r="BE27" s="65">
        <f t="shared" si="73"/>
        <v>8.3333333333333339</v>
      </c>
      <c r="BF27" s="65">
        <f t="shared" si="73"/>
        <v>9.5833333333333339</v>
      </c>
      <c r="BG27" s="65">
        <f t="shared" si="73"/>
        <v>15.416666666666668</v>
      </c>
      <c r="BH27" s="65">
        <f t="shared" si="73"/>
        <v>8.3333333333333339</v>
      </c>
      <c r="BI27" s="65">
        <f t="shared" si="73"/>
        <v>22.083333333333336</v>
      </c>
      <c r="BJ27" s="65">
        <f t="shared" si="73"/>
        <v>3.75</v>
      </c>
      <c r="BK27" s="65">
        <f t="shared" si="73"/>
        <v>0</v>
      </c>
      <c r="BL27" s="65">
        <f t="shared" si="73"/>
        <v>0</v>
      </c>
      <c r="BM27" s="65">
        <f t="shared" si="73"/>
        <v>0</v>
      </c>
      <c r="BN27" s="65">
        <f t="shared" si="73"/>
        <v>0</v>
      </c>
      <c r="BO27" s="65">
        <f t="shared" si="73"/>
        <v>0</v>
      </c>
      <c r="BP27" s="65">
        <f t="shared" si="73"/>
        <v>0</v>
      </c>
      <c r="BQ27" s="65">
        <f t="shared" si="73"/>
        <v>0</v>
      </c>
      <c r="BR27" s="65">
        <f t="shared" si="73"/>
        <v>0</v>
      </c>
      <c r="BS27" s="65">
        <f t="shared" si="73"/>
        <v>0</v>
      </c>
      <c r="BT27" s="65">
        <f t="shared" si="73"/>
        <v>0</v>
      </c>
      <c r="BU27" s="65">
        <f t="shared" si="73"/>
        <v>0</v>
      </c>
      <c r="BV27" s="65">
        <f t="shared" si="73"/>
        <v>0</v>
      </c>
      <c r="BW27" s="65">
        <f t="shared" si="73"/>
        <v>0</v>
      </c>
      <c r="BX27" s="65">
        <f t="shared" si="73"/>
        <v>0</v>
      </c>
      <c r="BY27" s="65">
        <f t="shared" ref="BY27:DL27" si="74">SUMIF($F29:$F46,"Plan",BY29:BY46)</f>
        <v>0</v>
      </c>
      <c r="BZ27" s="65">
        <f t="shared" si="74"/>
        <v>0</v>
      </c>
      <c r="CA27" s="65">
        <f t="shared" si="74"/>
        <v>0</v>
      </c>
      <c r="CB27" s="65">
        <f t="shared" si="74"/>
        <v>0</v>
      </c>
      <c r="CC27" s="65">
        <f t="shared" si="74"/>
        <v>0</v>
      </c>
      <c r="CD27" s="65">
        <f t="shared" si="74"/>
        <v>0</v>
      </c>
      <c r="CE27" s="65">
        <f t="shared" si="74"/>
        <v>0</v>
      </c>
      <c r="CF27" s="65">
        <f t="shared" si="74"/>
        <v>0</v>
      </c>
      <c r="CG27" s="65">
        <f t="shared" si="74"/>
        <v>0</v>
      </c>
      <c r="CH27" s="65">
        <f t="shared" si="74"/>
        <v>0</v>
      </c>
      <c r="CI27" s="65">
        <f t="shared" si="74"/>
        <v>0</v>
      </c>
      <c r="CJ27" s="65">
        <f t="shared" si="74"/>
        <v>0</v>
      </c>
      <c r="CK27" s="65">
        <f t="shared" si="74"/>
        <v>0</v>
      </c>
      <c r="CL27" s="65">
        <f t="shared" si="74"/>
        <v>0</v>
      </c>
      <c r="CM27" s="65">
        <f t="shared" si="74"/>
        <v>0</v>
      </c>
      <c r="CN27" s="65">
        <f t="shared" si="74"/>
        <v>0</v>
      </c>
      <c r="CO27" s="65">
        <f t="shared" si="74"/>
        <v>0</v>
      </c>
      <c r="CP27" s="65">
        <f t="shared" si="74"/>
        <v>0</v>
      </c>
      <c r="CQ27" s="65">
        <f t="shared" si="74"/>
        <v>0</v>
      </c>
      <c r="CR27" s="65">
        <f t="shared" si="74"/>
        <v>0</v>
      </c>
      <c r="CS27" s="65">
        <f t="shared" si="74"/>
        <v>0</v>
      </c>
      <c r="CT27" s="65">
        <f t="shared" si="74"/>
        <v>0</v>
      </c>
      <c r="CU27" s="65">
        <f t="shared" si="74"/>
        <v>0</v>
      </c>
      <c r="CV27" s="65">
        <f t="shared" si="74"/>
        <v>0</v>
      </c>
      <c r="CW27" s="65">
        <f t="shared" si="74"/>
        <v>0</v>
      </c>
      <c r="CX27" s="65">
        <f t="shared" si="74"/>
        <v>0</v>
      </c>
      <c r="CY27" s="65">
        <f t="shared" si="74"/>
        <v>0</v>
      </c>
      <c r="CZ27" s="65">
        <f t="shared" si="74"/>
        <v>0</v>
      </c>
      <c r="DA27" s="65">
        <f t="shared" si="74"/>
        <v>0</v>
      </c>
      <c r="DB27" s="65">
        <f t="shared" si="74"/>
        <v>0</v>
      </c>
      <c r="DC27" s="65">
        <f t="shared" si="74"/>
        <v>0</v>
      </c>
      <c r="DD27" s="65">
        <f t="shared" si="74"/>
        <v>0</v>
      </c>
      <c r="DE27" s="65">
        <f t="shared" si="74"/>
        <v>0</v>
      </c>
      <c r="DF27" s="65">
        <f t="shared" si="74"/>
        <v>0</v>
      </c>
      <c r="DG27" s="65">
        <f t="shared" si="74"/>
        <v>0</v>
      </c>
      <c r="DH27" s="65">
        <f t="shared" si="74"/>
        <v>0</v>
      </c>
      <c r="DI27" s="65">
        <f t="shared" si="74"/>
        <v>0</v>
      </c>
      <c r="DJ27" s="65">
        <f t="shared" si="74"/>
        <v>0</v>
      </c>
      <c r="DK27" s="65">
        <f t="shared" si="74"/>
        <v>0</v>
      </c>
      <c r="DL27" s="65">
        <f t="shared" si="74"/>
        <v>0</v>
      </c>
    </row>
    <row r="28" spans="1:116" ht="19.95" customHeight="1" thickBot="1">
      <c r="A28" s="124"/>
      <c r="B28" s="107"/>
      <c r="C28" s="127"/>
      <c r="D28" s="93"/>
      <c r="E28" s="39">
        <f t="shared" ref="E28" si="75">SUMIF($F29:$F46,"Actual",E29:E46)</f>
        <v>0</v>
      </c>
      <c r="F28" s="68" t="s">
        <v>19</v>
      </c>
      <c r="G28" s="69">
        <f>_xlfn.MINIFS(G29:G46,F29:F46,"Actual")</f>
        <v>0</v>
      </c>
      <c r="H28" s="69">
        <f>_xlfn.MAXIFS(H29:H46,F29:F46,"Actual")</f>
        <v>0</v>
      </c>
      <c r="I28" s="95">
        <f>H28-G28</f>
        <v>0</v>
      </c>
      <c r="J28" s="71">
        <f t="shared" si="53"/>
        <v>0</v>
      </c>
      <c r="K28" s="71">
        <f t="shared" si="54"/>
        <v>0</v>
      </c>
      <c r="L28" s="39">
        <f>SUMIF($F29:$F46,"Actual",L29:L46)</f>
        <v>0</v>
      </c>
      <c r="M28" s="67">
        <f t="shared" ref="M28:BX28" si="76">SUMIF($F29:$F46,"Actual",M29:M46)</f>
        <v>0</v>
      </c>
      <c r="N28" s="67">
        <f t="shared" si="76"/>
        <v>0</v>
      </c>
      <c r="O28" s="67">
        <f t="shared" si="76"/>
        <v>0</v>
      </c>
      <c r="P28" s="67">
        <f t="shared" si="76"/>
        <v>0</v>
      </c>
      <c r="Q28" s="67">
        <f t="shared" si="76"/>
        <v>0</v>
      </c>
      <c r="R28" s="67">
        <f t="shared" si="76"/>
        <v>0</v>
      </c>
      <c r="S28" s="67">
        <f t="shared" si="76"/>
        <v>0</v>
      </c>
      <c r="T28" s="67">
        <f t="shared" si="76"/>
        <v>0</v>
      </c>
      <c r="U28" s="67">
        <f t="shared" si="76"/>
        <v>0</v>
      </c>
      <c r="V28" s="67">
        <f t="shared" si="76"/>
        <v>0</v>
      </c>
      <c r="W28" s="67">
        <f t="shared" si="76"/>
        <v>0</v>
      </c>
      <c r="X28" s="67">
        <f t="shared" si="76"/>
        <v>0</v>
      </c>
      <c r="Y28" s="67">
        <f t="shared" si="76"/>
        <v>0</v>
      </c>
      <c r="Z28" s="67">
        <f t="shared" si="76"/>
        <v>0</v>
      </c>
      <c r="AA28" s="67">
        <f t="shared" si="76"/>
        <v>0</v>
      </c>
      <c r="AB28" s="67">
        <f t="shared" si="76"/>
        <v>0</v>
      </c>
      <c r="AC28" s="67">
        <f t="shared" si="76"/>
        <v>0</v>
      </c>
      <c r="AD28" s="67">
        <f t="shared" si="76"/>
        <v>0</v>
      </c>
      <c r="AE28" s="67">
        <f t="shared" si="76"/>
        <v>0</v>
      </c>
      <c r="AF28" s="67">
        <f t="shared" si="76"/>
        <v>0</v>
      </c>
      <c r="AG28" s="67">
        <f t="shared" si="76"/>
        <v>0</v>
      </c>
      <c r="AH28" s="67">
        <f t="shared" si="76"/>
        <v>0</v>
      </c>
      <c r="AI28" s="67">
        <f t="shared" si="76"/>
        <v>0</v>
      </c>
      <c r="AJ28" s="67">
        <f t="shared" si="76"/>
        <v>0</v>
      </c>
      <c r="AK28" s="67">
        <f t="shared" si="76"/>
        <v>0</v>
      </c>
      <c r="AL28" s="67">
        <f t="shared" si="76"/>
        <v>0</v>
      </c>
      <c r="AM28" s="67">
        <f t="shared" si="76"/>
        <v>0</v>
      </c>
      <c r="AN28" s="67">
        <f t="shared" si="76"/>
        <v>0</v>
      </c>
      <c r="AO28" s="67">
        <f t="shared" si="76"/>
        <v>0</v>
      </c>
      <c r="AP28" s="67">
        <f t="shared" si="76"/>
        <v>0</v>
      </c>
      <c r="AQ28" s="67">
        <f t="shared" si="76"/>
        <v>0</v>
      </c>
      <c r="AR28" s="67">
        <f t="shared" si="76"/>
        <v>0</v>
      </c>
      <c r="AS28" s="67">
        <f t="shared" si="76"/>
        <v>0</v>
      </c>
      <c r="AT28" s="67">
        <f t="shared" si="76"/>
        <v>0</v>
      </c>
      <c r="AU28" s="67">
        <f t="shared" si="76"/>
        <v>0</v>
      </c>
      <c r="AV28" s="67">
        <f t="shared" si="76"/>
        <v>0</v>
      </c>
      <c r="AW28" s="67">
        <f t="shared" si="76"/>
        <v>0</v>
      </c>
      <c r="AX28" s="67">
        <f t="shared" si="76"/>
        <v>0</v>
      </c>
      <c r="AY28" s="67">
        <f t="shared" si="76"/>
        <v>0</v>
      </c>
      <c r="AZ28" s="67">
        <f t="shared" si="76"/>
        <v>0</v>
      </c>
      <c r="BA28" s="67">
        <f t="shared" si="76"/>
        <v>0</v>
      </c>
      <c r="BB28" s="67">
        <f t="shared" si="76"/>
        <v>0</v>
      </c>
      <c r="BC28" s="67">
        <f t="shared" si="76"/>
        <v>0</v>
      </c>
      <c r="BD28" s="67">
        <f t="shared" si="76"/>
        <v>0</v>
      </c>
      <c r="BE28" s="67">
        <f t="shared" si="76"/>
        <v>0</v>
      </c>
      <c r="BF28" s="67">
        <f t="shared" si="76"/>
        <v>0</v>
      </c>
      <c r="BG28" s="67">
        <f t="shared" si="76"/>
        <v>0</v>
      </c>
      <c r="BH28" s="67">
        <f t="shared" si="76"/>
        <v>0</v>
      </c>
      <c r="BI28" s="67">
        <f t="shared" si="76"/>
        <v>0</v>
      </c>
      <c r="BJ28" s="67">
        <f t="shared" si="76"/>
        <v>0</v>
      </c>
      <c r="BK28" s="67">
        <f t="shared" si="76"/>
        <v>0</v>
      </c>
      <c r="BL28" s="67">
        <f t="shared" si="76"/>
        <v>0</v>
      </c>
      <c r="BM28" s="67">
        <f t="shared" si="76"/>
        <v>0</v>
      </c>
      <c r="BN28" s="67">
        <f t="shared" si="76"/>
        <v>0</v>
      </c>
      <c r="BO28" s="67">
        <f t="shared" si="76"/>
        <v>0</v>
      </c>
      <c r="BP28" s="67">
        <f t="shared" si="76"/>
        <v>0</v>
      </c>
      <c r="BQ28" s="67">
        <f t="shared" si="76"/>
        <v>0</v>
      </c>
      <c r="BR28" s="67">
        <f t="shared" si="76"/>
        <v>0</v>
      </c>
      <c r="BS28" s="67">
        <f t="shared" si="76"/>
        <v>0</v>
      </c>
      <c r="BT28" s="67">
        <f t="shared" si="76"/>
        <v>0</v>
      </c>
      <c r="BU28" s="67">
        <f t="shared" si="76"/>
        <v>0</v>
      </c>
      <c r="BV28" s="67">
        <f t="shared" si="76"/>
        <v>0</v>
      </c>
      <c r="BW28" s="67">
        <f t="shared" si="76"/>
        <v>0</v>
      </c>
      <c r="BX28" s="67">
        <f t="shared" si="76"/>
        <v>0</v>
      </c>
      <c r="BY28" s="67">
        <f t="shared" ref="BY28:DL28" si="77">SUMIF($F29:$F46,"Actual",BY29:BY46)</f>
        <v>0</v>
      </c>
      <c r="BZ28" s="67">
        <f t="shared" si="77"/>
        <v>0</v>
      </c>
      <c r="CA28" s="67">
        <f t="shared" si="77"/>
        <v>0</v>
      </c>
      <c r="CB28" s="67">
        <f t="shared" si="77"/>
        <v>0</v>
      </c>
      <c r="CC28" s="67">
        <f t="shared" si="77"/>
        <v>0</v>
      </c>
      <c r="CD28" s="67">
        <f t="shared" si="77"/>
        <v>0</v>
      </c>
      <c r="CE28" s="67">
        <f t="shared" si="77"/>
        <v>0</v>
      </c>
      <c r="CF28" s="67">
        <f t="shared" si="77"/>
        <v>0</v>
      </c>
      <c r="CG28" s="67">
        <f t="shared" si="77"/>
        <v>0</v>
      </c>
      <c r="CH28" s="67">
        <f t="shared" si="77"/>
        <v>0</v>
      </c>
      <c r="CI28" s="67">
        <f t="shared" si="77"/>
        <v>0</v>
      </c>
      <c r="CJ28" s="67">
        <f t="shared" si="77"/>
        <v>0</v>
      </c>
      <c r="CK28" s="67">
        <f t="shared" si="77"/>
        <v>0</v>
      </c>
      <c r="CL28" s="67">
        <f t="shared" si="77"/>
        <v>0</v>
      </c>
      <c r="CM28" s="67">
        <f t="shared" si="77"/>
        <v>0</v>
      </c>
      <c r="CN28" s="67">
        <f t="shared" si="77"/>
        <v>0</v>
      </c>
      <c r="CO28" s="67">
        <f t="shared" si="77"/>
        <v>0</v>
      </c>
      <c r="CP28" s="67">
        <f t="shared" si="77"/>
        <v>0</v>
      </c>
      <c r="CQ28" s="67">
        <f t="shared" si="77"/>
        <v>0</v>
      </c>
      <c r="CR28" s="67">
        <f t="shared" si="77"/>
        <v>0</v>
      </c>
      <c r="CS28" s="67">
        <f t="shared" si="77"/>
        <v>0</v>
      </c>
      <c r="CT28" s="67">
        <f t="shared" si="77"/>
        <v>0</v>
      </c>
      <c r="CU28" s="67">
        <f t="shared" si="77"/>
        <v>0</v>
      </c>
      <c r="CV28" s="67">
        <f t="shared" si="77"/>
        <v>0</v>
      </c>
      <c r="CW28" s="67">
        <f t="shared" si="77"/>
        <v>0</v>
      </c>
      <c r="CX28" s="67">
        <f t="shared" si="77"/>
        <v>0</v>
      </c>
      <c r="CY28" s="67">
        <f t="shared" si="77"/>
        <v>0</v>
      </c>
      <c r="CZ28" s="67">
        <f t="shared" si="77"/>
        <v>0</v>
      </c>
      <c r="DA28" s="67">
        <f t="shared" si="77"/>
        <v>0</v>
      </c>
      <c r="DB28" s="67">
        <f t="shared" si="77"/>
        <v>0</v>
      </c>
      <c r="DC28" s="67">
        <f t="shared" si="77"/>
        <v>0</v>
      </c>
      <c r="DD28" s="67">
        <f t="shared" si="77"/>
        <v>0</v>
      </c>
      <c r="DE28" s="67">
        <f t="shared" si="77"/>
        <v>0</v>
      </c>
      <c r="DF28" s="67">
        <f t="shared" si="77"/>
        <v>0</v>
      </c>
      <c r="DG28" s="67">
        <f t="shared" si="77"/>
        <v>0</v>
      </c>
      <c r="DH28" s="67">
        <f t="shared" si="77"/>
        <v>0</v>
      </c>
      <c r="DI28" s="67">
        <f t="shared" si="77"/>
        <v>0</v>
      </c>
      <c r="DJ28" s="67">
        <f t="shared" si="77"/>
        <v>0</v>
      </c>
      <c r="DK28" s="67">
        <f t="shared" si="77"/>
        <v>0</v>
      </c>
      <c r="DL28" s="67">
        <f t="shared" si="77"/>
        <v>0</v>
      </c>
    </row>
    <row r="29" spans="1:116" ht="19.95" customHeight="1">
      <c r="A29" s="55"/>
      <c r="B29" s="108" t="s">
        <v>75</v>
      </c>
      <c r="C29" s="58"/>
      <c r="D29" s="54"/>
      <c r="E29" s="81">
        <v>10</v>
      </c>
      <c r="F29" s="76" t="s">
        <v>18</v>
      </c>
      <c r="G29" s="147">
        <v>45588</v>
      </c>
      <c r="H29" s="56">
        <f>G29+I29</f>
        <v>45612</v>
      </c>
      <c r="I29" s="82">
        <v>24</v>
      </c>
      <c r="J29" s="20">
        <f t="shared" si="53"/>
        <v>43</v>
      </c>
      <c r="K29" s="20">
        <f t="shared" si="54"/>
        <v>46</v>
      </c>
      <c r="L29" s="31" t="str">
        <f>IF(L$10&gt;$K29,"0",IF(L$10&lt;$J29,"0",$E29/($K29-$J29+1)))</f>
        <v>0</v>
      </c>
      <c r="M29" s="32" t="str">
        <f t="shared" ref="M29:BX29" si="78">IF(M$10&gt;$K29,"0",IF(M$10&lt;$J29,"0",$E29/($K29-$J29+1)))</f>
        <v>0</v>
      </c>
      <c r="N29" s="32" t="str">
        <f t="shared" si="78"/>
        <v>0</v>
      </c>
      <c r="O29" s="32" t="str">
        <f t="shared" si="78"/>
        <v>0</v>
      </c>
      <c r="P29" s="32" t="str">
        <f t="shared" si="78"/>
        <v>0</v>
      </c>
      <c r="Q29" s="32" t="str">
        <f t="shared" si="78"/>
        <v>0</v>
      </c>
      <c r="R29" s="32" t="str">
        <f t="shared" si="78"/>
        <v>0</v>
      </c>
      <c r="S29" s="32" t="str">
        <f t="shared" si="78"/>
        <v>0</v>
      </c>
      <c r="T29" s="32" t="str">
        <f t="shared" si="78"/>
        <v>0</v>
      </c>
      <c r="U29" s="32" t="str">
        <f t="shared" si="78"/>
        <v>0</v>
      </c>
      <c r="V29" s="32" t="str">
        <f t="shared" si="78"/>
        <v>0</v>
      </c>
      <c r="W29" s="32" t="str">
        <f t="shared" si="78"/>
        <v>0</v>
      </c>
      <c r="X29" s="32" t="str">
        <f t="shared" si="78"/>
        <v>0</v>
      </c>
      <c r="Y29" s="32" t="str">
        <f t="shared" si="78"/>
        <v>0</v>
      </c>
      <c r="Z29" s="32" t="str">
        <f t="shared" si="78"/>
        <v>0</v>
      </c>
      <c r="AA29" s="32" t="str">
        <f t="shared" si="78"/>
        <v>0</v>
      </c>
      <c r="AB29" s="32" t="str">
        <f t="shared" si="78"/>
        <v>0</v>
      </c>
      <c r="AC29" s="32" t="str">
        <f t="shared" si="78"/>
        <v>0</v>
      </c>
      <c r="AD29" s="32" t="str">
        <f t="shared" si="78"/>
        <v>0</v>
      </c>
      <c r="AE29" s="32" t="str">
        <f t="shared" si="78"/>
        <v>0</v>
      </c>
      <c r="AF29" s="32" t="str">
        <f t="shared" si="78"/>
        <v>0</v>
      </c>
      <c r="AG29" s="32" t="str">
        <f t="shared" si="78"/>
        <v>0</v>
      </c>
      <c r="AH29" s="32" t="str">
        <f t="shared" si="78"/>
        <v>0</v>
      </c>
      <c r="AI29" s="32" t="str">
        <f t="shared" si="78"/>
        <v>0</v>
      </c>
      <c r="AJ29" s="32" t="str">
        <f t="shared" si="78"/>
        <v>0</v>
      </c>
      <c r="AK29" s="32" t="str">
        <f t="shared" si="78"/>
        <v>0</v>
      </c>
      <c r="AL29" s="32" t="str">
        <f t="shared" si="78"/>
        <v>0</v>
      </c>
      <c r="AM29" s="32" t="str">
        <f t="shared" si="78"/>
        <v>0</v>
      </c>
      <c r="AN29" s="32" t="str">
        <f t="shared" si="78"/>
        <v>0</v>
      </c>
      <c r="AO29" s="32" t="str">
        <f t="shared" si="78"/>
        <v>0</v>
      </c>
      <c r="AP29" s="32" t="str">
        <f t="shared" si="78"/>
        <v>0</v>
      </c>
      <c r="AQ29" s="32" t="str">
        <f t="shared" si="78"/>
        <v>0</v>
      </c>
      <c r="AR29" s="32" t="str">
        <f t="shared" si="78"/>
        <v>0</v>
      </c>
      <c r="AS29" s="32" t="str">
        <f t="shared" si="78"/>
        <v>0</v>
      </c>
      <c r="AT29" s="32" t="str">
        <f t="shared" si="78"/>
        <v>0</v>
      </c>
      <c r="AU29" s="32" t="str">
        <f t="shared" si="78"/>
        <v>0</v>
      </c>
      <c r="AV29" s="32" t="str">
        <f t="shared" si="78"/>
        <v>0</v>
      </c>
      <c r="AW29" s="32" t="str">
        <f t="shared" si="78"/>
        <v>0</v>
      </c>
      <c r="AX29" s="32" t="str">
        <f t="shared" si="78"/>
        <v>0</v>
      </c>
      <c r="AY29" s="32" t="str">
        <f t="shared" si="78"/>
        <v>0</v>
      </c>
      <c r="AZ29" s="32" t="str">
        <f t="shared" si="78"/>
        <v>0</v>
      </c>
      <c r="BA29" s="32" t="str">
        <f t="shared" si="78"/>
        <v>0</v>
      </c>
      <c r="BB29" s="32">
        <f t="shared" si="78"/>
        <v>2.5</v>
      </c>
      <c r="BC29" s="32">
        <f t="shared" si="78"/>
        <v>2.5</v>
      </c>
      <c r="BD29" s="32">
        <f t="shared" si="78"/>
        <v>2.5</v>
      </c>
      <c r="BE29" s="32">
        <f t="shared" si="78"/>
        <v>2.5</v>
      </c>
      <c r="BF29" s="32" t="str">
        <f t="shared" si="78"/>
        <v>0</v>
      </c>
      <c r="BG29" s="32" t="str">
        <f t="shared" si="78"/>
        <v>0</v>
      </c>
      <c r="BH29" s="32" t="str">
        <f t="shared" si="78"/>
        <v>0</v>
      </c>
      <c r="BI29" s="32" t="str">
        <f t="shared" si="78"/>
        <v>0</v>
      </c>
      <c r="BJ29" s="32" t="str">
        <f t="shared" si="78"/>
        <v>0</v>
      </c>
      <c r="BK29" s="32" t="str">
        <f t="shared" si="78"/>
        <v>0</v>
      </c>
      <c r="BL29" s="33" t="str">
        <f t="shared" si="78"/>
        <v>0</v>
      </c>
      <c r="BM29" s="34" t="str">
        <f t="shared" si="78"/>
        <v>0</v>
      </c>
      <c r="BN29" s="32" t="str">
        <f t="shared" si="78"/>
        <v>0</v>
      </c>
      <c r="BO29" s="32" t="str">
        <f t="shared" si="78"/>
        <v>0</v>
      </c>
      <c r="BP29" s="32" t="str">
        <f t="shared" si="78"/>
        <v>0</v>
      </c>
      <c r="BQ29" s="32" t="str">
        <f t="shared" si="78"/>
        <v>0</v>
      </c>
      <c r="BR29" s="32" t="str">
        <f t="shared" si="78"/>
        <v>0</v>
      </c>
      <c r="BS29" s="32" t="str">
        <f t="shared" si="78"/>
        <v>0</v>
      </c>
      <c r="BT29" s="32" t="str">
        <f t="shared" si="78"/>
        <v>0</v>
      </c>
      <c r="BU29" s="32" t="str">
        <f t="shared" si="78"/>
        <v>0</v>
      </c>
      <c r="BV29" s="32" t="str">
        <f t="shared" si="78"/>
        <v>0</v>
      </c>
      <c r="BW29" s="32" t="str">
        <f t="shared" si="78"/>
        <v>0</v>
      </c>
      <c r="BX29" s="32" t="str">
        <f t="shared" si="78"/>
        <v>0</v>
      </c>
      <c r="BY29" s="32" t="str">
        <f t="shared" ref="BY29:DL29" si="79">IF(BY$10&gt;$K29,"0",IF(BY$10&lt;$J29,"0",$E29/($K29-$J29+1)))</f>
        <v>0</v>
      </c>
      <c r="BZ29" s="32" t="str">
        <f t="shared" si="79"/>
        <v>0</v>
      </c>
      <c r="CA29" s="32" t="str">
        <f t="shared" si="79"/>
        <v>0</v>
      </c>
      <c r="CB29" s="32" t="str">
        <f t="shared" si="79"/>
        <v>0</v>
      </c>
      <c r="CC29" s="32" t="str">
        <f t="shared" si="79"/>
        <v>0</v>
      </c>
      <c r="CD29" s="32" t="str">
        <f t="shared" si="79"/>
        <v>0</v>
      </c>
      <c r="CE29" s="32" t="str">
        <f t="shared" si="79"/>
        <v>0</v>
      </c>
      <c r="CF29" s="32" t="str">
        <f t="shared" si="79"/>
        <v>0</v>
      </c>
      <c r="CG29" s="32" t="str">
        <f t="shared" si="79"/>
        <v>0</v>
      </c>
      <c r="CH29" s="32" t="str">
        <f t="shared" si="79"/>
        <v>0</v>
      </c>
      <c r="CI29" s="32" t="str">
        <f t="shared" si="79"/>
        <v>0</v>
      </c>
      <c r="CJ29" s="32" t="str">
        <f t="shared" si="79"/>
        <v>0</v>
      </c>
      <c r="CK29" s="32" t="str">
        <f t="shared" si="79"/>
        <v>0</v>
      </c>
      <c r="CL29" s="32" t="str">
        <f t="shared" si="79"/>
        <v>0</v>
      </c>
      <c r="CM29" s="32" t="str">
        <f t="shared" si="79"/>
        <v>0</v>
      </c>
      <c r="CN29" s="32" t="str">
        <f t="shared" si="79"/>
        <v>0</v>
      </c>
      <c r="CO29" s="32" t="str">
        <f t="shared" si="79"/>
        <v>0</v>
      </c>
      <c r="CP29" s="32" t="str">
        <f t="shared" si="79"/>
        <v>0</v>
      </c>
      <c r="CQ29" s="32" t="str">
        <f t="shared" si="79"/>
        <v>0</v>
      </c>
      <c r="CR29" s="32" t="str">
        <f t="shared" si="79"/>
        <v>0</v>
      </c>
      <c r="CS29" s="32" t="str">
        <f t="shared" si="79"/>
        <v>0</v>
      </c>
      <c r="CT29" s="32" t="str">
        <f t="shared" si="79"/>
        <v>0</v>
      </c>
      <c r="CU29" s="32" t="str">
        <f t="shared" si="79"/>
        <v>0</v>
      </c>
      <c r="CV29" s="32" t="str">
        <f t="shared" si="79"/>
        <v>0</v>
      </c>
      <c r="CW29" s="32" t="str">
        <f t="shared" si="79"/>
        <v>0</v>
      </c>
      <c r="CX29" s="32" t="str">
        <f t="shared" si="79"/>
        <v>0</v>
      </c>
      <c r="CY29" s="32" t="str">
        <f t="shared" si="79"/>
        <v>0</v>
      </c>
      <c r="CZ29" s="32" t="str">
        <f t="shared" si="79"/>
        <v>0</v>
      </c>
      <c r="DA29" s="32" t="str">
        <f t="shared" si="79"/>
        <v>0</v>
      </c>
      <c r="DB29" s="32" t="str">
        <f t="shared" si="79"/>
        <v>0</v>
      </c>
      <c r="DC29" s="32" t="str">
        <f t="shared" si="79"/>
        <v>0</v>
      </c>
      <c r="DD29" s="32" t="str">
        <f t="shared" si="79"/>
        <v>0</v>
      </c>
      <c r="DE29" s="32" t="str">
        <f t="shared" si="79"/>
        <v>0</v>
      </c>
      <c r="DF29" s="32" t="str">
        <f t="shared" si="79"/>
        <v>0</v>
      </c>
      <c r="DG29" s="32" t="str">
        <f t="shared" si="79"/>
        <v>0</v>
      </c>
      <c r="DH29" s="32" t="str">
        <f t="shared" si="79"/>
        <v>0</v>
      </c>
      <c r="DI29" s="32" t="str">
        <f t="shared" si="79"/>
        <v>0</v>
      </c>
      <c r="DJ29" s="32" t="str">
        <f t="shared" si="79"/>
        <v>0</v>
      </c>
      <c r="DK29" s="32" t="str">
        <f t="shared" si="79"/>
        <v>0</v>
      </c>
      <c r="DL29" s="33" t="str">
        <f t="shared" si="79"/>
        <v>0</v>
      </c>
    </row>
    <row r="30" spans="1:116" ht="19.95" customHeight="1">
      <c r="A30" s="55"/>
      <c r="B30" s="105"/>
      <c r="C30" s="58"/>
      <c r="D30" s="54"/>
      <c r="E30" s="53"/>
      <c r="F30" s="75" t="s">
        <v>19</v>
      </c>
      <c r="G30" s="57"/>
      <c r="H30" s="57"/>
      <c r="I30" s="2">
        <v>1</v>
      </c>
      <c r="J30" s="20">
        <f t="shared" si="53"/>
        <v>0</v>
      </c>
      <c r="K30" s="20">
        <f t="shared" si="54"/>
        <v>0</v>
      </c>
      <c r="L30" s="59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7"/>
      <c r="BM30" s="38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7"/>
    </row>
    <row r="31" spans="1:116" ht="19.95" customHeight="1">
      <c r="A31" s="55"/>
      <c r="B31" s="102" t="s">
        <v>93</v>
      </c>
      <c r="C31" s="58"/>
      <c r="D31" s="54"/>
      <c r="E31" s="53">
        <v>5</v>
      </c>
      <c r="F31" s="76" t="s">
        <v>18</v>
      </c>
      <c r="G31" s="57">
        <f>H29-5</f>
        <v>45607</v>
      </c>
      <c r="H31" s="56">
        <f>G31+I31</f>
        <v>45617</v>
      </c>
      <c r="I31" s="2">
        <v>10</v>
      </c>
      <c r="J31" s="20">
        <f t="shared" si="53"/>
        <v>46</v>
      </c>
      <c r="K31" s="20">
        <f t="shared" si="54"/>
        <v>47</v>
      </c>
      <c r="L31" s="24" t="str">
        <f>IF(L$10&gt;$K31,"0",IF(L$10&lt;$J31,"0",$E31/($K31-$J31+1)))</f>
        <v>0</v>
      </c>
      <c r="M31" s="23" t="str">
        <f t="shared" ref="M31:BX31" si="80">IF(M$10&gt;$K31,"0",IF(M$10&lt;$J31,"0",$E31/($K31-$J31+1)))</f>
        <v>0</v>
      </c>
      <c r="N31" s="23" t="str">
        <f t="shared" si="80"/>
        <v>0</v>
      </c>
      <c r="O31" s="23" t="str">
        <f t="shared" si="80"/>
        <v>0</v>
      </c>
      <c r="P31" s="23" t="str">
        <f t="shared" si="80"/>
        <v>0</v>
      </c>
      <c r="Q31" s="23" t="str">
        <f t="shared" si="80"/>
        <v>0</v>
      </c>
      <c r="R31" s="23" t="str">
        <f t="shared" si="80"/>
        <v>0</v>
      </c>
      <c r="S31" s="23" t="str">
        <f t="shared" si="80"/>
        <v>0</v>
      </c>
      <c r="T31" s="23" t="str">
        <f t="shared" si="80"/>
        <v>0</v>
      </c>
      <c r="U31" s="23" t="str">
        <f t="shared" si="80"/>
        <v>0</v>
      </c>
      <c r="V31" s="23" t="str">
        <f t="shared" si="80"/>
        <v>0</v>
      </c>
      <c r="W31" s="23" t="str">
        <f t="shared" si="80"/>
        <v>0</v>
      </c>
      <c r="X31" s="23" t="str">
        <f t="shared" si="80"/>
        <v>0</v>
      </c>
      <c r="Y31" s="23" t="str">
        <f t="shared" si="80"/>
        <v>0</v>
      </c>
      <c r="Z31" s="23" t="str">
        <f t="shared" si="80"/>
        <v>0</v>
      </c>
      <c r="AA31" s="23" t="str">
        <f t="shared" si="80"/>
        <v>0</v>
      </c>
      <c r="AB31" s="23" t="str">
        <f t="shared" si="80"/>
        <v>0</v>
      </c>
      <c r="AC31" s="23" t="str">
        <f t="shared" si="80"/>
        <v>0</v>
      </c>
      <c r="AD31" s="23" t="str">
        <f t="shared" si="80"/>
        <v>0</v>
      </c>
      <c r="AE31" s="23" t="str">
        <f t="shared" si="80"/>
        <v>0</v>
      </c>
      <c r="AF31" s="23" t="str">
        <f t="shared" si="80"/>
        <v>0</v>
      </c>
      <c r="AG31" s="23" t="str">
        <f t="shared" si="80"/>
        <v>0</v>
      </c>
      <c r="AH31" s="23" t="str">
        <f t="shared" si="80"/>
        <v>0</v>
      </c>
      <c r="AI31" s="23" t="str">
        <f t="shared" si="80"/>
        <v>0</v>
      </c>
      <c r="AJ31" s="23" t="str">
        <f t="shared" si="80"/>
        <v>0</v>
      </c>
      <c r="AK31" s="23" t="str">
        <f t="shared" si="80"/>
        <v>0</v>
      </c>
      <c r="AL31" s="23" t="str">
        <f t="shared" si="80"/>
        <v>0</v>
      </c>
      <c r="AM31" s="23" t="str">
        <f t="shared" si="80"/>
        <v>0</v>
      </c>
      <c r="AN31" s="23" t="str">
        <f t="shared" si="80"/>
        <v>0</v>
      </c>
      <c r="AO31" s="23" t="str">
        <f t="shared" si="80"/>
        <v>0</v>
      </c>
      <c r="AP31" s="23" t="str">
        <f t="shared" si="80"/>
        <v>0</v>
      </c>
      <c r="AQ31" s="23" t="str">
        <f t="shared" si="80"/>
        <v>0</v>
      </c>
      <c r="AR31" s="23" t="str">
        <f t="shared" si="80"/>
        <v>0</v>
      </c>
      <c r="AS31" s="23" t="str">
        <f t="shared" si="80"/>
        <v>0</v>
      </c>
      <c r="AT31" s="23" t="str">
        <f t="shared" si="80"/>
        <v>0</v>
      </c>
      <c r="AU31" s="23" t="str">
        <f t="shared" si="80"/>
        <v>0</v>
      </c>
      <c r="AV31" s="23" t="str">
        <f t="shared" si="80"/>
        <v>0</v>
      </c>
      <c r="AW31" s="23" t="str">
        <f t="shared" si="80"/>
        <v>0</v>
      </c>
      <c r="AX31" s="23" t="str">
        <f t="shared" si="80"/>
        <v>0</v>
      </c>
      <c r="AY31" s="23" t="str">
        <f t="shared" si="80"/>
        <v>0</v>
      </c>
      <c r="AZ31" s="23" t="str">
        <f t="shared" si="80"/>
        <v>0</v>
      </c>
      <c r="BA31" s="23" t="str">
        <f t="shared" si="80"/>
        <v>0</v>
      </c>
      <c r="BB31" s="23" t="str">
        <f t="shared" si="80"/>
        <v>0</v>
      </c>
      <c r="BC31" s="23" t="str">
        <f t="shared" si="80"/>
        <v>0</v>
      </c>
      <c r="BD31" s="23" t="str">
        <f t="shared" si="80"/>
        <v>0</v>
      </c>
      <c r="BE31" s="23">
        <f t="shared" si="80"/>
        <v>2.5</v>
      </c>
      <c r="BF31" s="23">
        <f t="shared" si="80"/>
        <v>2.5</v>
      </c>
      <c r="BG31" s="23" t="str">
        <f t="shared" si="80"/>
        <v>0</v>
      </c>
      <c r="BH31" s="23" t="str">
        <f t="shared" si="80"/>
        <v>0</v>
      </c>
      <c r="BI31" s="23" t="str">
        <f t="shared" si="80"/>
        <v>0</v>
      </c>
      <c r="BJ31" s="23" t="str">
        <f t="shared" si="80"/>
        <v>0</v>
      </c>
      <c r="BK31" s="23" t="str">
        <f t="shared" si="80"/>
        <v>0</v>
      </c>
      <c r="BL31" s="25" t="str">
        <f t="shared" si="80"/>
        <v>0</v>
      </c>
      <c r="BM31" s="29" t="str">
        <f t="shared" si="80"/>
        <v>0</v>
      </c>
      <c r="BN31" s="23" t="str">
        <f t="shared" si="80"/>
        <v>0</v>
      </c>
      <c r="BO31" s="23" t="str">
        <f t="shared" si="80"/>
        <v>0</v>
      </c>
      <c r="BP31" s="23" t="str">
        <f t="shared" si="80"/>
        <v>0</v>
      </c>
      <c r="BQ31" s="23" t="str">
        <f t="shared" si="80"/>
        <v>0</v>
      </c>
      <c r="BR31" s="23" t="str">
        <f t="shared" si="80"/>
        <v>0</v>
      </c>
      <c r="BS31" s="23" t="str">
        <f t="shared" si="80"/>
        <v>0</v>
      </c>
      <c r="BT31" s="23" t="str">
        <f t="shared" si="80"/>
        <v>0</v>
      </c>
      <c r="BU31" s="23" t="str">
        <f t="shared" si="80"/>
        <v>0</v>
      </c>
      <c r="BV31" s="23" t="str">
        <f t="shared" si="80"/>
        <v>0</v>
      </c>
      <c r="BW31" s="23" t="str">
        <f t="shared" si="80"/>
        <v>0</v>
      </c>
      <c r="BX31" s="23" t="str">
        <f t="shared" si="80"/>
        <v>0</v>
      </c>
      <c r="BY31" s="23" t="str">
        <f t="shared" ref="BY31:DL31" si="81">IF(BY$10&gt;$K31,"0",IF(BY$10&lt;$J31,"0",$E31/($K31-$J31+1)))</f>
        <v>0</v>
      </c>
      <c r="BZ31" s="23" t="str">
        <f t="shared" si="81"/>
        <v>0</v>
      </c>
      <c r="CA31" s="23" t="str">
        <f t="shared" si="81"/>
        <v>0</v>
      </c>
      <c r="CB31" s="23" t="str">
        <f t="shared" si="81"/>
        <v>0</v>
      </c>
      <c r="CC31" s="23" t="str">
        <f t="shared" si="81"/>
        <v>0</v>
      </c>
      <c r="CD31" s="23" t="str">
        <f t="shared" si="81"/>
        <v>0</v>
      </c>
      <c r="CE31" s="23" t="str">
        <f t="shared" si="81"/>
        <v>0</v>
      </c>
      <c r="CF31" s="23" t="str">
        <f t="shared" si="81"/>
        <v>0</v>
      </c>
      <c r="CG31" s="23" t="str">
        <f t="shared" si="81"/>
        <v>0</v>
      </c>
      <c r="CH31" s="23" t="str">
        <f t="shared" si="81"/>
        <v>0</v>
      </c>
      <c r="CI31" s="23" t="str">
        <f t="shared" si="81"/>
        <v>0</v>
      </c>
      <c r="CJ31" s="23" t="str">
        <f t="shared" si="81"/>
        <v>0</v>
      </c>
      <c r="CK31" s="23" t="str">
        <f t="shared" si="81"/>
        <v>0</v>
      </c>
      <c r="CL31" s="23" t="str">
        <f t="shared" si="81"/>
        <v>0</v>
      </c>
      <c r="CM31" s="23" t="str">
        <f t="shared" si="81"/>
        <v>0</v>
      </c>
      <c r="CN31" s="23" t="str">
        <f t="shared" si="81"/>
        <v>0</v>
      </c>
      <c r="CO31" s="23" t="str">
        <f t="shared" si="81"/>
        <v>0</v>
      </c>
      <c r="CP31" s="23" t="str">
        <f t="shared" si="81"/>
        <v>0</v>
      </c>
      <c r="CQ31" s="23" t="str">
        <f t="shared" si="81"/>
        <v>0</v>
      </c>
      <c r="CR31" s="23" t="str">
        <f t="shared" si="81"/>
        <v>0</v>
      </c>
      <c r="CS31" s="23" t="str">
        <f t="shared" si="81"/>
        <v>0</v>
      </c>
      <c r="CT31" s="23" t="str">
        <f t="shared" si="81"/>
        <v>0</v>
      </c>
      <c r="CU31" s="23" t="str">
        <f t="shared" si="81"/>
        <v>0</v>
      </c>
      <c r="CV31" s="23" t="str">
        <f t="shared" si="81"/>
        <v>0</v>
      </c>
      <c r="CW31" s="23" t="str">
        <f t="shared" si="81"/>
        <v>0</v>
      </c>
      <c r="CX31" s="23" t="str">
        <f t="shared" si="81"/>
        <v>0</v>
      </c>
      <c r="CY31" s="23" t="str">
        <f t="shared" si="81"/>
        <v>0</v>
      </c>
      <c r="CZ31" s="23" t="str">
        <f t="shared" si="81"/>
        <v>0</v>
      </c>
      <c r="DA31" s="23" t="str">
        <f t="shared" si="81"/>
        <v>0</v>
      </c>
      <c r="DB31" s="23" t="str">
        <f t="shared" si="81"/>
        <v>0</v>
      </c>
      <c r="DC31" s="23" t="str">
        <f t="shared" si="81"/>
        <v>0</v>
      </c>
      <c r="DD31" s="23" t="str">
        <f t="shared" si="81"/>
        <v>0</v>
      </c>
      <c r="DE31" s="23" t="str">
        <f t="shared" si="81"/>
        <v>0</v>
      </c>
      <c r="DF31" s="23" t="str">
        <f t="shared" si="81"/>
        <v>0</v>
      </c>
      <c r="DG31" s="23" t="str">
        <f t="shared" si="81"/>
        <v>0</v>
      </c>
      <c r="DH31" s="23" t="str">
        <f t="shared" si="81"/>
        <v>0</v>
      </c>
      <c r="DI31" s="23" t="str">
        <f t="shared" si="81"/>
        <v>0</v>
      </c>
      <c r="DJ31" s="23" t="str">
        <f t="shared" si="81"/>
        <v>0</v>
      </c>
      <c r="DK31" s="23" t="str">
        <f t="shared" si="81"/>
        <v>0</v>
      </c>
      <c r="DL31" s="25" t="str">
        <f t="shared" si="81"/>
        <v>0</v>
      </c>
    </row>
    <row r="32" spans="1:116" ht="19.95" customHeight="1">
      <c r="A32" s="55"/>
      <c r="B32" s="105"/>
      <c r="C32" s="58"/>
      <c r="D32" s="54"/>
      <c r="E32" s="53"/>
      <c r="F32" s="75" t="s">
        <v>19</v>
      </c>
      <c r="G32" s="57"/>
      <c r="H32" s="57"/>
      <c r="I32" s="2">
        <v>1</v>
      </c>
      <c r="J32" s="20">
        <f t="shared" si="53"/>
        <v>0</v>
      </c>
      <c r="K32" s="20">
        <f t="shared" si="54"/>
        <v>0</v>
      </c>
      <c r="L32" s="59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7"/>
      <c r="BM32" s="38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7"/>
    </row>
    <row r="33" spans="1:116" ht="19.95" customHeight="1">
      <c r="A33" s="55"/>
      <c r="B33" s="102" t="s">
        <v>76</v>
      </c>
      <c r="C33" s="58"/>
      <c r="D33" s="54"/>
      <c r="E33" s="53">
        <v>10</v>
      </c>
      <c r="F33" s="76" t="s">
        <v>18</v>
      </c>
      <c r="G33" s="57">
        <f>H31-7</f>
        <v>45610</v>
      </c>
      <c r="H33" s="56">
        <f>G33+I33</f>
        <v>45620</v>
      </c>
      <c r="I33" s="2">
        <v>10</v>
      </c>
      <c r="J33" s="20">
        <f t="shared" si="53"/>
        <v>46</v>
      </c>
      <c r="K33" s="20">
        <f t="shared" si="54"/>
        <v>48</v>
      </c>
      <c r="L33" s="24" t="str">
        <f>IF(L$10&gt;$K33,"0",IF(L$10&lt;$J33,"0",$E33/($K33-$J33+1)))</f>
        <v>0</v>
      </c>
      <c r="M33" s="23" t="str">
        <f t="shared" ref="M33:BX33" si="82">IF(M$10&gt;$K33,"0",IF(M$10&lt;$J33,"0",$E33/($K33-$J33+1)))</f>
        <v>0</v>
      </c>
      <c r="N33" s="23" t="str">
        <f t="shared" si="82"/>
        <v>0</v>
      </c>
      <c r="O33" s="23" t="str">
        <f t="shared" si="82"/>
        <v>0</v>
      </c>
      <c r="P33" s="23" t="str">
        <f t="shared" si="82"/>
        <v>0</v>
      </c>
      <c r="Q33" s="23" t="str">
        <f t="shared" si="82"/>
        <v>0</v>
      </c>
      <c r="R33" s="23" t="str">
        <f t="shared" si="82"/>
        <v>0</v>
      </c>
      <c r="S33" s="23" t="str">
        <f t="shared" si="82"/>
        <v>0</v>
      </c>
      <c r="T33" s="23" t="str">
        <f t="shared" si="82"/>
        <v>0</v>
      </c>
      <c r="U33" s="23" t="str">
        <f t="shared" si="82"/>
        <v>0</v>
      </c>
      <c r="V33" s="23" t="str">
        <f t="shared" si="82"/>
        <v>0</v>
      </c>
      <c r="W33" s="23" t="str">
        <f t="shared" si="82"/>
        <v>0</v>
      </c>
      <c r="X33" s="23" t="str">
        <f t="shared" si="82"/>
        <v>0</v>
      </c>
      <c r="Y33" s="23" t="str">
        <f t="shared" si="82"/>
        <v>0</v>
      </c>
      <c r="Z33" s="23" t="str">
        <f t="shared" si="82"/>
        <v>0</v>
      </c>
      <c r="AA33" s="23" t="str">
        <f t="shared" si="82"/>
        <v>0</v>
      </c>
      <c r="AB33" s="23" t="str">
        <f t="shared" si="82"/>
        <v>0</v>
      </c>
      <c r="AC33" s="23" t="str">
        <f t="shared" si="82"/>
        <v>0</v>
      </c>
      <c r="AD33" s="23" t="str">
        <f t="shared" si="82"/>
        <v>0</v>
      </c>
      <c r="AE33" s="23" t="str">
        <f t="shared" si="82"/>
        <v>0</v>
      </c>
      <c r="AF33" s="23" t="str">
        <f t="shared" si="82"/>
        <v>0</v>
      </c>
      <c r="AG33" s="23" t="str">
        <f t="shared" si="82"/>
        <v>0</v>
      </c>
      <c r="AH33" s="23" t="str">
        <f t="shared" si="82"/>
        <v>0</v>
      </c>
      <c r="AI33" s="23" t="str">
        <f t="shared" si="82"/>
        <v>0</v>
      </c>
      <c r="AJ33" s="23" t="str">
        <f t="shared" si="82"/>
        <v>0</v>
      </c>
      <c r="AK33" s="23" t="str">
        <f t="shared" si="82"/>
        <v>0</v>
      </c>
      <c r="AL33" s="23" t="str">
        <f t="shared" si="82"/>
        <v>0</v>
      </c>
      <c r="AM33" s="23" t="str">
        <f t="shared" si="82"/>
        <v>0</v>
      </c>
      <c r="AN33" s="23" t="str">
        <f t="shared" si="82"/>
        <v>0</v>
      </c>
      <c r="AO33" s="23" t="str">
        <f t="shared" si="82"/>
        <v>0</v>
      </c>
      <c r="AP33" s="23" t="str">
        <f t="shared" si="82"/>
        <v>0</v>
      </c>
      <c r="AQ33" s="23" t="str">
        <f t="shared" si="82"/>
        <v>0</v>
      </c>
      <c r="AR33" s="23" t="str">
        <f t="shared" si="82"/>
        <v>0</v>
      </c>
      <c r="AS33" s="23" t="str">
        <f t="shared" si="82"/>
        <v>0</v>
      </c>
      <c r="AT33" s="23" t="str">
        <f t="shared" si="82"/>
        <v>0</v>
      </c>
      <c r="AU33" s="23" t="str">
        <f t="shared" si="82"/>
        <v>0</v>
      </c>
      <c r="AV33" s="23" t="str">
        <f t="shared" si="82"/>
        <v>0</v>
      </c>
      <c r="AW33" s="23" t="str">
        <f t="shared" si="82"/>
        <v>0</v>
      </c>
      <c r="AX33" s="23" t="str">
        <f t="shared" si="82"/>
        <v>0</v>
      </c>
      <c r="AY33" s="23" t="str">
        <f t="shared" si="82"/>
        <v>0</v>
      </c>
      <c r="AZ33" s="23" t="str">
        <f t="shared" si="82"/>
        <v>0</v>
      </c>
      <c r="BA33" s="23" t="str">
        <f t="shared" si="82"/>
        <v>0</v>
      </c>
      <c r="BB33" s="23" t="str">
        <f t="shared" si="82"/>
        <v>0</v>
      </c>
      <c r="BC33" s="23" t="str">
        <f t="shared" si="82"/>
        <v>0</v>
      </c>
      <c r="BD33" s="23" t="str">
        <f t="shared" si="82"/>
        <v>0</v>
      </c>
      <c r="BE33" s="23">
        <f t="shared" si="82"/>
        <v>3.3333333333333335</v>
      </c>
      <c r="BF33" s="23">
        <f t="shared" si="82"/>
        <v>3.3333333333333335</v>
      </c>
      <c r="BG33" s="23">
        <f t="shared" si="82"/>
        <v>3.3333333333333335</v>
      </c>
      <c r="BH33" s="23" t="str">
        <f t="shared" si="82"/>
        <v>0</v>
      </c>
      <c r="BI33" s="23" t="str">
        <f t="shared" si="82"/>
        <v>0</v>
      </c>
      <c r="BJ33" s="23" t="str">
        <f t="shared" si="82"/>
        <v>0</v>
      </c>
      <c r="BK33" s="23" t="str">
        <f t="shared" si="82"/>
        <v>0</v>
      </c>
      <c r="BL33" s="25" t="str">
        <f t="shared" si="82"/>
        <v>0</v>
      </c>
      <c r="BM33" s="29" t="str">
        <f t="shared" si="82"/>
        <v>0</v>
      </c>
      <c r="BN33" s="23" t="str">
        <f t="shared" si="82"/>
        <v>0</v>
      </c>
      <c r="BO33" s="23" t="str">
        <f t="shared" si="82"/>
        <v>0</v>
      </c>
      <c r="BP33" s="23" t="str">
        <f t="shared" si="82"/>
        <v>0</v>
      </c>
      <c r="BQ33" s="23" t="str">
        <f t="shared" si="82"/>
        <v>0</v>
      </c>
      <c r="BR33" s="23" t="str">
        <f t="shared" si="82"/>
        <v>0</v>
      </c>
      <c r="BS33" s="23" t="str">
        <f t="shared" si="82"/>
        <v>0</v>
      </c>
      <c r="BT33" s="23" t="str">
        <f t="shared" si="82"/>
        <v>0</v>
      </c>
      <c r="BU33" s="23" t="str">
        <f t="shared" si="82"/>
        <v>0</v>
      </c>
      <c r="BV33" s="23" t="str">
        <f t="shared" si="82"/>
        <v>0</v>
      </c>
      <c r="BW33" s="23" t="str">
        <f t="shared" si="82"/>
        <v>0</v>
      </c>
      <c r="BX33" s="23" t="str">
        <f t="shared" si="82"/>
        <v>0</v>
      </c>
      <c r="BY33" s="23" t="str">
        <f t="shared" ref="BY33:DL33" si="83">IF(BY$10&gt;$K33,"0",IF(BY$10&lt;$J33,"0",$E33/($K33-$J33+1)))</f>
        <v>0</v>
      </c>
      <c r="BZ33" s="23" t="str">
        <f t="shared" si="83"/>
        <v>0</v>
      </c>
      <c r="CA33" s="23" t="str">
        <f t="shared" si="83"/>
        <v>0</v>
      </c>
      <c r="CB33" s="23" t="str">
        <f t="shared" si="83"/>
        <v>0</v>
      </c>
      <c r="CC33" s="23" t="str">
        <f t="shared" si="83"/>
        <v>0</v>
      </c>
      <c r="CD33" s="23" t="str">
        <f t="shared" si="83"/>
        <v>0</v>
      </c>
      <c r="CE33" s="23" t="str">
        <f t="shared" si="83"/>
        <v>0</v>
      </c>
      <c r="CF33" s="23" t="str">
        <f t="shared" si="83"/>
        <v>0</v>
      </c>
      <c r="CG33" s="23" t="str">
        <f t="shared" si="83"/>
        <v>0</v>
      </c>
      <c r="CH33" s="23" t="str">
        <f t="shared" si="83"/>
        <v>0</v>
      </c>
      <c r="CI33" s="23" t="str">
        <f t="shared" si="83"/>
        <v>0</v>
      </c>
      <c r="CJ33" s="23" t="str">
        <f t="shared" si="83"/>
        <v>0</v>
      </c>
      <c r="CK33" s="23" t="str">
        <f t="shared" si="83"/>
        <v>0</v>
      </c>
      <c r="CL33" s="23" t="str">
        <f t="shared" si="83"/>
        <v>0</v>
      </c>
      <c r="CM33" s="23" t="str">
        <f t="shared" si="83"/>
        <v>0</v>
      </c>
      <c r="CN33" s="23" t="str">
        <f t="shared" si="83"/>
        <v>0</v>
      </c>
      <c r="CO33" s="23" t="str">
        <f t="shared" si="83"/>
        <v>0</v>
      </c>
      <c r="CP33" s="23" t="str">
        <f t="shared" si="83"/>
        <v>0</v>
      </c>
      <c r="CQ33" s="23" t="str">
        <f t="shared" si="83"/>
        <v>0</v>
      </c>
      <c r="CR33" s="23" t="str">
        <f t="shared" si="83"/>
        <v>0</v>
      </c>
      <c r="CS33" s="23" t="str">
        <f t="shared" si="83"/>
        <v>0</v>
      </c>
      <c r="CT33" s="23" t="str">
        <f t="shared" si="83"/>
        <v>0</v>
      </c>
      <c r="CU33" s="23" t="str">
        <f t="shared" si="83"/>
        <v>0</v>
      </c>
      <c r="CV33" s="23" t="str">
        <f t="shared" si="83"/>
        <v>0</v>
      </c>
      <c r="CW33" s="23" t="str">
        <f t="shared" si="83"/>
        <v>0</v>
      </c>
      <c r="CX33" s="23" t="str">
        <f t="shared" si="83"/>
        <v>0</v>
      </c>
      <c r="CY33" s="23" t="str">
        <f t="shared" si="83"/>
        <v>0</v>
      </c>
      <c r="CZ33" s="23" t="str">
        <f t="shared" si="83"/>
        <v>0</v>
      </c>
      <c r="DA33" s="23" t="str">
        <f t="shared" si="83"/>
        <v>0</v>
      </c>
      <c r="DB33" s="23" t="str">
        <f t="shared" si="83"/>
        <v>0</v>
      </c>
      <c r="DC33" s="23" t="str">
        <f t="shared" si="83"/>
        <v>0</v>
      </c>
      <c r="DD33" s="23" t="str">
        <f t="shared" si="83"/>
        <v>0</v>
      </c>
      <c r="DE33" s="23" t="str">
        <f t="shared" si="83"/>
        <v>0</v>
      </c>
      <c r="DF33" s="23" t="str">
        <f t="shared" si="83"/>
        <v>0</v>
      </c>
      <c r="DG33" s="23" t="str">
        <f t="shared" si="83"/>
        <v>0</v>
      </c>
      <c r="DH33" s="23" t="str">
        <f t="shared" si="83"/>
        <v>0</v>
      </c>
      <c r="DI33" s="23" t="str">
        <f t="shared" si="83"/>
        <v>0</v>
      </c>
      <c r="DJ33" s="23" t="str">
        <f t="shared" si="83"/>
        <v>0</v>
      </c>
      <c r="DK33" s="23" t="str">
        <f t="shared" si="83"/>
        <v>0</v>
      </c>
      <c r="DL33" s="25" t="str">
        <f t="shared" si="83"/>
        <v>0</v>
      </c>
    </row>
    <row r="34" spans="1:116" ht="19.95" customHeight="1">
      <c r="A34" s="55"/>
      <c r="B34" s="105"/>
      <c r="C34" s="58"/>
      <c r="D34" s="54"/>
      <c r="E34" s="53"/>
      <c r="F34" s="75" t="s">
        <v>19</v>
      </c>
      <c r="G34" s="57"/>
      <c r="H34" s="57"/>
      <c r="I34" s="2">
        <v>1</v>
      </c>
      <c r="J34" s="20">
        <f t="shared" si="53"/>
        <v>0</v>
      </c>
      <c r="K34" s="20">
        <f t="shared" si="54"/>
        <v>0</v>
      </c>
      <c r="L34" s="59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7"/>
      <c r="BM34" s="38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7"/>
    </row>
    <row r="35" spans="1:116" ht="19.95" customHeight="1">
      <c r="A35" s="55"/>
      <c r="B35" s="102" t="s">
        <v>94</v>
      </c>
      <c r="C35" s="58"/>
      <c r="D35" s="54"/>
      <c r="E35" s="53">
        <v>7.5</v>
      </c>
      <c r="F35" s="76" t="s">
        <v>18</v>
      </c>
      <c r="G35" s="57">
        <f>H33-5</f>
        <v>45615</v>
      </c>
      <c r="H35" s="56">
        <f>G35+I35</f>
        <v>45620</v>
      </c>
      <c r="I35" s="2">
        <v>5</v>
      </c>
      <c r="J35" s="20">
        <f t="shared" si="53"/>
        <v>47</v>
      </c>
      <c r="K35" s="20">
        <f t="shared" si="54"/>
        <v>48</v>
      </c>
      <c r="L35" s="24" t="str">
        <f>IF(L$10&gt;$K35,"0",IF(L$10&lt;$J35,"0",$E35/($K35-$J35+1)))</f>
        <v>0</v>
      </c>
      <c r="M35" s="23" t="str">
        <f t="shared" ref="M35:BX35" si="84">IF(M$10&gt;$K35,"0",IF(M$10&lt;$J35,"0",$E35/($K35-$J35+1)))</f>
        <v>0</v>
      </c>
      <c r="N35" s="23" t="str">
        <f t="shared" si="84"/>
        <v>0</v>
      </c>
      <c r="O35" s="23" t="str">
        <f t="shared" si="84"/>
        <v>0</v>
      </c>
      <c r="P35" s="23" t="str">
        <f t="shared" si="84"/>
        <v>0</v>
      </c>
      <c r="Q35" s="23" t="str">
        <f t="shared" si="84"/>
        <v>0</v>
      </c>
      <c r="R35" s="23" t="str">
        <f t="shared" si="84"/>
        <v>0</v>
      </c>
      <c r="S35" s="23" t="str">
        <f t="shared" si="84"/>
        <v>0</v>
      </c>
      <c r="T35" s="23" t="str">
        <f t="shared" si="84"/>
        <v>0</v>
      </c>
      <c r="U35" s="23" t="str">
        <f t="shared" si="84"/>
        <v>0</v>
      </c>
      <c r="V35" s="23" t="str">
        <f t="shared" si="84"/>
        <v>0</v>
      </c>
      <c r="W35" s="23" t="str">
        <f t="shared" si="84"/>
        <v>0</v>
      </c>
      <c r="X35" s="23" t="str">
        <f t="shared" si="84"/>
        <v>0</v>
      </c>
      <c r="Y35" s="23" t="str">
        <f t="shared" si="84"/>
        <v>0</v>
      </c>
      <c r="Z35" s="23" t="str">
        <f t="shared" si="84"/>
        <v>0</v>
      </c>
      <c r="AA35" s="23" t="str">
        <f t="shared" si="84"/>
        <v>0</v>
      </c>
      <c r="AB35" s="23" t="str">
        <f t="shared" si="84"/>
        <v>0</v>
      </c>
      <c r="AC35" s="23" t="str">
        <f t="shared" si="84"/>
        <v>0</v>
      </c>
      <c r="AD35" s="23" t="str">
        <f t="shared" si="84"/>
        <v>0</v>
      </c>
      <c r="AE35" s="23" t="str">
        <f t="shared" si="84"/>
        <v>0</v>
      </c>
      <c r="AF35" s="23" t="str">
        <f t="shared" si="84"/>
        <v>0</v>
      </c>
      <c r="AG35" s="23" t="str">
        <f t="shared" si="84"/>
        <v>0</v>
      </c>
      <c r="AH35" s="23" t="str">
        <f t="shared" si="84"/>
        <v>0</v>
      </c>
      <c r="AI35" s="23" t="str">
        <f t="shared" si="84"/>
        <v>0</v>
      </c>
      <c r="AJ35" s="23" t="str">
        <f t="shared" si="84"/>
        <v>0</v>
      </c>
      <c r="AK35" s="23" t="str">
        <f t="shared" si="84"/>
        <v>0</v>
      </c>
      <c r="AL35" s="23" t="str">
        <f t="shared" si="84"/>
        <v>0</v>
      </c>
      <c r="AM35" s="23" t="str">
        <f t="shared" si="84"/>
        <v>0</v>
      </c>
      <c r="AN35" s="23" t="str">
        <f t="shared" si="84"/>
        <v>0</v>
      </c>
      <c r="AO35" s="23" t="str">
        <f t="shared" si="84"/>
        <v>0</v>
      </c>
      <c r="AP35" s="23" t="str">
        <f t="shared" si="84"/>
        <v>0</v>
      </c>
      <c r="AQ35" s="23" t="str">
        <f t="shared" si="84"/>
        <v>0</v>
      </c>
      <c r="AR35" s="23" t="str">
        <f t="shared" si="84"/>
        <v>0</v>
      </c>
      <c r="AS35" s="23" t="str">
        <f t="shared" si="84"/>
        <v>0</v>
      </c>
      <c r="AT35" s="23" t="str">
        <f t="shared" si="84"/>
        <v>0</v>
      </c>
      <c r="AU35" s="23" t="str">
        <f t="shared" si="84"/>
        <v>0</v>
      </c>
      <c r="AV35" s="23" t="str">
        <f t="shared" si="84"/>
        <v>0</v>
      </c>
      <c r="AW35" s="23" t="str">
        <f t="shared" si="84"/>
        <v>0</v>
      </c>
      <c r="AX35" s="23" t="str">
        <f t="shared" si="84"/>
        <v>0</v>
      </c>
      <c r="AY35" s="23" t="str">
        <f t="shared" si="84"/>
        <v>0</v>
      </c>
      <c r="AZ35" s="23" t="str">
        <f t="shared" si="84"/>
        <v>0</v>
      </c>
      <c r="BA35" s="23" t="str">
        <f t="shared" si="84"/>
        <v>0</v>
      </c>
      <c r="BB35" s="23" t="str">
        <f t="shared" si="84"/>
        <v>0</v>
      </c>
      <c r="BC35" s="23" t="str">
        <f t="shared" si="84"/>
        <v>0</v>
      </c>
      <c r="BD35" s="23" t="str">
        <f t="shared" si="84"/>
        <v>0</v>
      </c>
      <c r="BE35" s="23" t="str">
        <f t="shared" si="84"/>
        <v>0</v>
      </c>
      <c r="BF35" s="23">
        <f t="shared" si="84"/>
        <v>3.75</v>
      </c>
      <c r="BG35" s="23">
        <f t="shared" si="84"/>
        <v>3.75</v>
      </c>
      <c r="BH35" s="23" t="str">
        <f t="shared" si="84"/>
        <v>0</v>
      </c>
      <c r="BI35" s="23" t="str">
        <f t="shared" si="84"/>
        <v>0</v>
      </c>
      <c r="BJ35" s="23" t="str">
        <f t="shared" si="84"/>
        <v>0</v>
      </c>
      <c r="BK35" s="23" t="str">
        <f t="shared" si="84"/>
        <v>0</v>
      </c>
      <c r="BL35" s="25" t="str">
        <f t="shared" si="84"/>
        <v>0</v>
      </c>
      <c r="BM35" s="29" t="str">
        <f t="shared" si="84"/>
        <v>0</v>
      </c>
      <c r="BN35" s="23" t="str">
        <f t="shared" si="84"/>
        <v>0</v>
      </c>
      <c r="BO35" s="23" t="str">
        <f t="shared" si="84"/>
        <v>0</v>
      </c>
      <c r="BP35" s="23" t="str">
        <f t="shared" si="84"/>
        <v>0</v>
      </c>
      <c r="BQ35" s="23" t="str">
        <f t="shared" si="84"/>
        <v>0</v>
      </c>
      <c r="BR35" s="23" t="str">
        <f t="shared" si="84"/>
        <v>0</v>
      </c>
      <c r="BS35" s="23" t="str">
        <f t="shared" si="84"/>
        <v>0</v>
      </c>
      <c r="BT35" s="23" t="str">
        <f t="shared" si="84"/>
        <v>0</v>
      </c>
      <c r="BU35" s="23" t="str">
        <f t="shared" si="84"/>
        <v>0</v>
      </c>
      <c r="BV35" s="23" t="str">
        <f t="shared" si="84"/>
        <v>0</v>
      </c>
      <c r="BW35" s="23" t="str">
        <f t="shared" si="84"/>
        <v>0</v>
      </c>
      <c r="BX35" s="23" t="str">
        <f t="shared" si="84"/>
        <v>0</v>
      </c>
      <c r="BY35" s="23" t="str">
        <f t="shared" ref="BY35:DL35" si="85">IF(BY$10&gt;$K35,"0",IF(BY$10&lt;$J35,"0",$E35/($K35-$J35+1)))</f>
        <v>0</v>
      </c>
      <c r="BZ35" s="23" t="str">
        <f t="shared" si="85"/>
        <v>0</v>
      </c>
      <c r="CA35" s="23" t="str">
        <f t="shared" si="85"/>
        <v>0</v>
      </c>
      <c r="CB35" s="23" t="str">
        <f t="shared" si="85"/>
        <v>0</v>
      </c>
      <c r="CC35" s="23" t="str">
        <f t="shared" si="85"/>
        <v>0</v>
      </c>
      <c r="CD35" s="23" t="str">
        <f t="shared" si="85"/>
        <v>0</v>
      </c>
      <c r="CE35" s="23" t="str">
        <f t="shared" si="85"/>
        <v>0</v>
      </c>
      <c r="CF35" s="23" t="str">
        <f t="shared" si="85"/>
        <v>0</v>
      </c>
      <c r="CG35" s="23" t="str">
        <f t="shared" si="85"/>
        <v>0</v>
      </c>
      <c r="CH35" s="23" t="str">
        <f t="shared" si="85"/>
        <v>0</v>
      </c>
      <c r="CI35" s="23" t="str">
        <f t="shared" si="85"/>
        <v>0</v>
      </c>
      <c r="CJ35" s="23" t="str">
        <f t="shared" si="85"/>
        <v>0</v>
      </c>
      <c r="CK35" s="23" t="str">
        <f t="shared" si="85"/>
        <v>0</v>
      </c>
      <c r="CL35" s="23" t="str">
        <f t="shared" si="85"/>
        <v>0</v>
      </c>
      <c r="CM35" s="23" t="str">
        <f t="shared" si="85"/>
        <v>0</v>
      </c>
      <c r="CN35" s="23" t="str">
        <f t="shared" si="85"/>
        <v>0</v>
      </c>
      <c r="CO35" s="23" t="str">
        <f t="shared" si="85"/>
        <v>0</v>
      </c>
      <c r="CP35" s="23" t="str">
        <f t="shared" si="85"/>
        <v>0</v>
      </c>
      <c r="CQ35" s="23" t="str">
        <f t="shared" si="85"/>
        <v>0</v>
      </c>
      <c r="CR35" s="23" t="str">
        <f t="shared" si="85"/>
        <v>0</v>
      </c>
      <c r="CS35" s="23" t="str">
        <f t="shared" si="85"/>
        <v>0</v>
      </c>
      <c r="CT35" s="23" t="str">
        <f t="shared" si="85"/>
        <v>0</v>
      </c>
      <c r="CU35" s="23" t="str">
        <f t="shared" si="85"/>
        <v>0</v>
      </c>
      <c r="CV35" s="23" t="str">
        <f t="shared" si="85"/>
        <v>0</v>
      </c>
      <c r="CW35" s="23" t="str">
        <f t="shared" si="85"/>
        <v>0</v>
      </c>
      <c r="CX35" s="23" t="str">
        <f t="shared" si="85"/>
        <v>0</v>
      </c>
      <c r="CY35" s="23" t="str">
        <f t="shared" si="85"/>
        <v>0</v>
      </c>
      <c r="CZ35" s="23" t="str">
        <f t="shared" si="85"/>
        <v>0</v>
      </c>
      <c r="DA35" s="23" t="str">
        <f t="shared" si="85"/>
        <v>0</v>
      </c>
      <c r="DB35" s="23" t="str">
        <f t="shared" si="85"/>
        <v>0</v>
      </c>
      <c r="DC35" s="23" t="str">
        <f t="shared" si="85"/>
        <v>0</v>
      </c>
      <c r="DD35" s="23" t="str">
        <f t="shared" si="85"/>
        <v>0</v>
      </c>
      <c r="DE35" s="23" t="str">
        <f t="shared" si="85"/>
        <v>0</v>
      </c>
      <c r="DF35" s="23" t="str">
        <f t="shared" si="85"/>
        <v>0</v>
      </c>
      <c r="DG35" s="23" t="str">
        <f t="shared" si="85"/>
        <v>0</v>
      </c>
      <c r="DH35" s="23" t="str">
        <f t="shared" si="85"/>
        <v>0</v>
      </c>
      <c r="DI35" s="23" t="str">
        <f t="shared" si="85"/>
        <v>0</v>
      </c>
      <c r="DJ35" s="23" t="str">
        <f t="shared" si="85"/>
        <v>0</v>
      </c>
      <c r="DK35" s="23" t="str">
        <f t="shared" si="85"/>
        <v>0</v>
      </c>
      <c r="DL35" s="25" t="str">
        <f t="shared" si="85"/>
        <v>0</v>
      </c>
    </row>
    <row r="36" spans="1:116" ht="19.95" customHeight="1">
      <c r="A36" s="55"/>
      <c r="B36" s="105"/>
      <c r="C36" s="58"/>
      <c r="D36" s="54"/>
      <c r="E36" s="53"/>
      <c r="F36" s="75" t="s">
        <v>19</v>
      </c>
      <c r="G36" s="57"/>
      <c r="H36" s="57"/>
      <c r="I36" s="2">
        <v>1</v>
      </c>
      <c r="J36" s="20">
        <f t="shared" si="53"/>
        <v>0</v>
      </c>
      <c r="K36" s="20">
        <f t="shared" si="54"/>
        <v>0</v>
      </c>
      <c r="L36" s="59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7"/>
      <c r="BM36" s="38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7"/>
    </row>
    <row r="37" spans="1:116" ht="19.95" customHeight="1">
      <c r="A37" s="55"/>
      <c r="B37" s="102" t="s">
        <v>77</v>
      </c>
      <c r="C37" s="58"/>
      <c r="D37" s="54"/>
      <c r="E37" s="53">
        <v>10</v>
      </c>
      <c r="F37" s="76" t="s">
        <v>18</v>
      </c>
      <c r="G37" s="57">
        <f>H33+1</f>
        <v>45621</v>
      </c>
      <c r="H37" s="56">
        <f>G37+I37</f>
        <v>45636</v>
      </c>
      <c r="I37" s="2">
        <v>15</v>
      </c>
      <c r="J37" s="20">
        <f t="shared" si="53"/>
        <v>48</v>
      </c>
      <c r="K37" s="20">
        <f t="shared" si="54"/>
        <v>50</v>
      </c>
      <c r="L37" s="24" t="str">
        <f>IF(L$10&gt;$K37,"0",IF(L$10&lt;$J37,"0",$E37/($K37-$J37+1)))</f>
        <v>0</v>
      </c>
      <c r="M37" s="23" t="str">
        <f t="shared" ref="M37:BX37" si="86">IF(M$10&gt;$K37,"0",IF(M$10&lt;$J37,"0",$E37/($K37-$J37+1)))</f>
        <v>0</v>
      </c>
      <c r="N37" s="23" t="str">
        <f t="shared" si="86"/>
        <v>0</v>
      </c>
      <c r="O37" s="23" t="str">
        <f t="shared" si="86"/>
        <v>0</v>
      </c>
      <c r="P37" s="23" t="str">
        <f t="shared" si="86"/>
        <v>0</v>
      </c>
      <c r="Q37" s="23" t="str">
        <f t="shared" si="86"/>
        <v>0</v>
      </c>
      <c r="R37" s="23" t="str">
        <f t="shared" si="86"/>
        <v>0</v>
      </c>
      <c r="S37" s="23" t="str">
        <f t="shared" si="86"/>
        <v>0</v>
      </c>
      <c r="T37" s="23" t="str">
        <f t="shared" si="86"/>
        <v>0</v>
      </c>
      <c r="U37" s="23" t="str">
        <f t="shared" si="86"/>
        <v>0</v>
      </c>
      <c r="V37" s="23" t="str">
        <f t="shared" si="86"/>
        <v>0</v>
      </c>
      <c r="W37" s="23" t="str">
        <f t="shared" si="86"/>
        <v>0</v>
      </c>
      <c r="X37" s="23" t="str">
        <f t="shared" si="86"/>
        <v>0</v>
      </c>
      <c r="Y37" s="23" t="str">
        <f t="shared" si="86"/>
        <v>0</v>
      </c>
      <c r="Z37" s="23" t="str">
        <f t="shared" si="86"/>
        <v>0</v>
      </c>
      <c r="AA37" s="23" t="str">
        <f t="shared" si="86"/>
        <v>0</v>
      </c>
      <c r="AB37" s="23" t="str">
        <f t="shared" si="86"/>
        <v>0</v>
      </c>
      <c r="AC37" s="23" t="str">
        <f t="shared" si="86"/>
        <v>0</v>
      </c>
      <c r="AD37" s="23" t="str">
        <f t="shared" si="86"/>
        <v>0</v>
      </c>
      <c r="AE37" s="23" t="str">
        <f t="shared" si="86"/>
        <v>0</v>
      </c>
      <c r="AF37" s="23" t="str">
        <f t="shared" si="86"/>
        <v>0</v>
      </c>
      <c r="AG37" s="23" t="str">
        <f t="shared" si="86"/>
        <v>0</v>
      </c>
      <c r="AH37" s="23" t="str">
        <f t="shared" si="86"/>
        <v>0</v>
      </c>
      <c r="AI37" s="23" t="str">
        <f t="shared" si="86"/>
        <v>0</v>
      </c>
      <c r="AJ37" s="23" t="str">
        <f t="shared" si="86"/>
        <v>0</v>
      </c>
      <c r="AK37" s="23" t="str">
        <f t="shared" si="86"/>
        <v>0</v>
      </c>
      <c r="AL37" s="23" t="str">
        <f t="shared" si="86"/>
        <v>0</v>
      </c>
      <c r="AM37" s="23" t="str">
        <f t="shared" si="86"/>
        <v>0</v>
      </c>
      <c r="AN37" s="23" t="str">
        <f t="shared" si="86"/>
        <v>0</v>
      </c>
      <c r="AO37" s="23" t="str">
        <f t="shared" si="86"/>
        <v>0</v>
      </c>
      <c r="AP37" s="23" t="str">
        <f t="shared" si="86"/>
        <v>0</v>
      </c>
      <c r="AQ37" s="23" t="str">
        <f t="shared" si="86"/>
        <v>0</v>
      </c>
      <c r="AR37" s="23" t="str">
        <f t="shared" si="86"/>
        <v>0</v>
      </c>
      <c r="AS37" s="23" t="str">
        <f t="shared" si="86"/>
        <v>0</v>
      </c>
      <c r="AT37" s="23" t="str">
        <f t="shared" si="86"/>
        <v>0</v>
      </c>
      <c r="AU37" s="23" t="str">
        <f t="shared" si="86"/>
        <v>0</v>
      </c>
      <c r="AV37" s="23" t="str">
        <f t="shared" si="86"/>
        <v>0</v>
      </c>
      <c r="AW37" s="23" t="str">
        <f t="shared" si="86"/>
        <v>0</v>
      </c>
      <c r="AX37" s="23" t="str">
        <f t="shared" si="86"/>
        <v>0</v>
      </c>
      <c r="AY37" s="23" t="str">
        <f t="shared" si="86"/>
        <v>0</v>
      </c>
      <c r="AZ37" s="23" t="str">
        <f t="shared" si="86"/>
        <v>0</v>
      </c>
      <c r="BA37" s="23" t="str">
        <f t="shared" si="86"/>
        <v>0</v>
      </c>
      <c r="BB37" s="23" t="str">
        <f t="shared" si="86"/>
        <v>0</v>
      </c>
      <c r="BC37" s="23" t="str">
        <f t="shared" si="86"/>
        <v>0</v>
      </c>
      <c r="BD37" s="23" t="str">
        <f t="shared" si="86"/>
        <v>0</v>
      </c>
      <c r="BE37" s="23" t="str">
        <f t="shared" si="86"/>
        <v>0</v>
      </c>
      <c r="BF37" s="23" t="str">
        <f t="shared" si="86"/>
        <v>0</v>
      </c>
      <c r="BG37" s="23">
        <f t="shared" si="86"/>
        <v>3.3333333333333335</v>
      </c>
      <c r="BH37" s="23">
        <f t="shared" si="86"/>
        <v>3.3333333333333335</v>
      </c>
      <c r="BI37" s="23">
        <f t="shared" si="86"/>
        <v>3.3333333333333335</v>
      </c>
      <c r="BJ37" s="23" t="str">
        <f t="shared" si="86"/>
        <v>0</v>
      </c>
      <c r="BK37" s="23" t="str">
        <f t="shared" si="86"/>
        <v>0</v>
      </c>
      <c r="BL37" s="25" t="str">
        <f t="shared" si="86"/>
        <v>0</v>
      </c>
      <c r="BM37" s="29" t="str">
        <f t="shared" si="86"/>
        <v>0</v>
      </c>
      <c r="BN37" s="23" t="str">
        <f t="shared" si="86"/>
        <v>0</v>
      </c>
      <c r="BO37" s="23" t="str">
        <f t="shared" si="86"/>
        <v>0</v>
      </c>
      <c r="BP37" s="23" t="str">
        <f t="shared" si="86"/>
        <v>0</v>
      </c>
      <c r="BQ37" s="23" t="str">
        <f t="shared" si="86"/>
        <v>0</v>
      </c>
      <c r="BR37" s="23" t="str">
        <f t="shared" si="86"/>
        <v>0</v>
      </c>
      <c r="BS37" s="23" t="str">
        <f t="shared" si="86"/>
        <v>0</v>
      </c>
      <c r="BT37" s="23" t="str">
        <f t="shared" si="86"/>
        <v>0</v>
      </c>
      <c r="BU37" s="23" t="str">
        <f t="shared" si="86"/>
        <v>0</v>
      </c>
      <c r="BV37" s="23" t="str">
        <f t="shared" si="86"/>
        <v>0</v>
      </c>
      <c r="BW37" s="23" t="str">
        <f t="shared" si="86"/>
        <v>0</v>
      </c>
      <c r="BX37" s="23" t="str">
        <f t="shared" si="86"/>
        <v>0</v>
      </c>
      <c r="BY37" s="23" t="str">
        <f t="shared" ref="BY37:DL37" si="87">IF(BY$10&gt;$K37,"0",IF(BY$10&lt;$J37,"0",$E37/($K37-$J37+1)))</f>
        <v>0</v>
      </c>
      <c r="BZ37" s="23" t="str">
        <f t="shared" si="87"/>
        <v>0</v>
      </c>
      <c r="CA37" s="23" t="str">
        <f t="shared" si="87"/>
        <v>0</v>
      </c>
      <c r="CB37" s="23" t="str">
        <f t="shared" si="87"/>
        <v>0</v>
      </c>
      <c r="CC37" s="23" t="str">
        <f t="shared" si="87"/>
        <v>0</v>
      </c>
      <c r="CD37" s="23" t="str">
        <f t="shared" si="87"/>
        <v>0</v>
      </c>
      <c r="CE37" s="23" t="str">
        <f t="shared" si="87"/>
        <v>0</v>
      </c>
      <c r="CF37" s="23" t="str">
        <f t="shared" si="87"/>
        <v>0</v>
      </c>
      <c r="CG37" s="23" t="str">
        <f t="shared" si="87"/>
        <v>0</v>
      </c>
      <c r="CH37" s="23" t="str">
        <f t="shared" si="87"/>
        <v>0</v>
      </c>
      <c r="CI37" s="23" t="str">
        <f t="shared" si="87"/>
        <v>0</v>
      </c>
      <c r="CJ37" s="23" t="str">
        <f t="shared" si="87"/>
        <v>0</v>
      </c>
      <c r="CK37" s="23" t="str">
        <f t="shared" si="87"/>
        <v>0</v>
      </c>
      <c r="CL37" s="23" t="str">
        <f t="shared" si="87"/>
        <v>0</v>
      </c>
      <c r="CM37" s="23" t="str">
        <f t="shared" si="87"/>
        <v>0</v>
      </c>
      <c r="CN37" s="23" t="str">
        <f t="shared" si="87"/>
        <v>0</v>
      </c>
      <c r="CO37" s="23" t="str">
        <f t="shared" si="87"/>
        <v>0</v>
      </c>
      <c r="CP37" s="23" t="str">
        <f t="shared" si="87"/>
        <v>0</v>
      </c>
      <c r="CQ37" s="23" t="str">
        <f t="shared" si="87"/>
        <v>0</v>
      </c>
      <c r="CR37" s="23" t="str">
        <f t="shared" si="87"/>
        <v>0</v>
      </c>
      <c r="CS37" s="23" t="str">
        <f t="shared" si="87"/>
        <v>0</v>
      </c>
      <c r="CT37" s="23" t="str">
        <f t="shared" si="87"/>
        <v>0</v>
      </c>
      <c r="CU37" s="23" t="str">
        <f t="shared" si="87"/>
        <v>0</v>
      </c>
      <c r="CV37" s="23" t="str">
        <f t="shared" si="87"/>
        <v>0</v>
      </c>
      <c r="CW37" s="23" t="str">
        <f t="shared" si="87"/>
        <v>0</v>
      </c>
      <c r="CX37" s="23" t="str">
        <f t="shared" si="87"/>
        <v>0</v>
      </c>
      <c r="CY37" s="23" t="str">
        <f t="shared" si="87"/>
        <v>0</v>
      </c>
      <c r="CZ37" s="23" t="str">
        <f t="shared" si="87"/>
        <v>0</v>
      </c>
      <c r="DA37" s="23" t="str">
        <f t="shared" si="87"/>
        <v>0</v>
      </c>
      <c r="DB37" s="23" t="str">
        <f t="shared" si="87"/>
        <v>0</v>
      </c>
      <c r="DC37" s="23" t="str">
        <f t="shared" si="87"/>
        <v>0</v>
      </c>
      <c r="DD37" s="23" t="str">
        <f t="shared" si="87"/>
        <v>0</v>
      </c>
      <c r="DE37" s="23" t="str">
        <f t="shared" si="87"/>
        <v>0</v>
      </c>
      <c r="DF37" s="23" t="str">
        <f t="shared" si="87"/>
        <v>0</v>
      </c>
      <c r="DG37" s="23" t="str">
        <f t="shared" si="87"/>
        <v>0</v>
      </c>
      <c r="DH37" s="23" t="str">
        <f t="shared" si="87"/>
        <v>0</v>
      </c>
      <c r="DI37" s="23" t="str">
        <f t="shared" si="87"/>
        <v>0</v>
      </c>
      <c r="DJ37" s="23" t="str">
        <f t="shared" si="87"/>
        <v>0</v>
      </c>
      <c r="DK37" s="23" t="str">
        <f t="shared" si="87"/>
        <v>0</v>
      </c>
      <c r="DL37" s="25" t="str">
        <f t="shared" si="87"/>
        <v>0</v>
      </c>
    </row>
    <row r="38" spans="1:116" ht="19.95" customHeight="1">
      <c r="A38" s="55"/>
      <c r="B38" s="105"/>
      <c r="C38" s="58"/>
      <c r="D38" s="54"/>
      <c r="E38" s="53"/>
      <c r="F38" s="75" t="s">
        <v>19</v>
      </c>
      <c r="G38" s="57"/>
      <c r="H38" s="57"/>
      <c r="I38" s="2">
        <v>1</v>
      </c>
      <c r="J38" s="20">
        <f t="shared" si="53"/>
        <v>0</v>
      </c>
      <c r="K38" s="20">
        <f t="shared" si="54"/>
        <v>0</v>
      </c>
      <c r="L38" s="59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7"/>
      <c r="BM38" s="38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7"/>
    </row>
    <row r="39" spans="1:116" ht="19.95" customHeight="1">
      <c r="A39" s="55"/>
      <c r="B39" s="102" t="s">
        <v>78</v>
      </c>
      <c r="C39" s="58"/>
      <c r="D39" s="54"/>
      <c r="E39" s="53">
        <v>7.5</v>
      </c>
      <c r="F39" s="76" t="s">
        <v>18</v>
      </c>
      <c r="G39" s="57">
        <f>H37-2</f>
        <v>45634</v>
      </c>
      <c r="H39" s="56">
        <f>G39+I39</f>
        <v>45646</v>
      </c>
      <c r="I39" s="2">
        <v>12</v>
      </c>
      <c r="J39" s="20">
        <f t="shared" si="53"/>
        <v>50</v>
      </c>
      <c r="K39" s="20">
        <f t="shared" si="54"/>
        <v>51</v>
      </c>
      <c r="L39" s="24" t="str">
        <f>IF(L$10&gt;$K39,"0",IF(L$10&lt;$J39,"0",$E39/($K39-$J39+1)))</f>
        <v>0</v>
      </c>
      <c r="M39" s="23" t="str">
        <f t="shared" ref="M39:BX39" si="88">IF(M$10&gt;$K39,"0",IF(M$10&lt;$J39,"0",$E39/($K39-$J39+1)))</f>
        <v>0</v>
      </c>
      <c r="N39" s="23" t="str">
        <f t="shared" si="88"/>
        <v>0</v>
      </c>
      <c r="O39" s="23" t="str">
        <f t="shared" si="88"/>
        <v>0</v>
      </c>
      <c r="P39" s="23" t="str">
        <f t="shared" si="88"/>
        <v>0</v>
      </c>
      <c r="Q39" s="23" t="str">
        <f t="shared" si="88"/>
        <v>0</v>
      </c>
      <c r="R39" s="23" t="str">
        <f t="shared" si="88"/>
        <v>0</v>
      </c>
      <c r="S39" s="23" t="str">
        <f t="shared" si="88"/>
        <v>0</v>
      </c>
      <c r="T39" s="23" t="str">
        <f t="shared" si="88"/>
        <v>0</v>
      </c>
      <c r="U39" s="23" t="str">
        <f t="shared" si="88"/>
        <v>0</v>
      </c>
      <c r="V39" s="23" t="str">
        <f t="shared" si="88"/>
        <v>0</v>
      </c>
      <c r="W39" s="23" t="str">
        <f t="shared" si="88"/>
        <v>0</v>
      </c>
      <c r="X39" s="23" t="str">
        <f t="shared" si="88"/>
        <v>0</v>
      </c>
      <c r="Y39" s="23" t="str">
        <f t="shared" si="88"/>
        <v>0</v>
      </c>
      <c r="Z39" s="23" t="str">
        <f t="shared" si="88"/>
        <v>0</v>
      </c>
      <c r="AA39" s="23" t="str">
        <f t="shared" si="88"/>
        <v>0</v>
      </c>
      <c r="AB39" s="23" t="str">
        <f t="shared" si="88"/>
        <v>0</v>
      </c>
      <c r="AC39" s="23" t="str">
        <f t="shared" si="88"/>
        <v>0</v>
      </c>
      <c r="AD39" s="23" t="str">
        <f t="shared" si="88"/>
        <v>0</v>
      </c>
      <c r="AE39" s="23" t="str">
        <f t="shared" si="88"/>
        <v>0</v>
      </c>
      <c r="AF39" s="23" t="str">
        <f t="shared" si="88"/>
        <v>0</v>
      </c>
      <c r="AG39" s="23" t="str">
        <f t="shared" si="88"/>
        <v>0</v>
      </c>
      <c r="AH39" s="23" t="str">
        <f t="shared" si="88"/>
        <v>0</v>
      </c>
      <c r="AI39" s="23" t="str">
        <f t="shared" si="88"/>
        <v>0</v>
      </c>
      <c r="AJ39" s="23" t="str">
        <f t="shared" si="88"/>
        <v>0</v>
      </c>
      <c r="AK39" s="23" t="str">
        <f t="shared" si="88"/>
        <v>0</v>
      </c>
      <c r="AL39" s="23" t="str">
        <f t="shared" si="88"/>
        <v>0</v>
      </c>
      <c r="AM39" s="23" t="str">
        <f t="shared" si="88"/>
        <v>0</v>
      </c>
      <c r="AN39" s="23" t="str">
        <f t="shared" si="88"/>
        <v>0</v>
      </c>
      <c r="AO39" s="23" t="str">
        <f t="shared" si="88"/>
        <v>0</v>
      </c>
      <c r="AP39" s="23" t="str">
        <f t="shared" si="88"/>
        <v>0</v>
      </c>
      <c r="AQ39" s="23" t="str">
        <f t="shared" si="88"/>
        <v>0</v>
      </c>
      <c r="AR39" s="23" t="str">
        <f t="shared" si="88"/>
        <v>0</v>
      </c>
      <c r="AS39" s="23" t="str">
        <f t="shared" si="88"/>
        <v>0</v>
      </c>
      <c r="AT39" s="23" t="str">
        <f t="shared" si="88"/>
        <v>0</v>
      </c>
      <c r="AU39" s="23" t="str">
        <f t="shared" si="88"/>
        <v>0</v>
      </c>
      <c r="AV39" s="23" t="str">
        <f t="shared" si="88"/>
        <v>0</v>
      </c>
      <c r="AW39" s="23" t="str">
        <f t="shared" si="88"/>
        <v>0</v>
      </c>
      <c r="AX39" s="23" t="str">
        <f t="shared" si="88"/>
        <v>0</v>
      </c>
      <c r="AY39" s="23" t="str">
        <f t="shared" si="88"/>
        <v>0</v>
      </c>
      <c r="AZ39" s="23" t="str">
        <f t="shared" si="88"/>
        <v>0</v>
      </c>
      <c r="BA39" s="23" t="str">
        <f t="shared" si="88"/>
        <v>0</v>
      </c>
      <c r="BB39" s="23" t="str">
        <f t="shared" si="88"/>
        <v>0</v>
      </c>
      <c r="BC39" s="23" t="str">
        <f t="shared" si="88"/>
        <v>0</v>
      </c>
      <c r="BD39" s="23" t="str">
        <f t="shared" si="88"/>
        <v>0</v>
      </c>
      <c r="BE39" s="23" t="str">
        <f t="shared" si="88"/>
        <v>0</v>
      </c>
      <c r="BF39" s="23" t="str">
        <f t="shared" si="88"/>
        <v>0</v>
      </c>
      <c r="BG39" s="23" t="str">
        <f t="shared" si="88"/>
        <v>0</v>
      </c>
      <c r="BH39" s="23" t="str">
        <f t="shared" si="88"/>
        <v>0</v>
      </c>
      <c r="BI39" s="23">
        <f t="shared" si="88"/>
        <v>3.75</v>
      </c>
      <c r="BJ39" s="23">
        <f t="shared" si="88"/>
        <v>3.75</v>
      </c>
      <c r="BK39" s="23" t="str">
        <f t="shared" si="88"/>
        <v>0</v>
      </c>
      <c r="BL39" s="25" t="str">
        <f t="shared" si="88"/>
        <v>0</v>
      </c>
      <c r="BM39" s="29" t="str">
        <f t="shared" si="88"/>
        <v>0</v>
      </c>
      <c r="BN39" s="23" t="str">
        <f t="shared" si="88"/>
        <v>0</v>
      </c>
      <c r="BO39" s="23" t="str">
        <f t="shared" si="88"/>
        <v>0</v>
      </c>
      <c r="BP39" s="23" t="str">
        <f t="shared" si="88"/>
        <v>0</v>
      </c>
      <c r="BQ39" s="23" t="str">
        <f t="shared" si="88"/>
        <v>0</v>
      </c>
      <c r="BR39" s="23" t="str">
        <f t="shared" si="88"/>
        <v>0</v>
      </c>
      <c r="BS39" s="23" t="str">
        <f t="shared" si="88"/>
        <v>0</v>
      </c>
      <c r="BT39" s="23" t="str">
        <f t="shared" si="88"/>
        <v>0</v>
      </c>
      <c r="BU39" s="23" t="str">
        <f t="shared" si="88"/>
        <v>0</v>
      </c>
      <c r="BV39" s="23" t="str">
        <f t="shared" si="88"/>
        <v>0</v>
      </c>
      <c r="BW39" s="23" t="str">
        <f t="shared" si="88"/>
        <v>0</v>
      </c>
      <c r="BX39" s="23" t="str">
        <f t="shared" si="88"/>
        <v>0</v>
      </c>
      <c r="BY39" s="23" t="str">
        <f t="shared" ref="BY39:DL39" si="89">IF(BY$10&gt;$K39,"0",IF(BY$10&lt;$J39,"0",$E39/($K39-$J39+1)))</f>
        <v>0</v>
      </c>
      <c r="BZ39" s="23" t="str">
        <f t="shared" si="89"/>
        <v>0</v>
      </c>
      <c r="CA39" s="23" t="str">
        <f t="shared" si="89"/>
        <v>0</v>
      </c>
      <c r="CB39" s="23" t="str">
        <f t="shared" si="89"/>
        <v>0</v>
      </c>
      <c r="CC39" s="23" t="str">
        <f t="shared" si="89"/>
        <v>0</v>
      </c>
      <c r="CD39" s="23" t="str">
        <f t="shared" si="89"/>
        <v>0</v>
      </c>
      <c r="CE39" s="23" t="str">
        <f t="shared" si="89"/>
        <v>0</v>
      </c>
      <c r="CF39" s="23" t="str">
        <f t="shared" si="89"/>
        <v>0</v>
      </c>
      <c r="CG39" s="23" t="str">
        <f t="shared" si="89"/>
        <v>0</v>
      </c>
      <c r="CH39" s="23" t="str">
        <f t="shared" si="89"/>
        <v>0</v>
      </c>
      <c r="CI39" s="23" t="str">
        <f t="shared" si="89"/>
        <v>0</v>
      </c>
      <c r="CJ39" s="23" t="str">
        <f t="shared" si="89"/>
        <v>0</v>
      </c>
      <c r="CK39" s="23" t="str">
        <f t="shared" si="89"/>
        <v>0</v>
      </c>
      <c r="CL39" s="23" t="str">
        <f t="shared" si="89"/>
        <v>0</v>
      </c>
      <c r="CM39" s="23" t="str">
        <f t="shared" si="89"/>
        <v>0</v>
      </c>
      <c r="CN39" s="23" t="str">
        <f t="shared" si="89"/>
        <v>0</v>
      </c>
      <c r="CO39" s="23" t="str">
        <f t="shared" si="89"/>
        <v>0</v>
      </c>
      <c r="CP39" s="23" t="str">
        <f t="shared" si="89"/>
        <v>0</v>
      </c>
      <c r="CQ39" s="23" t="str">
        <f t="shared" si="89"/>
        <v>0</v>
      </c>
      <c r="CR39" s="23" t="str">
        <f t="shared" si="89"/>
        <v>0</v>
      </c>
      <c r="CS39" s="23" t="str">
        <f t="shared" si="89"/>
        <v>0</v>
      </c>
      <c r="CT39" s="23" t="str">
        <f t="shared" si="89"/>
        <v>0</v>
      </c>
      <c r="CU39" s="23" t="str">
        <f t="shared" si="89"/>
        <v>0</v>
      </c>
      <c r="CV39" s="23" t="str">
        <f t="shared" si="89"/>
        <v>0</v>
      </c>
      <c r="CW39" s="23" t="str">
        <f t="shared" si="89"/>
        <v>0</v>
      </c>
      <c r="CX39" s="23" t="str">
        <f t="shared" si="89"/>
        <v>0</v>
      </c>
      <c r="CY39" s="23" t="str">
        <f t="shared" si="89"/>
        <v>0</v>
      </c>
      <c r="CZ39" s="23" t="str">
        <f t="shared" si="89"/>
        <v>0</v>
      </c>
      <c r="DA39" s="23" t="str">
        <f t="shared" si="89"/>
        <v>0</v>
      </c>
      <c r="DB39" s="23" t="str">
        <f t="shared" si="89"/>
        <v>0</v>
      </c>
      <c r="DC39" s="23" t="str">
        <f t="shared" si="89"/>
        <v>0</v>
      </c>
      <c r="DD39" s="23" t="str">
        <f t="shared" si="89"/>
        <v>0</v>
      </c>
      <c r="DE39" s="23" t="str">
        <f t="shared" si="89"/>
        <v>0</v>
      </c>
      <c r="DF39" s="23" t="str">
        <f t="shared" si="89"/>
        <v>0</v>
      </c>
      <c r="DG39" s="23" t="str">
        <f t="shared" si="89"/>
        <v>0</v>
      </c>
      <c r="DH39" s="23" t="str">
        <f t="shared" si="89"/>
        <v>0</v>
      </c>
      <c r="DI39" s="23" t="str">
        <f t="shared" si="89"/>
        <v>0</v>
      </c>
      <c r="DJ39" s="23" t="str">
        <f t="shared" si="89"/>
        <v>0</v>
      </c>
      <c r="DK39" s="23" t="str">
        <f t="shared" si="89"/>
        <v>0</v>
      </c>
      <c r="DL39" s="25" t="str">
        <f t="shared" si="89"/>
        <v>0</v>
      </c>
    </row>
    <row r="40" spans="1:116" ht="19.95" customHeight="1">
      <c r="A40" s="55"/>
      <c r="B40" s="105"/>
      <c r="C40" s="58"/>
      <c r="D40" s="54"/>
      <c r="E40" s="53"/>
      <c r="F40" s="75" t="s">
        <v>19</v>
      </c>
      <c r="G40" s="57"/>
      <c r="H40" s="57"/>
      <c r="I40" s="2">
        <v>1</v>
      </c>
      <c r="J40" s="20">
        <f t="shared" si="53"/>
        <v>0</v>
      </c>
      <c r="K40" s="20">
        <f t="shared" si="54"/>
        <v>0</v>
      </c>
      <c r="L40" s="59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7"/>
      <c r="BM40" s="38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7"/>
    </row>
    <row r="41" spans="1:116" ht="19.95" customHeight="1">
      <c r="A41" s="55"/>
      <c r="B41" s="102" t="s">
        <v>79</v>
      </c>
      <c r="C41" s="58"/>
      <c r="D41" s="54"/>
      <c r="E41" s="53">
        <v>10</v>
      </c>
      <c r="F41" s="76" t="s">
        <v>18</v>
      </c>
      <c r="G41" s="57">
        <f>G37</f>
        <v>45621</v>
      </c>
      <c r="H41" s="56">
        <f>G41+I41</f>
        <v>45633</v>
      </c>
      <c r="I41" s="2">
        <v>12</v>
      </c>
      <c r="J41" s="20">
        <f t="shared" si="53"/>
        <v>48</v>
      </c>
      <c r="K41" s="20">
        <f t="shared" si="54"/>
        <v>49</v>
      </c>
      <c r="L41" s="24" t="str">
        <f>IF(L$10&gt;$K41,"0",IF(L$10&lt;$J41,"0",$E41/($K41-$J41+1)))</f>
        <v>0</v>
      </c>
      <c r="M41" s="23" t="str">
        <f t="shared" ref="M41:BX41" si="90">IF(M$10&gt;$K41,"0",IF(M$10&lt;$J41,"0",$E41/($K41-$J41+1)))</f>
        <v>0</v>
      </c>
      <c r="N41" s="23" t="str">
        <f t="shared" si="90"/>
        <v>0</v>
      </c>
      <c r="O41" s="23" t="str">
        <f t="shared" si="90"/>
        <v>0</v>
      </c>
      <c r="P41" s="23" t="str">
        <f t="shared" si="90"/>
        <v>0</v>
      </c>
      <c r="Q41" s="23" t="str">
        <f t="shared" si="90"/>
        <v>0</v>
      </c>
      <c r="R41" s="23" t="str">
        <f t="shared" si="90"/>
        <v>0</v>
      </c>
      <c r="S41" s="23" t="str">
        <f t="shared" si="90"/>
        <v>0</v>
      </c>
      <c r="T41" s="23" t="str">
        <f t="shared" si="90"/>
        <v>0</v>
      </c>
      <c r="U41" s="23" t="str">
        <f t="shared" si="90"/>
        <v>0</v>
      </c>
      <c r="V41" s="23" t="str">
        <f t="shared" si="90"/>
        <v>0</v>
      </c>
      <c r="W41" s="23" t="str">
        <f t="shared" si="90"/>
        <v>0</v>
      </c>
      <c r="X41" s="23" t="str">
        <f t="shared" si="90"/>
        <v>0</v>
      </c>
      <c r="Y41" s="23" t="str">
        <f t="shared" si="90"/>
        <v>0</v>
      </c>
      <c r="Z41" s="23" t="str">
        <f t="shared" si="90"/>
        <v>0</v>
      </c>
      <c r="AA41" s="23" t="str">
        <f t="shared" si="90"/>
        <v>0</v>
      </c>
      <c r="AB41" s="23" t="str">
        <f t="shared" si="90"/>
        <v>0</v>
      </c>
      <c r="AC41" s="23" t="str">
        <f t="shared" si="90"/>
        <v>0</v>
      </c>
      <c r="AD41" s="23" t="str">
        <f t="shared" si="90"/>
        <v>0</v>
      </c>
      <c r="AE41" s="23" t="str">
        <f t="shared" si="90"/>
        <v>0</v>
      </c>
      <c r="AF41" s="23" t="str">
        <f t="shared" si="90"/>
        <v>0</v>
      </c>
      <c r="AG41" s="23" t="str">
        <f t="shared" si="90"/>
        <v>0</v>
      </c>
      <c r="AH41" s="23" t="str">
        <f t="shared" si="90"/>
        <v>0</v>
      </c>
      <c r="AI41" s="23" t="str">
        <f t="shared" si="90"/>
        <v>0</v>
      </c>
      <c r="AJ41" s="23" t="str">
        <f t="shared" si="90"/>
        <v>0</v>
      </c>
      <c r="AK41" s="23" t="str">
        <f t="shared" si="90"/>
        <v>0</v>
      </c>
      <c r="AL41" s="23" t="str">
        <f t="shared" si="90"/>
        <v>0</v>
      </c>
      <c r="AM41" s="23" t="str">
        <f t="shared" si="90"/>
        <v>0</v>
      </c>
      <c r="AN41" s="23" t="str">
        <f t="shared" si="90"/>
        <v>0</v>
      </c>
      <c r="AO41" s="23" t="str">
        <f t="shared" si="90"/>
        <v>0</v>
      </c>
      <c r="AP41" s="23" t="str">
        <f t="shared" si="90"/>
        <v>0</v>
      </c>
      <c r="AQ41" s="23" t="str">
        <f t="shared" si="90"/>
        <v>0</v>
      </c>
      <c r="AR41" s="23" t="str">
        <f t="shared" si="90"/>
        <v>0</v>
      </c>
      <c r="AS41" s="23" t="str">
        <f t="shared" si="90"/>
        <v>0</v>
      </c>
      <c r="AT41" s="23" t="str">
        <f t="shared" si="90"/>
        <v>0</v>
      </c>
      <c r="AU41" s="23" t="str">
        <f t="shared" si="90"/>
        <v>0</v>
      </c>
      <c r="AV41" s="23" t="str">
        <f t="shared" si="90"/>
        <v>0</v>
      </c>
      <c r="AW41" s="23" t="str">
        <f t="shared" si="90"/>
        <v>0</v>
      </c>
      <c r="AX41" s="23" t="str">
        <f t="shared" si="90"/>
        <v>0</v>
      </c>
      <c r="AY41" s="23" t="str">
        <f t="shared" si="90"/>
        <v>0</v>
      </c>
      <c r="AZ41" s="23" t="str">
        <f t="shared" si="90"/>
        <v>0</v>
      </c>
      <c r="BA41" s="23" t="str">
        <f t="shared" si="90"/>
        <v>0</v>
      </c>
      <c r="BB41" s="23" t="str">
        <f t="shared" si="90"/>
        <v>0</v>
      </c>
      <c r="BC41" s="23" t="str">
        <f t="shared" si="90"/>
        <v>0</v>
      </c>
      <c r="BD41" s="23" t="str">
        <f t="shared" si="90"/>
        <v>0</v>
      </c>
      <c r="BE41" s="23" t="str">
        <f t="shared" si="90"/>
        <v>0</v>
      </c>
      <c r="BF41" s="23" t="str">
        <f t="shared" si="90"/>
        <v>0</v>
      </c>
      <c r="BG41" s="23">
        <f t="shared" si="90"/>
        <v>5</v>
      </c>
      <c r="BH41" s="23">
        <f t="shared" si="90"/>
        <v>5</v>
      </c>
      <c r="BI41" s="23" t="str">
        <f t="shared" si="90"/>
        <v>0</v>
      </c>
      <c r="BJ41" s="23" t="str">
        <f t="shared" si="90"/>
        <v>0</v>
      </c>
      <c r="BK41" s="23" t="str">
        <f t="shared" si="90"/>
        <v>0</v>
      </c>
      <c r="BL41" s="25" t="str">
        <f t="shared" si="90"/>
        <v>0</v>
      </c>
      <c r="BM41" s="29" t="str">
        <f t="shared" si="90"/>
        <v>0</v>
      </c>
      <c r="BN41" s="23" t="str">
        <f t="shared" si="90"/>
        <v>0</v>
      </c>
      <c r="BO41" s="23" t="str">
        <f t="shared" si="90"/>
        <v>0</v>
      </c>
      <c r="BP41" s="23" t="str">
        <f t="shared" si="90"/>
        <v>0</v>
      </c>
      <c r="BQ41" s="23" t="str">
        <f t="shared" si="90"/>
        <v>0</v>
      </c>
      <c r="BR41" s="23" t="str">
        <f t="shared" si="90"/>
        <v>0</v>
      </c>
      <c r="BS41" s="23" t="str">
        <f t="shared" si="90"/>
        <v>0</v>
      </c>
      <c r="BT41" s="23" t="str">
        <f t="shared" si="90"/>
        <v>0</v>
      </c>
      <c r="BU41" s="23" t="str">
        <f t="shared" si="90"/>
        <v>0</v>
      </c>
      <c r="BV41" s="23" t="str">
        <f t="shared" si="90"/>
        <v>0</v>
      </c>
      <c r="BW41" s="23" t="str">
        <f t="shared" si="90"/>
        <v>0</v>
      </c>
      <c r="BX41" s="23" t="str">
        <f t="shared" si="90"/>
        <v>0</v>
      </c>
      <c r="BY41" s="23" t="str">
        <f t="shared" ref="BY41:DL41" si="91">IF(BY$10&gt;$K41,"0",IF(BY$10&lt;$J41,"0",$E41/($K41-$J41+1)))</f>
        <v>0</v>
      </c>
      <c r="BZ41" s="23" t="str">
        <f t="shared" si="91"/>
        <v>0</v>
      </c>
      <c r="CA41" s="23" t="str">
        <f t="shared" si="91"/>
        <v>0</v>
      </c>
      <c r="CB41" s="23" t="str">
        <f t="shared" si="91"/>
        <v>0</v>
      </c>
      <c r="CC41" s="23" t="str">
        <f t="shared" si="91"/>
        <v>0</v>
      </c>
      <c r="CD41" s="23" t="str">
        <f t="shared" si="91"/>
        <v>0</v>
      </c>
      <c r="CE41" s="23" t="str">
        <f t="shared" si="91"/>
        <v>0</v>
      </c>
      <c r="CF41" s="23" t="str">
        <f t="shared" si="91"/>
        <v>0</v>
      </c>
      <c r="CG41" s="23" t="str">
        <f t="shared" si="91"/>
        <v>0</v>
      </c>
      <c r="CH41" s="23" t="str">
        <f t="shared" si="91"/>
        <v>0</v>
      </c>
      <c r="CI41" s="23" t="str">
        <f t="shared" si="91"/>
        <v>0</v>
      </c>
      <c r="CJ41" s="23" t="str">
        <f t="shared" si="91"/>
        <v>0</v>
      </c>
      <c r="CK41" s="23" t="str">
        <f t="shared" si="91"/>
        <v>0</v>
      </c>
      <c r="CL41" s="23" t="str">
        <f t="shared" si="91"/>
        <v>0</v>
      </c>
      <c r="CM41" s="23" t="str">
        <f t="shared" si="91"/>
        <v>0</v>
      </c>
      <c r="CN41" s="23" t="str">
        <f t="shared" si="91"/>
        <v>0</v>
      </c>
      <c r="CO41" s="23" t="str">
        <f t="shared" si="91"/>
        <v>0</v>
      </c>
      <c r="CP41" s="23" t="str">
        <f t="shared" si="91"/>
        <v>0</v>
      </c>
      <c r="CQ41" s="23" t="str">
        <f t="shared" si="91"/>
        <v>0</v>
      </c>
      <c r="CR41" s="23" t="str">
        <f t="shared" si="91"/>
        <v>0</v>
      </c>
      <c r="CS41" s="23" t="str">
        <f t="shared" si="91"/>
        <v>0</v>
      </c>
      <c r="CT41" s="23" t="str">
        <f t="shared" si="91"/>
        <v>0</v>
      </c>
      <c r="CU41" s="23" t="str">
        <f t="shared" si="91"/>
        <v>0</v>
      </c>
      <c r="CV41" s="23" t="str">
        <f t="shared" si="91"/>
        <v>0</v>
      </c>
      <c r="CW41" s="23" t="str">
        <f t="shared" si="91"/>
        <v>0</v>
      </c>
      <c r="CX41" s="23" t="str">
        <f t="shared" si="91"/>
        <v>0</v>
      </c>
      <c r="CY41" s="23" t="str">
        <f t="shared" si="91"/>
        <v>0</v>
      </c>
      <c r="CZ41" s="23" t="str">
        <f t="shared" si="91"/>
        <v>0</v>
      </c>
      <c r="DA41" s="23" t="str">
        <f t="shared" si="91"/>
        <v>0</v>
      </c>
      <c r="DB41" s="23" t="str">
        <f t="shared" si="91"/>
        <v>0</v>
      </c>
      <c r="DC41" s="23" t="str">
        <f t="shared" si="91"/>
        <v>0</v>
      </c>
      <c r="DD41" s="23" t="str">
        <f t="shared" si="91"/>
        <v>0</v>
      </c>
      <c r="DE41" s="23" t="str">
        <f t="shared" si="91"/>
        <v>0</v>
      </c>
      <c r="DF41" s="23" t="str">
        <f t="shared" si="91"/>
        <v>0</v>
      </c>
      <c r="DG41" s="23" t="str">
        <f t="shared" si="91"/>
        <v>0</v>
      </c>
      <c r="DH41" s="23" t="str">
        <f t="shared" si="91"/>
        <v>0</v>
      </c>
      <c r="DI41" s="23" t="str">
        <f t="shared" si="91"/>
        <v>0</v>
      </c>
      <c r="DJ41" s="23" t="str">
        <f t="shared" si="91"/>
        <v>0</v>
      </c>
      <c r="DK41" s="23" t="str">
        <f t="shared" si="91"/>
        <v>0</v>
      </c>
      <c r="DL41" s="25" t="str">
        <f t="shared" si="91"/>
        <v>0</v>
      </c>
    </row>
    <row r="42" spans="1:116" ht="19.95" customHeight="1">
      <c r="A42" s="55"/>
      <c r="B42" s="105"/>
      <c r="C42" s="58"/>
      <c r="D42" s="54"/>
      <c r="E42" s="53"/>
      <c r="F42" s="75" t="s">
        <v>19</v>
      </c>
      <c r="G42" s="57"/>
      <c r="H42" s="57"/>
      <c r="I42" s="2">
        <v>1</v>
      </c>
      <c r="J42" s="20">
        <f t="shared" si="53"/>
        <v>0</v>
      </c>
      <c r="K42" s="20">
        <f t="shared" si="54"/>
        <v>0</v>
      </c>
      <c r="L42" s="59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7"/>
      <c r="BM42" s="38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7"/>
    </row>
    <row r="43" spans="1:116" ht="19.95" customHeight="1">
      <c r="A43" s="55"/>
      <c r="B43" s="102" t="s">
        <v>80</v>
      </c>
      <c r="C43" s="58"/>
      <c r="D43" s="54"/>
      <c r="E43" s="53">
        <v>10</v>
      </c>
      <c r="F43" s="76" t="s">
        <v>18</v>
      </c>
      <c r="G43" s="57">
        <f>H41+1</f>
        <v>45634</v>
      </c>
      <c r="H43" s="56">
        <f>G43+I43</f>
        <v>45638</v>
      </c>
      <c r="I43" s="2">
        <v>4</v>
      </c>
      <c r="J43" s="20">
        <f t="shared" si="53"/>
        <v>50</v>
      </c>
      <c r="K43" s="20">
        <f t="shared" si="54"/>
        <v>50</v>
      </c>
      <c r="L43" s="24" t="str">
        <f>IF(L$10&gt;$K43,"0",IF(L$10&lt;$J43,"0",$E43/($K43-$J43+1)))</f>
        <v>0</v>
      </c>
      <c r="M43" s="23" t="str">
        <f t="shared" ref="M43:BX43" si="92">IF(M$10&gt;$K43,"0",IF(M$10&lt;$J43,"0",$E43/($K43-$J43+1)))</f>
        <v>0</v>
      </c>
      <c r="N43" s="23" t="str">
        <f t="shared" si="92"/>
        <v>0</v>
      </c>
      <c r="O43" s="23" t="str">
        <f t="shared" si="92"/>
        <v>0</v>
      </c>
      <c r="P43" s="23" t="str">
        <f t="shared" si="92"/>
        <v>0</v>
      </c>
      <c r="Q43" s="23" t="str">
        <f t="shared" si="92"/>
        <v>0</v>
      </c>
      <c r="R43" s="23" t="str">
        <f t="shared" si="92"/>
        <v>0</v>
      </c>
      <c r="S43" s="23" t="str">
        <f t="shared" si="92"/>
        <v>0</v>
      </c>
      <c r="T43" s="23" t="str">
        <f t="shared" si="92"/>
        <v>0</v>
      </c>
      <c r="U43" s="23" t="str">
        <f t="shared" si="92"/>
        <v>0</v>
      </c>
      <c r="V43" s="23" t="str">
        <f t="shared" si="92"/>
        <v>0</v>
      </c>
      <c r="W43" s="23" t="str">
        <f t="shared" si="92"/>
        <v>0</v>
      </c>
      <c r="X43" s="23" t="str">
        <f t="shared" si="92"/>
        <v>0</v>
      </c>
      <c r="Y43" s="23" t="str">
        <f t="shared" si="92"/>
        <v>0</v>
      </c>
      <c r="Z43" s="23" t="str">
        <f t="shared" si="92"/>
        <v>0</v>
      </c>
      <c r="AA43" s="23" t="str">
        <f t="shared" si="92"/>
        <v>0</v>
      </c>
      <c r="AB43" s="23" t="str">
        <f t="shared" si="92"/>
        <v>0</v>
      </c>
      <c r="AC43" s="23" t="str">
        <f t="shared" si="92"/>
        <v>0</v>
      </c>
      <c r="AD43" s="23" t="str">
        <f t="shared" si="92"/>
        <v>0</v>
      </c>
      <c r="AE43" s="23" t="str">
        <f t="shared" si="92"/>
        <v>0</v>
      </c>
      <c r="AF43" s="23" t="str">
        <f t="shared" si="92"/>
        <v>0</v>
      </c>
      <c r="AG43" s="23" t="str">
        <f t="shared" si="92"/>
        <v>0</v>
      </c>
      <c r="AH43" s="23" t="str">
        <f t="shared" si="92"/>
        <v>0</v>
      </c>
      <c r="AI43" s="23" t="str">
        <f t="shared" si="92"/>
        <v>0</v>
      </c>
      <c r="AJ43" s="23" t="str">
        <f t="shared" si="92"/>
        <v>0</v>
      </c>
      <c r="AK43" s="23" t="str">
        <f t="shared" si="92"/>
        <v>0</v>
      </c>
      <c r="AL43" s="23" t="str">
        <f t="shared" si="92"/>
        <v>0</v>
      </c>
      <c r="AM43" s="23" t="str">
        <f t="shared" si="92"/>
        <v>0</v>
      </c>
      <c r="AN43" s="23" t="str">
        <f t="shared" si="92"/>
        <v>0</v>
      </c>
      <c r="AO43" s="23" t="str">
        <f t="shared" si="92"/>
        <v>0</v>
      </c>
      <c r="AP43" s="23" t="str">
        <f t="shared" si="92"/>
        <v>0</v>
      </c>
      <c r="AQ43" s="23" t="str">
        <f t="shared" si="92"/>
        <v>0</v>
      </c>
      <c r="AR43" s="23" t="str">
        <f t="shared" si="92"/>
        <v>0</v>
      </c>
      <c r="AS43" s="23" t="str">
        <f t="shared" si="92"/>
        <v>0</v>
      </c>
      <c r="AT43" s="23" t="str">
        <f t="shared" si="92"/>
        <v>0</v>
      </c>
      <c r="AU43" s="23" t="str">
        <f t="shared" si="92"/>
        <v>0</v>
      </c>
      <c r="AV43" s="23" t="str">
        <f t="shared" si="92"/>
        <v>0</v>
      </c>
      <c r="AW43" s="23" t="str">
        <f t="shared" si="92"/>
        <v>0</v>
      </c>
      <c r="AX43" s="23" t="str">
        <f t="shared" si="92"/>
        <v>0</v>
      </c>
      <c r="AY43" s="23" t="str">
        <f t="shared" si="92"/>
        <v>0</v>
      </c>
      <c r="AZ43" s="23" t="str">
        <f t="shared" si="92"/>
        <v>0</v>
      </c>
      <c r="BA43" s="23" t="str">
        <f t="shared" si="92"/>
        <v>0</v>
      </c>
      <c r="BB43" s="23" t="str">
        <f t="shared" si="92"/>
        <v>0</v>
      </c>
      <c r="BC43" s="23" t="str">
        <f t="shared" si="92"/>
        <v>0</v>
      </c>
      <c r="BD43" s="23" t="str">
        <f t="shared" si="92"/>
        <v>0</v>
      </c>
      <c r="BE43" s="23" t="str">
        <f t="shared" si="92"/>
        <v>0</v>
      </c>
      <c r="BF43" s="23" t="str">
        <f t="shared" si="92"/>
        <v>0</v>
      </c>
      <c r="BG43" s="23" t="str">
        <f t="shared" si="92"/>
        <v>0</v>
      </c>
      <c r="BH43" s="23" t="str">
        <f t="shared" si="92"/>
        <v>0</v>
      </c>
      <c r="BI43" s="23">
        <f t="shared" si="92"/>
        <v>10</v>
      </c>
      <c r="BJ43" s="23" t="str">
        <f t="shared" si="92"/>
        <v>0</v>
      </c>
      <c r="BK43" s="23" t="str">
        <f t="shared" si="92"/>
        <v>0</v>
      </c>
      <c r="BL43" s="25" t="str">
        <f t="shared" si="92"/>
        <v>0</v>
      </c>
      <c r="BM43" s="29" t="str">
        <f t="shared" si="92"/>
        <v>0</v>
      </c>
      <c r="BN43" s="23" t="str">
        <f t="shared" si="92"/>
        <v>0</v>
      </c>
      <c r="BO43" s="23" t="str">
        <f t="shared" si="92"/>
        <v>0</v>
      </c>
      <c r="BP43" s="23" t="str">
        <f t="shared" si="92"/>
        <v>0</v>
      </c>
      <c r="BQ43" s="23" t="str">
        <f t="shared" si="92"/>
        <v>0</v>
      </c>
      <c r="BR43" s="23" t="str">
        <f t="shared" si="92"/>
        <v>0</v>
      </c>
      <c r="BS43" s="23" t="str">
        <f t="shared" si="92"/>
        <v>0</v>
      </c>
      <c r="BT43" s="23" t="str">
        <f t="shared" si="92"/>
        <v>0</v>
      </c>
      <c r="BU43" s="23" t="str">
        <f t="shared" si="92"/>
        <v>0</v>
      </c>
      <c r="BV43" s="23" t="str">
        <f t="shared" si="92"/>
        <v>0</v>
      </c>
      <c r="BW43" s="23" t="str">
        <f t="shared" si="92"/>
        <v>0</v>
      </c>
      <c r="BX43" s="23" t="str">
        <f t="shared" si="92"/>
        <v>0</v>
      </c>
      <c r="BY43" s="23" t="str">
        <f t="shared" ref="BY43:DL43" si="93">IF(BY$10&gt;$K43,"0",IF(BY$10&lt;$J43,"0",$E43/($K43-$J43+1)))</f>
        <v>0</v>
      </c>
      <c r="BZ43" s="23" t="str">
        <f t="shared" si="93"/>
        <v>0</v>
      </c>
      <c r="CA43" s="23" t="str">
        <f t="shared" si="93"/>
        <v>0</v>
      </c>
      <c r="CB43" s="23" t="str">
        <f t="shared" si="93"/>
        <v>0</v>
      </c>
      <c r="CC43" s="23" t="str">
        <f t="shared" si="93"/>
        <v>0</v>
      </c>
      <c r="CD43" s="23" t="str">
        <f t="shared" si="93"/>
        <v>0</v>
      </c>
      <c r="CE43" s="23" t="str">
        <f t="shared" si="93"/>
        <v>0</v>
      </c>
      <c r="CF43" s="23" t="str">
        <f t="shared" si="93"/>
        <v>0</v>
      </c>
      <c r="CG43" s="23" t="str">
        <f t="shared" si="93"/>
        <v>0</v>
      </c>
      <c r="CH43" s="23" t="str">
        <f t="shared" si="93"/>
        <v>0</v>
      </c>
      <c r="CI43" s="23" t="str">
        <f t="shared" si="93"/>
        <v>0</v>
      </c>
      <c r="CJ43" s="23" t="str">
        <f t="shared" si="93"/>
        <v>0</v>
      </c>
      <c r="CK43" s="23" t="str">
        <f t="shared" si="93"/>
        <v>0</v>
      </c>
      <c r="CL43" s="23" t="str">
        <f t="shared" si="93"/>
        <v>0</v>
      </c>
      <c r="CM43" s="23" t="str">
        <f t="shared" si="93"/>
        <v>0</v>
      </c>
      <c r="CN43" s="23" t="str">
        <f t="shared" si="93"/>
        <v>0</v>
      </c>
      <c r="CO43" s="23" t="str">
        <f t="shared" si="93"/>
        <v>0</v>
      </c>
      <c r="CP43" s="23" t="str">
        <f t="shared" si="93"/>
        <v>0</v>
      </c>
      <c r="CQ43" s="23" t="str">
        <f t="shared" si="93"/>
        <v>0</v>
      </c>
      <c r="CR43" s="23" t="str">
        <f t="shared" si="93"/>
        <v>0</v>
      </c>
      <c r="CS43" s="23" t="str">
        <f t="shared" si="93"/>
        <v>0</v>
      </c>
      <c r="CT43" s="23" t="str">
        <f t="shared" si="93"/>
        <v>0</v>
      </c>
      <c r="CU43" s="23" t="str">
        <f t="shared" si="93"/>
        <v>0</v>
      </c>
      <c r="CV43" s="23" t="str">
        <f t="shared" si="93"/>
        <v>0</v>
      </c>
      <c r="CW43" s="23" t="str">
        <f t="shared" si="93"/>
        <v>0</v>
      </c>
      <c r="CX43" s="23" t="str">
        <f t="shared" si="93"/>
        <v>0</v>
      </c>
      <c r="CY43" s="23" t="str">
        <f t="shared" si="93"/>
        <v>0</v>
      </c>
      <c r="CZ43" s="23" t="str">
        <f t="shared" si="93"/>
        <v>0</v>
      </c>
      <c r="DA43" s="23" t="str">
        <f t="shared" si="93"/>
        <v>0</v>
      </c>
      <c r="DB43" s="23" t="str">
        <f t="shared" si="93"/>
        <v>0</v>
      </c>
      <c r="DC43" s="23" t="str">
        <f t="shared" si="93"/>
        <v>0</v>
      </c>
      <c r="DD43" s="23" t="str">
        <f t="shared" si="93"/>
        <v>0</v>
      </c>
      <c r="DE43" s="23" t="str">
        <f t="shared" si="93"/>
        <v>0</v>
      </c>
      <c r="DF43" s="23" t="str">
        <f t="shared" si="93"/>
        <v>0</v>
      </c>
      <c r="DG43" s="23" t="str">
        <f t="shared" si="93"/>
        <v>0</v>
      </c>
      <c r="DH43" s="23" t="str">
        <f t="shared" si="93"/>
        <v>0</v>
      </c>
      <c r="DI43" s="23" t="str">
        <f t="shared" si="93"/>
        <v>0</v>
      </c>
      <c r="DJ43" s="23" t="str">
        <f t="shared" si="93"/>
        <v>0</v>
      </c>
      <c r="DK43" s="23" t="str">
        <f t="shared" si="93"/>
        <v>0</v>
      </c>
      <c r="DL43" s="25" t="str">
        <f t="shared" si="93"/>
        <v>0</v>
      </c>
    </row>
    <row r="44" spans="1:116" ht="19.95" customHeight="1">
      <c r="A44" s="55"/>
      <c r="B44" s="105"/>
      <c r="C44" s="58"/>
      <c r="D44" s="54"/>
      <c r="E44" s="53"/>
      <c r="F44" s="75" t="s">
        <v>19</v>
      </c>
      <c r="G44" s="57"/>
      <c r="H44" s="57"/>
      <c r="I44" s="2">
        <v>1</v>
      </c>
      <c r="J44" s="20">
        <f t="shared" si="53"/>
        <v>0</v>
      </c>
      <c r="K44" s="20">
        <f t="shared" si="54"/>
        <v>0</v>
      </c>
      <c r="L44" s="59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7"/>
      <c r="BM44" s="38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7"/>
    </row>
    <row r="45" spans="1:116" ht="19.95" customHeight="1">
      <c r="A45" s="55"/>
      <c r="B45" s="102" t="s">
        <v>81</v>
      </c>
      <c r="C45" s="58"/>
      <c r="D45" s="54"/>
      <c r="E45" s="53">
        <v>5</v>
      </c>
      <c r="F45" s="76" t="s">
        <v>18</v>
      </c>
      <c r="G45" s="57">
        <f>H43+1</f>
        <v>45639</v>
      </c>
      <c r="H45" s="56">
        <f>G45+I45</f>
        <v>45640</v>
      </c>
      <c r="I45" s="2">
        <v>1</v>
      </c>
      <c r="J45" s="20">
        <f t="shared" si="53"/>
        <v>50</v>
      </c>
      <c r="K45" s="20">
        <f t="shared" si="54"/>
        <v>50</v>
      </c>
      <c r="L45" s="24" t="str">
        <f>IF(L$10&gt;$K45,"0",IF(L$10&lt;$J45,"0",$E45/($K45-$J45+1)))</f>
        <v>0</v>
      </c>
      <c r="M45" s="23" t="str">
        <f t="shared" ref="M45:BX45" si="94">IF(M$10&gt;$K45,"0",IF(M$10&lt;$J45,"0",$E45/($K45-$J45+1)))</f>
        <v>0</v>
      </c>
      <c r="N45" s="23" t="str">
        <f t="shared" si="94"/>
        <v>0</v>
      </c>
      <c r="O45" s="23" t="str">
        <f t="shared" si="94"/>
        <v>0</v>
      </c>
      <c r="P45" s="23" t="str">
        <f t="shared" si="94"/>
        <v>0</v>
      </c>
      <c r="Q45" s="23" t="str">
        <f t="shared" si="94"/>
        <v>0</v>
      </c>
      <c r="R45" s="23" t="str">
        <f t="shared" si="94"/>
        <v>0</v>
      </c>
      <c r="S45" s="23" t="str">
        <f t="shared" si="94"/>
        <v>0</v>
      </c>
      <c r="T45" s="23" t="str">
        <f t="shared" si="94"/>
        <v>0</v>
      </c>
      <c r="U45" s="23" t="str">
        <f t="shared" si="94"/>
        <v>0</v>
      </c>
      <c r="V45" s="23" t="str">
        <f t="shared" si="94"/>
        <v>0</v>
      </c>
      <c r="W45" s="23" t="str">
        <f t="shared" si="94"/>
        <v>0</v>
      </c>
      <c r="X45" s="23" t="str">
        <f t="shared" si="94"/>
        <v>0</v>
      </c>
      <c r="Y45" s="23" t="str">
        <f t="shared" si="94"/>
        <v>0</v>
      </c>
      <c r="Z45" s="23" t="str">
        <f t="shared" si="94"/>
        <v>0</v>
      </c>
      <c r="AA45" s="23" t="str">
        <f t="shared" si="94"/>
        <v>0</v>
      </c>
      <c r="AB45" s="23" t="str">
        <f t="shared" si="94"/>
        <v>0</v>
      </c>
      <c r="AC45" s="23" t="str">
        <f t="shared" si="94"/>
        <v>0</v>
      </c>
      <c r="AD45" s="23" t="str">
        <f t="shared" si="94"/>
        <v>0</v>
      </c>
      <c r="AE45" s="23" t="str">
        <f t="shared" si="94"/>
        <v>0</v>
      </c>
      <c r="AF45" s="23" t="str">
        <f t="shared" si="94"/>
        <v>0</v>
      </c>
      <c r="AG45" s="23" t="str">
        <f t="shared" si="94"/>
        <v>0</v>
      </c>
      <c r="AH45" s="23" t="str">
        <f t="shared" si="94"/>
        <v>0</v>
      </c>
      <c r="AI45" s="23" t="str">
        <f t="shared" si="94"/>
        <v>0</v>
      </c>
      <c r="AJ45" s="23" t="str">
        <f t="shared" si="94"/>
        <v>0</v>
      </c>
      <c r="AK45" s="23" t="str">
        <f t="shared" si="94"/>
        <v>0</v>
      </c>
      <c r="AL45" s="23" t="str">
        <f t="shared" si="94"/>
        <v>0</v>
      </c>
      <c r="AM45" s="23" t="str">
        <f t="shared" si="94"/>
        <v>0</v>
      </c>
      <c r="AN45" s="23" t="str">
        <f t="shared" si="94"/>
        <v>0</v>
      </c>
      <c r="AO45" s="23" t="str">
        <f t="shared" si="94"/>
        <v>0</v>
      </c>
      <c r="AP45" s="23" t="str">
        <f t="shared" si="94"/>
        <v>0</v>
      </c>
      <c r="AQ45" s="23" t="str">
        <f t="shared" si="94"/>
        <v>0</v>
      </c>
      <c r="AR45" s="23" t="str">
        <f t="shared" si="94"/>
        <v>0</v>
      </c>
      <c r="AS45" s="23" t="str">
        <f t="shared" si="94"/>
        <v>0</v>
      </c>
      <c r="AT45" s="23" t="str">
        <f t="shared" si="94"/>
        <v>0</v>
      </c>
      <c r="AU45" s="23" t="str">
        <f t="shared" si="94"/>
        <v>0</v>
      </c>
      <c r="AV45" s="23" t="str">
        <f t="shared" si="94"/>
        <v>0</v>
      </c>
      <c r="AW45" s="23" t="str">
        <f t="shared" si="94"/>
        <v>0</v>
      </c>
      <c r="AX45" s="23" t="str">
        <f t="shared" si="94"/>
        <v>0</v>
      </c>
      <c r="AY45" s="23" t="str">
        <f t="shared" si="94"/>
        <v>0</v>
      </c>
      <c r="AZ45" s="23" t="str">
        <f t="shared" si="94"/>
        <v>0</v>
      </c>
      <c r="BA45" s="23" t="str">
        <f t="shared" si="94"/>
        <v>0</v>
      </c>
      <c r="BB45" s="23" t="str">
        <f t="shared" si="94"/>
        <v>0</v>
      </c>
      <c r="BC45" s="23" t="str">
        <f t="shared" si="94"/>
        <v>0</v>
      </c>
      <c r="BD45" s="23" t="str">
        <f t="shared" si="94"/>
        <v>0</v>
      </c>
      <c r="BE45" s="23" t="str">
        <f t="shared" si="94"/>
        <v>0</v>
      </c>
      <c r="BF45" s="23" t="str">
        <f t="shared" si="94"/>
        <v>0</v>
      </c>
      <c r="BG45" s="23" t="str">
        <f t="shared" si="94"/>
        <v>0</v>
      </c>
      <c r="BH45" s="23" t="str">
        <f t="shared" si="94"/>
        <v>0</v>
      </c>
      <c r="BI45" s="23">
        <f t="shared" si="94"/>
        <v>5</v>
      </c>
      <c r="BJ45" s="23" t="str">
        <f t="shared" si="94"/>
        <v>0</v>
      </c>
      <c r="BK45" s="23" t="str">
        <f t="shared" si="94"/>
        <v>0</v>
      </c>
      <c r="BL45" s="25" t="str">
        <f t="shared" si="94"/>
        <v>0</v>
      </c>
      <c r="BM45" s="29" t="str">
        <f t="shared" si="94"/>
        <v>0</v>
      </c>
      <c r="BN45" s="23" t="str">
        <f t="shared" si="94"/>
        <v>0</v>
      </c>
      <c r="BO45" s="23" t="str">
        <f t="shared" si="94"/>
        <v>0</v>
      </c>
      <c r="BP45" s="23" t="str">
        <f t="shared" si="94"/>
        <v>0</v>
      </c>
      <c r="BQ45" s="23" t="str">
        <f t="shared" si="94"/>
        <v>0</v>
      </c>
      <c r="BR45" s="23" t="str">
        <f t="shared" si="94"/>
        <v>0</v>
      </c>
      <c r="BS45" s="23" t="str">
        <f t="shared" si="94"/>
        <v>0</v>
      </c>
      <c r="BT45" s="23" t="str">
        <f t="shared" si="94"/>
        <v>0</v>
      </c>
      <c r="BU45" s="23" t="str">
        <f t="shared" si="94"/>
        <v>0</v>
      </c>
      <c r="BV45" s="23" t="str">
        <f t="shared" si="94"/>
        <v>0</v>
      </c>
      <c r="BW45" s="23" t="str">
        <f t="shared" si="94"/>
        <v>0</v>
      </c>
      <c r="BX45" s="23" t="str">
        <f t="shared" si="94"/>
        <v>0</v>
      </c>
      <c r="BY45" s="23" t="str">
        <f t="shared" ref="BY45:DL45" si="95">IF(BY$10&gt;$K45,"0",IF(BY$10&lt;$J45,"0",$E45/($K45-$J45+1)))</f>
        <v>0</v>
      </c>
      <c r="BZ45" s="23" t="str">
        <f t="shared" si="95"/>
        <v>0</v>
      </c>
      <c r="CA45" s="23" t="str">
        <f t="shared" si="95"/>
        <v>0</v>
      </c>
      <c r="CB45" s="23" t="str">
        <f t="shared" si="95"/>
        <v>0</v>
      </c>
      <c r="CC45" s="23" t="str">
        <f t="shared" si="95"/>
        <v>0</v>
      </c>
      <c r="CD45" s="23" t="str">
        <f t="shared" si="95"/>
        <v>0</v>
      </c>
      <c r="CE45" s="23" t="str">
        <f t="shared" si="95"/>
        <v>0</v>
      </c>
      <c r="CF45" s="23" t="str">
        <f t="shared" si="95"/>
        <v>0</v>
      </c>
      <c r="CG45" s="23" t="str">
        <f t="shared" si="95"/>
        <v>0</v>
      </c>
      <c r="CH45" s="23" t="str">
        <f t="shared" si="95"/>
        <v>0</v>
      </c>
      <c r="CI45" s="23" t="str">
        <f t="shared" si="95"/>
        <v>0</v>
      </c>
      <c r="CJ45" s="23" t="str">
        <f t="shared" si="95"/>
        <v>0</v>
      </c>
      <c r="CK45" s="23" t="str">
        <f t="shared" si="95"/>
        <v>0</v>
      </c>
      <c r="CL45" s="23" t="str">
        <f t="shared" si="95"/>
        <v>0</v>
      </c>
      <c r="CM45" s="23" t="str">
        <f t="shared" si="95"/>
        <v>0</v>
      </c>
      <c r="CN45" s="23" t="str">
        <f t="shared" si="95"/>
        <v>0</v>
      </c>
      <c r="CO45" s="23" t="str">
        <f t="shared" si="95"/>
        <v>0</v>
      </c>
      <c r="CP45" s="23" t="str">
        <f t="shared" si="95"/>
        <v>0</v>
      </c>
      <c r="CQ45" s="23" t="str">
        <f t="shared" si="95"/>
        <v>0</v>
      </c>
      <c r="CR45" s="23" t="str">
        <f t="shared" si="95"/>
        <v>0</v>
      </c>
      <c r="CS45" s="23" t="str">
        <f t="shared" si="95"/>
        <v>0</v>
      </c>
      <c r="CT45" s="23" t="str">
        <f t="shared" si="95"/>
        <v>0</v>
      </c>
      <c r="CU45" s="23" t="str">
        <f t="shared" si="95"/>
        <v>0</v>
      </c>
      <c r="CV45" s="23" t="str">
        <f t="shared" si="95"/>
        <v>0</v>
      </c>
      <c r="CW45" s="23" t="str">
        <f t="shared" si="95"/>
        <v>0</v>
      </c>
      <c r="CX45" s="23" t="str">
        <f t="shared" si="95"/>
        <v>0</v>
      </c>
      <c r="CY45" s="23" t="str">
        <f t="shared" si="95"/>
        <v>0</v>
      </c>
      <c r="CZ45" s="23" t="str">
        <f t="shared" si="95"/>
        <v>0</v>
      </c>
      <c r="DA45" s="23" t="str">
        <f t="shared" si="95"/>
        <v>0</v>
      </c>
      <c r="DB45" s="23" t="str">
        <f t="shared" si="95"/>
        <v>0</v>
      </c>
      <c r="DC45" s="23" t="str">
        <f t="shared" si="95"/>
        <v>0</v>
      </c>
      <c r="DD45" s="23" t="str">
        <f t="shared" si="95"/>
        <v>0</v>
      </c>
      <c r="DE45" s="23" t="str">
        <f t="shared" si="95"/>
        <v>0</v>
      </c>
      <c r="DF45" s="23" t="str">
        <f t="shared" si="95"/>
        <v>0</v>
      </c>
      <c r="DG45" s="23" t="str">
        <f t="shared" si="95"/>
        <v>0</v>
      </c>
      <c r="DH45" s="23" t="str">
        <f t="shared" si="95"/>
        <v>0</v>
      </c>
      <c r="DI45" s="23" t="str">
        <f t="shared" si="95"/>
        <v>0</v>
      </c>
      <c r="DJ45" s="23" t="str">
        <f t="shared" si="95"/>
        <v>0</v>
      </c>
      <c r="DK45" s="23" t="str">
        <f t="shared" si="95"/>
        <v>0</v>
      </c>
      <c r="DL45" s="25" t="str">
        <f t="shared" si="95"/>
        <v>0</v>
      </c>
    </row>
    <row r="46" spans="1:116" ht="19.95" customHeight="1" thickBot="1">
      <c r="A46" s="55"/>
      <c r="B46" s="103"/>
      <c r="C46" s="58"/>
      <c r="D46" s="54"/>
      <c r="E46" s="96"/>
      <c r="F46" s="97" t="s">
        <v>19</v>
      </c>
      <c r="G46" s="36"/>
      <c r="H46" s="36"/>
      <c r="I46" s="5">
        <v>1</v>
      </c>
      <c r="J46" s="20">
        <f t="shared" si="53"/>
        <v>0</v>
      </c>
      <c r="K46" s="20">
        <f t="shared" si="54"/>
        <v>0</v>
      </c>
      <c r="L46" s="35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7"/>
      <c r="BM46" s="38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7"/>
    </row>
    <row r="47" spans="1:116" ht="19.95" customHeight="1">
      <c r="A47" s="123">
        <v>3</v>
      </c>
      <c r="B47" s="106" t="s">
        <v>82</v>
      </c>
      <c r="C47" s="126"/>
      <c r="D47" s="92"/>
      <c r="E47" s="52">
        <f>SUMIF($F49:$F52,"Plan",E49:E52)</f>
        <v>10</v>
      </c>
      <c r="F47" s="65" t="s">
        <v>18</v>
      </c>
      <c r="G47" s="66">
        <f>_xlfn.MINIFS(G49:G52,F49:F52,"Plan")</f>
        <v>45646</v>
      </c>
      <c r="H47" s="66">
        <f>_xlfn.MAXIFS(H49:H52,F49:F52,"Plan")</f>
        <v>45648</v>
      </c>
      <c r="I47" s="94">
        <f>H47-G47</f>
        <v>2</v>
      </c>
      <c r="J47" s="70">
        <f t="shared" si="53"/>
        <v>51</v>
      </c>
      <c r="K47" s="70">
        <f t="shared" si="54"/>
        <v>52</v>
      </c>
      <c r="L47" s="52">
        <f t="shared" ref="L47:AQ47" si="96">SUMIF($F49:$F52,"Plan",L49:L52)</f>
        <v>0</v>
      </c>
      <c r="M47" s="65">
        <f t="shared" si="96"/>
        <v>0</v>
      </c>
      <c r="N47" s="65">
        <f t="shared" si="96"/>
        <v>0</v>
      </c>
      <c r="O47" s="65">
        <f t="shared" si="96"/>
        <v>0</v>
      </c>
      <c r="P47" s="65">
        <f t="shared" si="96"/>
        <v>0</v>
      </c>
      <c r="Q47" s="65">
        <f t="shared" si="96"/>
        <v>0</v>
      </c>
      <c r="R47" s="65">
        <f t="shared" si="96"/>
        <v>0</v>
      </c>
      <c r="S47" s="65">
        <f t="shared" si="96"/>
        <v>0</v>
      </c>
      <c r="T47" s="65">
        <f t="shared" si="96"/>
        <v>0</v>
      </c>
      <c r="U47" s="65">
        <f t="shared" si="96"/>
        <v>0</v>
      </c>
      <c r="V47" s="65">
        <f t="shared" si="96"/>
        <v>0</v>
      </c>
      <c r="W47" s="65">
        <f t="shared" si="96"/>
        <v>0</v>
      </c>
      <c r="X47" s="65">
        <f t="shared" si="96"/>
        <v>0</v>
      </c>
      <c r="Y47" s="65">
        <f t="shared" si="96"/>
        <v>0</v>
      </c>
      <c r="Z47" s="65">
        <f t="shared" si="96"/>
        <v>0</v>
      </c>
      <c r="AA47" s="65">
        <f t="shared" si="96"/>
        <v>0</v>
      </c>
      <c r="AB47" s="65">
        <f t="shared" si="96"/>
        <v>0</v>
      </c>
      <c r="AC47" s="65">
        <f t="shared" si="96"/>
        <v>0</v>
      </c>
      <c r="AD47" s="65">
        <f t="shared" si="96"/>
        <v>0</v>
      </c>
      <c r="AE47" s="65">
        <f t="shared" si="96"/>
        <v>0</v>
      </c>
      <c r="AF47" s="65">
        <f t="shared" si="96"/>
        <v>0</v>
      </c>
      <c r="AG47" s="65">
        <f t="shared" si="96"/>
        <v>0</v>
      </c>
      <c r="AH47" s="65">
        <f t="shared" si="96"/>
        <v>0</v>
      </c>
      <c r="AI47" s="65">
        <f t="shared" si="96"/>
        <v>0</v>
      </c>
      <c r="AJ47" s="65">
        <f t="shared" si="96"/>
        <v>0</v>
      </c>
      <c r="AK47" s="65">
        <f t="shared" si="96"/>
        <v>0</v>
      </c>
      <c r="AL47" s="65">
        <f t="shared" si="96"/>
        <v>0</v>
      </c>
      <c r="AM47" s="65">
        <f t="shared" si="96"/>
        <v>0</v>
      </c>
      <c r="AN47" s="65">
        <f t="shared" si="96"/>
        <v>0</v>
      </c>
      <c r="AO47" s="65">
        <f t="shared" si="96"/>
        <v>0</v>
      </c>
      <c r="AP47" s="65">
        <f t="shared" si="96"/>
        <v>0</v>
      </c>
      <c r="AQ47" s="65">
        <f t="shared" si="96"/>
        <v>0</v>
      </c>
      <c r="AR47" s="65">
        <f t="shared" ref="AR47:BW47" si="97">SUMIF($F49:$F52,"Plan",AR49:AR52)</f>
        <v>0</v>
      </c>
      <c r="AS47" s="65">
        <f t="shared" si="97"/>
        <v>0</v>
      </c>
      <c r="AT47" s="65">
        <f t="shared" si="97"/>
        <v>0</v>
      </c>
      <c r="AU47" s="65">
        <f t="shared" si="97"/>
        <v>0</v>
      </c>
      <c r="AV47" s="65">
        <f t="shared" si="97"/>
        <v>0</v>
      </c>
      <c r="AW47" s="65">
        <f t="shared" si="97"/>
        <v>0</v>
      </c>
      <c r="AX47" s="65">
        <f t="shared" si="97"/>
        <v>0</v>
      </c>
      <c r="AY47" s="65">
        <f t="shared" si="97"/>
        <v>0</v>
      </c>
      <c r="AZ47" s="65">
        <f t="shared" si="97"/>
        <v>0</v>
      </c>
      <c r="BA47" s="65">
        <f t="shared" si="97"/>
        <v>0</v>
      </c>
      <c r="BB47" s="65">
        <f t="shared" si="97"/>
        <v>0</v>
      </c>
      <c r="BC47" s="65">
        <f t="shared" si="97"/>
        <v>0</v>
      </c>
      <c r="BD47" s="65">
        <f t="shared" si="97"/>
        <v>0</v>
      </c>
      <c r="BE47" s="65">
        <f t="shared" si="97"/>
        <v>0</v>
      </c>
      <c r="BF47" s="65">
        <f t="shared" si="97"/>
        <v>0</v>
      </c>
      <c r="BG47" s="65">
        <f t="shared" si="97"/>
        <v>0</v>
      </c>
      <c r="BH47" s="65">
        <f t="shared" si="97"/>
        <v>0</v>
      </c>
      <c r="BI47" s="65">
        <f t="shared" si="97"/>
        <v>0</v>
      </c>
      <c r="BJ47" s="65">
        <f t="shared" si="97"/>
        <v>7.5</v>
      </c>
      <c r="BK47" s="65">
        <f t="shared" si="97"/>
        <v>2.5</v>
      </c>
      <c r="BL47" s="65">
        <f t="shared" si="97"/>
        <v>0</v>
      </c>
      <c r="BM47" s="65">
        <f t="shared" si="97"/>
        <v>0</v>
      </c>
      <c r="BN47" s="65">
        <f t="shared" si="97"/>
        <v>0</v>
      </c>
      <c r="BO47" s="65">
        <f t="shared" si="97"/>
        <v>0</v>
      </c>
      <c r="BP47" s="65">
        <f t="shared" si="97"/>
        <v>0</v>
      </c>
      <c r="BQ47" s="65">
        <f t="shared" si="97"/>
        <v>0</v>
      </c>
      <c r="BR47" s="65">
        <f t="shared" si="97"/>
        <v>0</v>
      </c>
      <c r="BS47" s="65">
        <f t="shared" si="97"/>
        <v>0</v>
      </c>
      <c r="BT47" s="65">
        <f t="shared" si="97"/>
        <v>0</v>
      </c>
      <c r="BU47" s="65">
        <f t="shared" si="97"/>
        <v>0</v>
      </c>
      <c r="BV47" s="65">
        <f t="shared" si="97"/>
        <v>0</v>
      </c>
      <c r="BW47" s="65">
        <f t="shared" si="97"/>
        <v>0</v>
      </c>
      <c r="BX47" s="65">
        <f t="shared" ref="BX47:DC47" si="98">SUMIF($F49:$F52,"Plan",BX49:BX52)</f>
        <v>0</v>
      </c>
      <c r="BY47" s="65">
        <f t="shared" si="98"/>
        <v>0</v>
      </c>
      <c r="BZ47" s="65">
        <f t="shared" si="98"/>
        <v>0</v>
      </c>
      <c r="CA47" s="65">
        <f t="shared" si="98"/>
        <v>0</v>
      </c>
      <c r="CB47" s="65">
        <f t="shared" si="98"/>
        <v>0</v>
      </c>
      <c r="CC47" s="65">
        <f t="shared" si="98"/>
        <v>0</v>
      </c>
      <c r="CD47" s="65">
        <f t="shared" si="98"/>
        <v>0</v>
      </c>
      <c r="CE47" s="65">
        <f t="shared" si="98"/>
        <v>0</v>
      </c>
      <c r="CF47" s="65">
        <f t="shared" si="98"/>
        <v>0</v>
      </c>
      <c r="CG47" s="65">
        <f t="shared" si="98"/>
        <v>0</v>
      </c>
      <c r="CH47" s="65">
        <f t="shared" si="98"/>
        <v>0</v>
      </c>
      <c r="CI47" s="65">
        <f t="shared" si="98"/>
        <v>0</v>
      </c>
      <c r="CJ47" s="65">
        <f t="shared" si="98"/>
        <v>0</v>
      </c>
      <c r="CK47" s="65">
        <f t="shared" si="98"/>
        <v>0</v>
      </c>
      <c r="CL47" s="65">
        <f t="shared" si="98"/>
        <v>0</v>
      </c>
      <c r="CM47" s="65">
        <f t="shared" si="98"/>
        <v>0</v>
      </c>
      <c r="CN47" s="65">
        <f t="shared" si="98"/>
        <v>0</v>
      </c>
      <c r="CO47" s="65">
        <f t="shared" si="98"/>
        <v>0</v>
      </c>
      <c r="CP47" s="65">
        <f t="shared" si="98"/>
        <v>0</v>
      </c>
      <c r="CQ47" s="65">
        <f t="shared" si="98"/>
        <v>0</v>
      </c>
      <c r="CR47" s="65">
        <f t="shared" si="98"/>
        <v>0</v>
      </c>
      <c r="CS47" s="65">
        <f t="shared" si="98"/>
        <v>0</v>
      </c>
      <c r="CT47" s="65">
        <f t="shared" si="98"/>
        <v>0</v>
      </c>
      <c r="CU47" s="65">
        <f t="shared" si="98"/>
        <v>0</v>
      </c>
      <c r="CV47" s="65">
        <f t="shared" si="98"/>
        <v>0</v>
      </c>
      <c r="CW47" s="65">
        <f t="shared" si="98"/>
        <v>0</v>
      </c>
      <c r="CX47" s="65">
        <f t="shared" si="98"/>
        <v>0</v>
      </c>
      <c r="CY47" s="65">
        <f t="shared" si="98"/>
        <v>0</v>
      </c>
      <c r="CZ47" s="65">
        <f t="shared" si="98"/>
        <v>0</v>
      </c>
      <c r="DA47" s="65">
        <f t="shared" si="98"/>
        <v>0</v>
      </c>
      <c r="DB47" s="65">
        <f t="shared" si="98"/>
        <v>0</v>
      </c>
      <c r="DC47" s="65">
        <f t="shared" si="98"/>
        <v>0</v>
      </c>
      <c r="DD47" s="65">
        <f t="shared" ref="DD47:DL47" si="99">SUMIF($F49:$F52,"Plan",DD49:DD52)</f>
        <v>0</v>
      </c>
      <c r="DE47" s="65">
        <f t="shared" si="99"/>
        <v>0</v>
      </c>
      <c r="DF47" s="65">
        <f t="shared" si="99"/>
        <v>0</v>
      </c>
      <c r="DG47" s="65">
        <f t="shared" si="99"/>
        <v>0</v>
      </c>
      <c r="DH47" s="65">
        <f t="shared" si="99"/>
        <v>0</v>
      </c>
      <c r="DI47" s="65">
        <f t="shared" si="99"/>
        <v>0</v>
      </c>
      <c r="DJ47" s="65">
        <f t="shared" si="99"/>
        <v>0</v>
      </c>
      <c r="DK47" s="65">
        <f t="shared" si="99"/>
        <v>0</v>
      </c>
      <c r="DL47" s="65">
        <f t="shared" si="99"/>
        <v>0</v>
      </c>
    </row>
    <row r="48" spans="1:116" ht="19.95" customHeight="1" thickBot="1">
      <c r="A48" s="124"/>
      <c r="B48" s="107"/>
      <c r="C48" s="127"/>
      <c r="D48" s="93"/>
      <c r="E48" s="39">
        <f>SUMIF($F49:$F52,"Actual",E49:E52)</f>
        <v>0</v>
      </c>
      <c r="F48" s="68" t="s">
        <v>19</v>
      </c>
      <c r="G48" s="69">
        <f>_xlfn.MINIFS(G49:G52,F49:F52,"Actual")</f>
        <v>0</v>
      </c>
      <c r="H48" s="69">
        <f>_xlfn.MAXIFS(H49:H52,F49:F52,"Actual")</f>
        <v>0</v>
      </c>
      <c r="I48" s="95">
        <f>H48-G48</f>
        <v>0</v>
      </c>
      <c r="J48" s="71">
        <f t="shared" si="53"/>
        <v>0</v>
      </c>
      <c r="K48" s="71">
        <f t="shared" si="54"/>
        <v>0</v>
      </c>
      <c r="L48" s="39">
        <f t="shared" ref="L48:AQ48" si="100">SUMIF($F49:$F52,"Actual",L49:L52)</f>
        <v>0</v>
      </c>
      <c r="M48" s="67">
        <f t="shared" si="100"/>
        <v>0</v>
      </c>
      <c r="N48" s="67">
        <f t="shared" si="100"/>
        <v>0</v>
      </c>
      <c r="O48" s="67">
        <f t="shared" si="100"/>
        <v>0</v>
      </c>
      <c r="P48" s="67">
        <f t="shared" si="100"/>
        <v>0</v>
      </c>
      <c r="Q48" s="67">
        <f t="shared" si="100"/>
        <v>0</v>
      </c>
      <c r="R48" s="67">
        <f t="shared" si="100"/>
        <v>0</v>
      </c>
      <c r="S48" s="67">
        <f t="shared" si="100"/>
        <v>0</v>
      </c>
      <c r="T48" s="67">
        <f t="shared" si="100"/>
        <v>0</v>
      </c>
      <c r="U48" s="67">
        <f t="shared" si="100"/>
        <v>0</v>
      </c>
      <c r="V48" s="67">
        <f t="shared" si="100"/>
        <v>0</v>
      </c>
      <c r="W48" s="67">
        <f t="shared" si="100"/>
        <v>0</v>
      </c>
      <c r="X48" s="67">
        <f t="shared" si="100"/>
        <v>0</v>
      </c>
      <c r="Y48" s="67">
        <f t="shared" si="100"/>
        <v>0</v>
      </c>
      <c r="Z48" s="67">
        <f t="shared" si="100"/>
        <v>0</v>
      </c>
      <c r="AA48" s="67">
        <f t="shared" si="100"/>
        <v>0</v>
      </c>
      <c r="AB48" s="67">
        <f t="shared" si="100"/>
        <v>0</v>
      </c>
      <c r="AC48" s="67">
        <f t="shared" si="100"/>
        <v>0</v>
      </c>
      <c r="AD48" s="67">
        <f t="shared" si="100"/>
        <v>0</v>
      </c>
      <c r="AE48" s="67">
        <f t="shared" si="100"/>
        <v>0</v>
      </c>
      <c r="AF48" s="67">
        <f t="shared" si="100"/>
        <v>0</v>
      </c>
      <c r="AG48" s="67">
        <f t="shared" si="100"/>
        <v>0</v>
      </c>
      <c r="AH48" s="67">
        <f t="shared" si="100"/>
        <v>0</v>
      </c>
      <c r="AI48" s="67">
        <f t="shared" si="100"/>
        <v>0</v>
      </c>
      <c r="AJ48" s="67">
        <f t="shared" si="100"/>
        <v>0</v>
      </c>
      <c r="AK48" s="67">
        <f t="shared" si="100"/>
        <v>0</v>
      </c>
      <c r="AL48" s="67">
        <f t="shared" si="100"/>
        <v>0</v>
      </c>
      <c r="AM48" s="67">
        <f t="shared" si="100"/>
        <v>0</v>
      </c>
      <c r="AN48" s="67">
        <f t="shared" si="100"/>
        <v>0</v>
      </c>
      <c r="AO48" s="67">
        <f t="shared" si="100"/>
        <v>0</v>
      </c>
      <c r="AP48" s="67">
        <f t="shared" si="100"/>
        <v>0</v>
      </c>
      <c r="AQ48" s="67">
        <f t="shared" si="100"/>
        <v>0</v>
      </c>
      <c r="AR48" s="67">
        <f t="shared" ref="AR48:BW48" si="101">SUMIF($F49:$F52,"Actual",AR49:AR52)</f>
        <v>0</v>
      </c>
      <c r="AS48" s="67">
        <f t="shared" si="101"/>
        <v>0</v>
      </c>
      <c r="AT48" s="67">
        <f t="shared" si="101"/>
        <v>0</v>
      </c>
      <c r="AU48" s="67">
        <f t="shared" si="101"/>
        <v>0</v>
      </c>
      <c r="AV48" s="67">
        <f t="shared" si="101"/>
        <v>0</v>
      </c>
      <c r="AW48" s="67">
        <f t="shared" si="101"/>
        <v>0</v>
      </c>
      <c r="AX48" s="67">
        <f t="shared" si="101"/>
        <v>0</v>
      </c>
      <c r="AY48" s="67">
        <f t="shared" si="101"/>
        <v>0</v>
      </c>
      <c r="AZ48" s="67">
        <f t="shared" si="101"/>
        <v>0</v>
      </c>
      <c r="BA48" s="67">
        <f t="shared" si="101"/>
        <v>0</v>
      </c>
      <c r="BB48" s="67">
        <f t="shared" si="101"/>
        <v>0</v>
      </c>
      <c r="BC48" s="67">
        <f t="shared" si="101"/>
        <v>0</v>
      </c>
      <c r="BD48" s="67">
        <f t="shared" si="101"/>
        <v>0</v>
      </c>
      <c r="BE48" s="67">
        <f t="shared" si="101"/>
        <v>0</v>
      </c>
      <c r="BF48" s="67">
        <f t="shared" si="101"/>
        <v>0</v>
      </c>
      <c r="BG48" s="67">
        <f t="shared" si="101"/>
        <v>0</v>
      </c>
      <c r="BH48" s="67">
        <f t="shared" si="101"/>
        <v>0</v>
      </c>
      <c r="BI48" s="67">
        <f t="shared" si="101"/>
        <v>0</v>
      </c>
      <c r="BJ48" s="67">
        <f t="shared" si="101"/>
        <v>0</v>
      </c>
      <c r="BK48" s="67">
        <f t="shared" si="101"/>
        <v>0</v>
      </c>
      <c r="BL48" s="67">
        <f t="shared" si="101"/>
        <v>0</v>
      </c>
      <c r="BM48" s="67">
        <f t="shared" si="101"/>
        <v>0</v>
      </c>
      <c r="BN48" s="67">
        <f t="shared" si="101"/>
        <v>0</v>
      </c>
      <c r="BO48" s="67">
        <f t="shared" si="101"/>
        <v>0</v>
      </c>
      <c r="BP48" s="67">
        <f t="shared" si="101"/>
        <v>0</v>
      </c>
      <c r="BQ48" s="67">
        <f t="shared" si="101"/>
        <v>0</v>
      </c>
      <c r="BR48" s="67">
        <f t="shared" si="101"/>
        <v>0</v>
      </c>
      <c r="BS48" s="67">
        <f t="shared" si="101"/>
        <v>0</v>
      </c>
      <c r="BT48" s="67">
        <f t="shared" si="101"/>
        <v>0</v>
      </c>
      <c r="BU48" s="67">
        <f t="shared" si="101"/>
        <v>0</v>
      </c>
      <c r="BV48" s="67">
        <f t="shared" si="101"/>
        <v>0</v>
      </c>
      <c r="BW48" s="67">
        <f t="shared" si="101"/>
        <v>0</v>
      </c>
      <c r="BX48" s="67">
        <f t="shared" ref="BX48:DC48" si="102">SUMIF($F49:$F52,"Actual",BX49:BX52)</f>
        <v>0</v>
      </c>
      <c r="BY48" s="67">
        <f t="shared" si="102"/>
        <v>0</v>
      </c>
      <c r="BZ48" s="67">
        <f t="shared" si="102"/>
        <v>0</v>
      </c>
      <c r="CA48" s="67">
        <f t="shared" si="102"/>
        <v>0</v>
      </c>
      <c r="CB48" s="67">
        <f t="shared" si="102"/>
        <v>0</v>
      </c>
      <c r="CC48" s="67">
        <f t="shared" si="102"/>
        <v>0</v>
      </c>
      <c r="CD48" s="67">
        <f t="shared" si="102"/>
        <v>0</v>
      </c>
      <c r="CE48" s="67">
        <f t="shared" si="102"/>
        <v>0</v>
      </c>
      <c r="CF48" s="67">
        <f t="shared" si="102"/>
        <v>0</v>
      </c>
      <c r="CG48" s="67">
        <f t="shared" si="102"/>
        <v>0</v>
      </c>
      <c r="CH48" s="67">
        <f t="shared" si="102"/>
        <v>0</v>
      </c>
      <c r="CI48" s="67">
        <f t="shared" si="102"/>
        <v>0</v>
      </c>
      <c r="CJ48" s="67">
        <f t="shared" si="102"/>
        <v>0</v>
      </c>
      <c r="CK48" s="67">
        <f t="shared" si="102"/>
        <v>0</v>
      </c>
      <c r="CL48" s="67">
        <f t="shared" si="102"/>
        <v>0</v>
      </c>
      <c r="CM48" s="67">
        <f t="shared" si="102"/>
        <v>0</v>
      </c>
      <c r="CN48" s="67">
        <f t="shared" si="102"/>
        <v>0</v>
      </c>
      <c r="CO48" s="67">
        <f t="shared" si="102"/>
        <v>0</v>
      </c>
      <c r="CP48" s="67">
        <f t="shared" si="102"/>
        <v>0</v>
      </c>
      <c r="CQ48" s="67">
        <f t="shared" si="102"/>
        <v>0</v>
      </c>
      <c r="CR48" s="67">
        <f t="shared" si="102"/>
        <v>0</v>
      </c>
      <c r="CS48" s="67">
        <f t="shared" si="102"/>
        <v>0</v>
      </c>
      <c r="CT48" s="67">
        <f t="shared" si="102"/>
        <v>0</v>
      </c>
      <c r="CU48" s="67">
        <f t="shared" si="102"/>
        <v>0</v>
      </c>
      <c r="CV48" s="67">
        <f t="shared" si="102"/>
        <v>0</v>
      </c>
      <c r="CW48" s="67">
        <f t="shared" si="102"/>
        <v>0</v>
      </c>
      <c r="CX48" s="67">
        <f t="shared" si="102"/>
        <v>0</v>
      </c>
      <c r="CY48" s="67">
        <f t="shared" si="102"/>
        <v>0</v>
      </c>
      <c r="CZ48" s="67">
        <f t="shared" si="102"/>
        <v>0</v>
      </c>
      <c r="DA48" s="67">
        <f t="shared" si="102"/>
        <v>0</v>
      </c>
      <c r="DB48" s="67">
        <f t="shared" si="102"/>
        <v>0</v>
      </c>
      <c r="DC48" s="67">
        <f t="shared" si="102"/>
        <v>0</v>
      </c>
      <c r="DD48" s="67">
        <f t="shared" ref="DD48:DL48" si="103">SUMIF($F49:$F52,"Actual",DD49:DD52)</f>
        <v>0</v>
      </c>
      <c r="DE48" s="67">
        <f t="shared" si="103"/>
        <v>0</v>
      </c>
      <c r="DF48" s="67">
        <f t="shared" si="103"/>
        <v>0</v>
      </c>
      <c r="DG48" s="67">
        <f t="shared" si="103"/>
        <v>0</v>
      </c>
      <c r="DH48" s="67">
        <f t="shared" si="103"/>
        <v>0</v>
      </c>
      <c r="DI48" s="67">
        <f t="shared" si="103"/>
        <v>0</v>
      </c>
      <c r="DJ48" s="67">
        <f t="shared" si="103"/>
        <v>0</v>
      </c>
      <c r="DK48" s="67">
        <f t="shared" si="103"/>
        <v>0</v>
      </c>
      <c r="DL48" s="67">
        <f t="shared" si="103"/>
        <v>0</v>
      </c>
    </row>
    <row r="49" spans="1:284" ht="19.95" customHeight="1">
      <c r="A49" s="55"/>
      <c r="B49" s="108" t="s">
        <v>83</v>
      </c>
      <c r="C49" s="58"/>
      <c r="D49" s="54"/>
      <c r="E49" s="81">
        <v>5</v>
      </c>
      <c r="F49" s="76" t="s">
        <v>18</v>
      </c>
      <c r="G49" s="148">
        <f>H27</f>
        <v>45646</v>
      </c>
      <c r="H49" s="148">
        <f>G49+I49</f>
        <v>45647</v>
      </c>
      <c r="I49" s="82">
        <v>1</v>
      </c>
      <c r="J49" s="20">
        <f t="shared" si="53"/>
        <v>51</v>
      </c>
      <c r="K49" s="20">
        <f t="shared" si="54"/>
        <v>51</v>
      </c>
      <c r="L49" s="31" t="str">
        <f>IF(L$10&gt;$K49,"0",IF(L$10&lt;$J49,"0",$E49/($K49-$J49+1)))</f>
        <v>0</v>
      </c>
      <c r="M49" s="32" t="str">
        <f t="shared" ref="M49:BX49" si="104">IF(M$10&gt;$K49,"0",IF(M$10&lt;$J49,"0",$E49/($K49-$J49+1)))</f>
        <v>0</v>
      </c>
      <c r="N49" s="32" t="str">
        <f t="shared" si="104"/>
        <v>0</v>
      </c>
      <c r="O49" s="32" t="str">
        <f t="shared" si="104"/>
        <v>0</v>
      </c>
      <c r="P49" s="32" t="str">
        <f t="shared" si="104"/>
        <v>0</v>
      </c>
      <c r="Q49" s="32" t="str">
        <f t="shared" si="104"/>
        <v>0</v>
      </c>
      <c r="R49" s="32" t="str">
        <f t="shared" si="104"/>
        <v>0</v>
      </c>
      <c r="S49" s="32" t="str">
        <f t="shared" si="104"/>
        <v>0</v>
      </c>
      <c r="T49" s="32" t="str">
        <f t="shared" si="104"/>
        <v>0</v>
      </c>
      <c r="U49" s="32" t="str">
        <f t="shared" si="104"/>
        <v>0</v>
      </c>
      <c r="V49" s="32" t="str">
        <f t="shared" si="104"/>
        <v>0</v>
      </c>
      <c r="W49" s="32" t="str">
        <f t="shared" si="104"/>
        <v>0</v>
      </c>
      <c r="X49" s="32" t="str">
        <f t="shared" si="104"/>
        <v>0</v>
      </c>
      <c r="Y49" s="32" t="str">
        <f t="shared" si="104"/>
        <v>0</v>
      </c>
      <c r="Z49" s="32" t="str">
        <f t="shared" si="104"/>
        <v>0</v>
      </c>
      <c r="AA49" s="32" t="str">
        <f t="shared" si="104"/>
        <v>0</v>
      </c>
      <c r="AB49" s="32" t="str">
        <f t="shared" si="104"/>
        <v>0</v>
      </c>
      <c r="AC49" s="32" t="str">
        <f t="shared" si="104"/>
        <v>0</v>
      </c>
      <c r="AD49" s="32" t="str">
        <f t="shared" si="104"/>
        <v>0</v>
      </c>
      <c r="AE49" s="32" t="str">
        <f t="shared" si="104"/>
        <v>0</v>
      </c>
      <c r="AF49" s="32" t="str">
        <f t="shared" si="104"/>
        <v>0</v>
      </c>
      <c r="AG49" s="32" t="str">
        <f t="shared" si="104"/>
        <v>0</v>
      </c>
      <c r="AH49" s="32" t="str">
        <f t="shared" si="104"/>
        <v>0</v>
      </c>
      <c r="AI49" s="32" t="str">
        <f t="shared" si="104"/>
        <v>0</v>
      </c>
      <c r="AJ49" s="32" t="str">
        <f t="shared" si="104"/>
        <v>0</v>
      </c>
      <c r="AK49" s="32" t="str">
        <f t="shared" si="104"/>
        <v>0</v>
      </c>
      <c r="AL49" s="32" t="str">
        <f t="shared" si="104"/>
        <v>0</v>
      </c>
      <c r="AM49" s="32" t="str">
        <f t="shared" si="104"/>
        <v>0</v>
      </c>
      <c r="AN49" s="32" t="str">
        <f t="shared" si="104"/>
        <v>0</v>
      </c>
      <c r="AO49" s="32" t="str">
        <f t="shared" si="104"/>
        <v>0</v>
      </c>
      <c r="AP49" s="32" t="str">
        <f t="shared" si="104"/>
        <v>0</v>
      </c>
      <c r="AQ49" s="32" t="str">
        <f t="shared" si="104"/>
        <v>0</v>
      </c>
      <c r="AR49" s="32" t="str">
        <f t="shared" si="104"/>
        <v>0</v>
      </c>
      <c r="AS49" s="32" t="str">
        <f t="shared" si="104"/>
        <v>0</v>
      </c>
      <c r="AT49" s="32" t="str">
        <f t="shared" si="104"/>
        <v>0</v>
      </c>
      <c r="AU49" s="32" t="str">
        <f t="shared" si="104"/>
        <v>0</v>
      </c>
      <c r="AV49" s="32" t="str">
        <f t="shared" si="104"/>
        <v>0</v>
      </c>
      <c r="AW49" s="32" t="str">
        <f t="shared" si="104"/>
        <v>0</v>
      </c>
      <c r="AX49" s="32" t="str">
        <f t="shared" si="104"/>
        <v>0</v>
      </c>
      <c r="AY49" s="32" t="str">
        <f t="shared" si="104"/>
        <v>0</v>
      </c>
      <c r="AZ49" s="32" t="str">
        <f t="shared" si="104"/>
        <v>0</v>
      </c>
      <c r="BA49" s="32" t="str">
        <f t="shared" si="104"/>
        <v>0</v>
      </c>
      <c r="BB49" s="32" t="str">
        <f t="shared" si="104"/>
        <v>0</v>
      </c>
      <c r="BC49" s="32" t="str">
        <f t="shared" si="104"/>
        <v>0</v>
      </c>
      <c r="BD49" s="32" t="str">
        <f t="shared" si="104"/>
        <v>0</v>
      </c>
      <c r="BE49" s="32" t="str">
        <f t="shared" si="104"/>
        <v>0</v>
      </c>
      <c r="BF49" s="32" t="str">
        <f t="shared" si="104"/>
        <v>0</v>
      </c>
      <c r="BG49" s="32" t="str">
        <f t="shared" si="104"/>
        <v>0</v>
      </c>
      <c r="BH49" s="32" t="str">
        <f t="shared" si="104"/>
        <v>0</v>
      </c>
      <c r="BI49" s="32" t="str">
        <f t="shared" si="104"/>
        <v>0</v>
      </c>
      <c r="BJ49" s="32">
        <f t="shared" si="104"/>
        <v>5</v>
      </c>
      <c r="BK49" s="32" t="str">
        <f t="shared" si="104"/>
        <v>0</v>
      </c>
      <c r="BL49" s="33" t="str">
        <f t="shared" si="104"/>
        <v>0</v>
      </c>
      <c r="BM49" s="34" t="str">
        <f t="shared" si="104"/>
        <v>0</v>
      </c>
      <c r="BN49" s="32" t="str">
        <f t="shared" si="104"/>
        <v>0</v>
      </c>
      <c r="BO49" s="32" t="str">
        <f t="shared" si="104"/>
        <v>0</v>
      </c>
      <c r="BP49" s="32" t="str">
        <f t="shared" si="104"/>
        <v>0</v>
      </c>
      <c r="BQ49" s="32" t="str">
        <f t="shared" si="104"/>
        <v>0</v>
      </c>
      <c r="BR49" s="32" t="str">
        <f t="shared" si="104"/>
        <v>0</v>
      </c>
      <c r="BS49" s="32" t="str">
        <f t="shared" si="104"/>
        <v>0</v>
      </c>
      <c r="BT49" s="32" t="str">
        <f t="shared" si="104"/>
        <v>0</v>
      </c>
      <c r="BU49" s="32" t="str">
        <f t="shared" si="104"/>
        <v>0</v>
      </c>
      <c r="BV49" s="32" t="str">
        <f t="shared" si="104"/>
        <v>0</v>
      </c>
      <c r="BW49" s="32" t="str">
        <f t="shared" si="104"/>
        <v>0</v>
      </c>
      <c r="BX49" s="32" t="str">
        <f t="shared" si="104"/>
        <v>0</v>
      </c>
      <c r="BY49" s="32" t="str">
        <f t="shared" ref="BY49:DL49" si="105">IF(BY$10&gt;$K49,"0",IF(BY$10&lt;$J49,"0",$E49/($K49-$J49+1)))</f>
        <v>0</v>
      </c>
      <c r="BZ49" s="32" t="str">
        <f t="shared" si="105"/>
        <v>0</v>
      </c>
      <c r="CA49" s="32" t="str">
        <f t="shared" si="105"/>
        <v>0</v>
      </c>
      <c r="CB49" s="32" t="str">
        <f t="shared" si="105"/>
        <v>0</v>
      </c>
      <c r="CC49" s="32" t="str">
        <f t="shared" si="105"/>
        <v>0</v>
      </c>
      <c r="CD49" s="32" t="str">
        <f t="shared" si="105"/>
        <v>0</v>
      </c>
      <c r="CE49" s="32" t="str">
        <f t="shared" si="105"/>
        <v>0</v>
      </c>
      <c r="CF49" s="32" t="str">
        <f t="shared" si="105"/>
        <v>0</v>
      </c>
      <c r="CG49" s="32" t="str">
        <f t="shared" si="105"/>
        <v>0</v>
      </c>
      <c r="CH49" s="32" t="str">
        <f t="shared" si="105"/>
        <v>0</v>
      </c>
      <c r="CI49" s="32" t="str">
        <f t="shared" si="105"/>
        <v>0</v>
      </c>
      <c r="CJ49" s="32" t="str">
        <f t="shared" si="105"/>
        <v>0</v>
      </c>
      <c r="CK49" s="32" t="str">
        <f t="shared" si="105"/>
        <v>0</v>
      </c>
      <c r="CL49" s="32" t="str">
        <f t="shared" si="105"/>
        <v>0</v>
      </c>
      <c r="CM49" s="32" t="str">
        <f t="shared" si="105"/>
        <v>0</v>
      </c>
      <c r="CN49" s="32" t="str">
        <f t="shared" si="105"/>
        <v>0</v>
      </c>
      <c r="CO49" s="32" t="str">
        <f t="shared" si="105"/>
        <v>0</v>
      </c>
      <c r="CP49" s="32" t="str">
        <f t="shared" si="105"/>
        <v>0</v>
      </c>
      <c r="CQ49" s="32" t="str">
        <f t="shared" si="105"/>
        <v>0</v>
      </c>
      <c r="CR49" s="32" t="str">
        <f t="shared" si="105"/>
        <v>0</v>
      </c>
      <c r="CS49" s="32" t="str">
        <f t="shared" si="105"/>
        <v>0</v>
      </c>
      <c r="CT49" s="32" t="str">
        <f t="shared" si="105"/>
        <v>0</v>
      </c>
      <c r="CU49" s="32" t="str">
        <f t="shared" si="105"/>
        <v>0</v>
      </c>
      <c r="CV49" s="32" t="str">
        <f t="shared" si="105"/>
        <v>0</v>
      </c>
      <c r="CW49" s="32" t="str">
        <f t="shared" si="105"/>
        <v>0</v>
      </c>
      <c r="CX49" s="32" t="str">
        <f t="shared" si="105"/>
        <v>0</v>
      </c>
      <c r="CY49" s="32" t="str">
        <f t="shared" si="105"/>
        <v>0</v>
      </c>
      <c r="CZ49" s="32" t="str">
        <f t="shared" si="105"/>
        <v>0</v>
      </c>
      <c r="DA49" s="32" t="str">
        <f t="shared" si="105"/>
        <v>0</v>
      </c>
      <c r="DB49" s="32" t="str">
        <f t="shared" si="105"/>
        <v>0</v>
      </c>
      <c r="DC49" s="32" t="str">
        <f t="shared" si="105"/>
        <v>0</v>
      </c>
      <c r="DD49" s="32" t="str">
        <f t="shared" si="105"/>
        <v>0</v>
      </c>
      <c r="DE49" s="32" t="str">
        <f t="shared" si="105"/>
        <v>0</v>
      </c>
      <c r="DF49" s="32" t="str">
        <f t="shared" si="105"/>
        <v>0</v>
      </c>
      <c r="DG49" s="32" t="str">
        <f t="shared" si="105"/>
        <v>0</v>
      </c>
      <c r="DH49" s="32" t="str">
        <f t="shared" si="105"/>
        <v>0</v>
      </c>
      <c r="DI49" s="32" t="str">
        <f t="shared" si="105"/>
        <v>0</v>
      </c>
      <c r="DJ49" s="32" t="str">
        <f t="shared" si="105"/>
        <v>0</v>
      </c>
      <c r="DK49" s="32" t="str">
        <f t="shared" si="105"/>
        <v>0</v>
      </c>
      <c r="DL49" s="33" t="str">
        <f t="shared" si="105"/>
        <v>0</v>
      </c>
    </row>
    <row r="50" spans="1:284" ht="19.95" customHeight="1">
      <c r="A50" s="55"/>
      <c r="B50" s="105"/>
      <c r="C50" s="58"/>
      <c r="D50" s="54"/>
      <c r="E50" s="53"/>
      <c r="F50" s="75" t="s">
        <v>19</v>
      </c>
      <c r="G50" s="150"/>
      <c r="H50" s="150"/>
      <c r="I50" s="2">
        <v>1</v>
      </c>
      <c r="J50" s="20">
        <f t="shared" si="53"/>
        <v>0</v>
      </c>
      <c r="K50" s="20">
        <f t="shared" si="54"/>
        <v>0</v>
      </c>
      <c r="L50" s="59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7"/>
      <c r="BM50" s="38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7"/>
    </row>
    <row r="51" spans="1:284" ht="19.95" customHeight="1">
      <c r="A51" s="55"/>
      <c r="B51" s="102" t="s">
        <v>85</v>
      </c>
      <c r="C51" s="58"/>
      <c r="D51" s="54"/>
      <c r="E51" s="53">
        <v>5</v>
      </c>
      <c r="F51" s="76" t="s">
        <v>18</v>
      </c>
      <c r="G51" s="150">
        <f>H49</f>
        <v>45647</v>
      </c>
      <c r="H51" s="148">
        <f>G51+I51</f>
        <v>45648</v>
      </c>
      <c r="I51" s="2">
        <v>1</v>
      </c>
      <c r="J51" s="20">
        <f t="shared" si="53"/>
        <v>51</v>
      </c>
      <c r="K51" s="20">
        <f t="shared" si="54"/>
        <v>52</v>
      </c>
      <c r="L51" s="24" t="str">
        <f>IF(L$10&gt;$K51,"0",IF(L$10&lt;$J51,"0",$E51/($K51-$J51+1)))</f>
        <v>0</v>
      </c>
      <c r="M51" s="23" t="str">
        <f t="shared" ref="M51:BX51" si="106">IF(M$10&gt;$K51,"0",IF(M$10&lt;$J51,"0",$E51/($K51-$J51+1)))</f>
        <v>0</v>
      </c>
      <c r="N51" s="23" t="str">
        <f t="shared" si="106"/>
        <v>0</v>
      </c>
      <c r="O51" s="23" t="str">
        <f t="shared" si="106"/>
        <v>0</v>
      </c>
      <c r="P51" s="23" t="str">
        <f t="shared" si="106"/>
        <v>0</v>
      </c>
      <c r="Q51" s="23" t="str">
        <f t="shared" si="106"/>
        <v>0</v>
      </c>
      <c r="R51" s="23" t="str">
        <f t="shared" si="106"/>
        <v>0</v>
      </c>
      <c r="S51" s="23" t="str">
        <f t="shared" si="106"/>
        <v>0</v>
      </c>
      <c r="T51" s="23" t="str">
        <f t="shared" si="106"/>
        <v>0</v>
      </c>
      <c r="U51" s="23" t="str">
        <f t="shared" si="106"/>
        <v>0</v>
      </c>
      <c r="V51" s="23" t="str">
        <f t="shared" si="106"/>
        <v>0</v>
      </c>
      <c r="W51" s="23" t="str">
        <f t="shared" si="106"/>
        <v>0</v>
      </c>
      <c r="X51" s="23" t="str">
        <f t="shared" si="106"/>
        <v>0</v>
      </c>
      <c r="Y51" s="23" t="str">
        <f t="shared" si="106"/>
        <v>0</v>
      </c>
      <c r="Z51" s="23" t="str">
        <f t="shared" si="106"/>
        <v>0</v>
      </c>
      <c r="AA51" s="23" t="str">
        <f t="shared" si="106"/>
        <v>0</v>
      </c>
      <c r="AB51" s="23" t="str">
        <f t="shared" si="106"/>
        <v>0</v>
      </c>
      <c r="AC51" s="23" t="str">
        <f t="shared" si="106"/>
        <v>0</v>
      </c>
      <c r="AD51" s="23" t="str">
        <f t="shared" si="106"/>
        <v>0</v>
      </c>
      <c r="AE51" s="23" t="str">
        <f t="shared" si="106"/>
        <v>0</v>
      </c>
      <c r="AF51" s="23" t="str">
        <f t="shared" si="106"/>
        <v>0</v>
      </c>
      <c r="AG51" s="23" t="str">
        <f t="shared" si="106"/>
        <v>0</v>
      </c>
      <c r="AH51" s="23" t="str">
        <f t="shared" si="106"/>
        <v>0</v>
      </c>
      <c r="AI51" s="23" t="str">
        <f t="shared" si="106"/>
        <v>0</v>
      </c>
      <c r="AJ51" s="23" t="str">
        <f t="shared" si="106"/>
        <v>0</v>
      </c>
      <c r="AK51" s="23" t="str">
        <f t="shared" si="106"/>
        <v>0</v>
      </c>
      <c r="AL51" s="23" t="str">
        <f t="shared" si="106"/>
        <v>0</v>
      </c>
      <c r="AM51" s="23" t="str">
        <f t="shared" si="106"/>
        <v>0</v>
      </c>
      <c r="AN51" s="23" t="str">
        <f t="shared" si="106"/>
        <v>0</v>
      </c>
      <c r="AO51" s="23" t="str">
        <f t="shared" si="106"/>
        <v>0</v>
      </c>
      <c r="AP51" s="23" t="str">
        <f t="shared" si="106"/>
        <v>0</v>
      </c>
      <c r="AQ51" s="23" t="str">
        <f t="shared" si="106"/>
        <v>0</v>
      </c>
      <c r="AR51" s="23" t="str">
        <f t="shared" si="106"/>
        <v>0</v>
      </c>
      <c r="AS51" s="23" t="str">
        <f t="shared" si="106"/>
        <v>0</v>
      </c>
      <c r="AT51" s="23" t="str">
        <f t="shared" si="106"/>
        <v>0</v>
      </c>
      <c r="AU51" s="23" t="str">
        <f t="shared" si="106"/>
        <v>0</v>
      </c>
      <c r="AV51" s="23" t="str">
        <f t="shared" si="106"/>
        <v>0</v>
      </c>
      <c r="AW51" s="23" t="str">
        <f t="shared" si="106"/>
        <v>0</v>
      </c>
      <c r="AX51" s="23" t="str">
        <f t="shared" si="106"/>
        <v>0</v>
      </c>
      <c r="AY51" s="23" t="str">
        <f t="shared" si="106"/>
        <v>0</v>
      </c>
      <c r="AZ51" s="23" t="str">
        <f t="shared" si="106"/>
        <v>0</v>
      </c>
      <c r="BA51" s="23" t="str">
        <f t="shared" si="106"/>
        <v>0</v>
      </c>
      <c r="BB51" s="23" t="str">
        <f t="shared" si="106"/>
        <v>0</v>
      </c>
      <c r="BC51" s="23" t="str">
        <f t="shared" si="106"/>
        <v>0</v>
      </c>
      <c r="BD51" s="23" t="str">
        <f t="shared" si="106"/>
        <v>0</v>
      </c>
      <c r="BE51" s="23" t="str">
        <f t="shared" si="106"/>
        <v>0</v>
      </c>
      <c r="BF51" s="23" t="str">
        <f t="shared" si="106"/>
        <v>0</v>
      </c>
      <c r="BG51" s="23" t="str">
        <f t="shared" si="106"/>
        <v>0</v>
      </c>
      <c r="BH51" s="23" t="str">
        <f t="shared" si="106"/>
        <v>0</v>
      </c>
      <c r="BI51" s="23" t="str">
        <f t="shared" si="106"/>
        <v>0</v>
      </c>
      <c r="BJ51" s="23">
        <f t="shared" si="106"/>
        <v>2.5</v>
      </c>
      <c r="BK51" s="23">
        <f t="shared" si="106"/>
        <v>2.5</v>
      </c>
      <c r="BL51" s="25" t="str">
        <f t="shared" si="106"/>
        <v>0</v>
      </c>
      <c r="BM51" s="29" t="str">
        <f t="shared" si="106"/>
        <v>0</v>
      </c>
      <c r="BN51" s="23" t="str">
        <f t="shared" si="106"/>
        <v>0</v>
      </c>
      <c r="BO51" s="23" t="str">
        <f t="shared" si="106"/>
        <v>0</v>
      </c>
      <c r="BP51" s="23" t="str">
        <f t="shared" si="106"/>
        <v>0</v>
      </c>
      <c r="BQ51" s="23" t="str">
        <f t="shared" si="106"/>
        <v>0</v>
      </c>
      <c r="BR51" s="23" t="str">
        <f t="shared" si="106"/>
        <v>0</v>
      </c>
      <c r="BS51" s="23" t="str">
        <f t="shared" si="106"/>
        <v>0</v>
      </c>
      <c r="BT51" s="23" t="str">
        <f t="shared" si="106"/>
        <v>0</v>
      </c>
      <c r="BU51" s="23" t="str">
        <f t="shared" si="106"/>
        <v>0</v>
      </c>
      <c r="BV51" s="23" t="str">
        <f t="shared" si="106"/>
        <v>0</v>
      </c>
      <c r="BW51" s="23" t="str">
        <f t="shared" si="106"/>
        <v>0</v>
      </c>
      <c r="BX51" s="23" t="str">
        <f t="shared" si="106"/>
        <v>0</v>
      </c>
      <c r="BY51" s="23" t="str">
        <f t="shared" ref="BY51:DL51" si="107">IF(BY$10&gt;$K51,"0",IF(BY$10&lt;$J51,"0",$E51/($K51-$J51+1)))</f>
        <v>0</v>
      </c>
      <c r="BZ51" s="23" t="str">
        <f t="shared" si="107"/>
        <v>0</v>
      </c>
      <c r="CA51" s="23" t="str">
        <f t="shared" si="107"/>
        <v>0</v>
      </c>
      <c r="CB51" s="23" t="str">
        <f t="shared" si="107"/>
        <v>0</v>
      </c>
      <c r="CC51" s="23" t="str">
        <f t="shared" si="107"/>
        <v>0</v>
      </c>
      <c r="CD51" s="23" t="str">
        <f t="shared" si="107"/>
        <v>0</v>
      </c>
      <c r="CE51" s="23" t="str">
        <f t="shared" si="107"/>
        <v>0</v>
      </c>
      <c r="CF51" s="23" t="str">
        <f t="shared" si="107"/>
        <v>0</v>
      </c>
      <c r="CG51" s="23" t="str">
        <f t="shared" si="107"/>
        <v>0</v>
      </c>
      <c r="CH51" s="23" t="str">
        <f t="shared" si="107"/>
        <v>0</v>
      </c>
      <c r="CI51" s="23" t="str">
        <f t="shared" si="107"/>
        <v>0</v>
      </c>
      <c r="CJ51" s="23" t="str">
        <f t="shared" si="107"/>
        <v>0</v>
      </c>
      <c r="CK51" s="23" t="str">
        <f t="shared" si="107"/>
        <v>0</v>
      </c>
      <c r="CL51" s="23" t="str">
        <f t="shared" si="107"/>
        <v>0</v>
      </c>
      <c r="CM51" s="23" t="str">
        <f t="shared" si="107"/>
        <v>0</v>
      </c>
      <c r="CN51" s="23" t="str">
        <f t="shared" si="107"/>
        <v>0</v>
      </c>
      <c r="CO51" s="23" t="str">
        <f t="shared" si="107"/>
        <v>0</v>
      </c>
      <c r="CP51" s="23" t="str">
        <f t="shared" si="107"/>
        <v>0</v>
      </c>
      <c r="CQ51" s="23" t="str">
        <f t="shared" si="107"/>
        <v>0</v>
      </c>
      <c r="CR51" s="23" t="str">
        <f t="shared" si="107"/>
        <v>0</v>
      </c>
      <c r="CS51" s="23" t="str">
        <f t="shared" si="107"/>
        <v>0</v>
      </c>
      <c r="CT51" s="23" t="str">
        <f t="shared" si="107"/>
        <v>0</v>
      </c>
      <c r="CU51" s="23" t="str">
        <f t="shared" si="107"/>
        <v>0</v>
      </c>
      <c r="CV51" s="23" t="str">
        <f t="shared" si="107"/>
        <v>0</v>
      </c>
      <c r="CW51" s="23" t="str">
        <f t="shared" si="107"/>
        <v>0</v>
      </c>
      <c r="CX51" s="23" t="str">
        <f t="shared" si="107"/>
        <v>0</v>
      </c>
      <c r="CY51" s="23" t="str">
        <f t="shared" si="107"/>
        <v>0</v>
      </c>
      <c r="CZ51" s="23" t="str">
        <f t="shared" si="107"/>
        <v>0</v>
      </c>
      <c r="DA51" s="23" t="str">
        <f t="shared" si="107"/>
        <v>0</v>
      </c>
      <c r="DB51" s="23" t="str">
        <f t="shared" si="107"/>
        <v>0</v>
      </c>
      <c r="DC51" s="23" t="str">
        <f t="shared" si="107"/>
        <v>0</v>
      </c>
      <c r="DD51" s="23" t="str">
        <f t="shared" si="107"/>
        <v>0</v>
      </c>
      <c r="DE51" s="23" t="str">
        <f t="shared" si="107"/>
        <v>0</v>
      </c>
      <c r="DF51" s="23" t="str">
        <f t="shared" si="107"/>
        <v>0</v>
      </c>
      <c r="DG51" s="23" t="str">
        <f t="shared" si="107"/>
        <v>0</v>
      </c>
      <c r="DH51" s="23" t="str">
        <f t="shared" si="107"/>
        <v>0</v>
      </c>
      <c r="DI51" s="23" t="str">
        <f t="shared" si="107"/>
        <v>0</v>
      </c>
      <c r="DJ51" s="23" t="str">
        <f t="shared" si="107"/>
        <v>0</v>
      </c>
      <c r="DK51" s="23" t="str">
        <f t="shared" si="107"/>
        <v>0</v>
      </c>
      <c r="DL51" s="25" t="str">
        <f t="shared" si="107"/>
        <v>0</v>
      </c>
    </row>
    <row r="52" spans="1:284" s="91" customFormat="1" ht="19.95" customHeight="1" thickBot="1">
      <c r="A52" s="72"/>
      <c r="B52" s="103"/>
      <c r="C52" s="63"/>
      <c r="D52" s="73"/>
      <c r="E52" s="88"/>
      <c r="F52" s="89" t="s">
        <v>19</v>
      </c>
      <c r="G52" s="62"/>
      <c r="H52" s="62"/>
      <c r="I52" s="64">
        <v>1</v>
      </c>
      <c r="J52" s="74">
        <f t="shared" si="53"/>
        <v>0</v>
      </c>
      <c r="K52" s="74">
        <f t="shared" si="54"/>
        <v>0</v>
      </c>
      <c r="L52" s="61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7"/>
      <c r="BM52" s="38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7"/>
      <c r="DM52" s="90"/>
      <c r="DN52" s="90"/>
      <c r="DO52" s="90"/>
      <c r="DP52" s="90"/>
      <c r="DQ52" s="90"/>
      <c r="DR52" s="90"/>
      <c r="DS52" s="90"/>
      <c r="DT52" s="90"/>
      <c r="DU52" s="90"/>
      <c r="DV52" s="90"/>
      <c r="DW52" s="90"/>
      <c r="DX52" s="90"/>
      <c r="DY52" s="90"/>
      <c r="DZ52" s="90"/>
      <c r="EA52" s="90"/>
      <c r="EB52" s="90"/>
      <c r="EC52" s="90"/>
      <c r="ED52" s="90"/>
      <c r="EE52" s="90"/>
      <c r="EF52" s="90"/>
      <c r="EG52" s="90"/>
      <c r="EH52" s="90"/>
      <c r="EI52" s="90"/>
      <c r="EJ52" s="90"/>
      <c r="EK52" s="90"/>
      <c r="EL52" s="90"/>
      <c r="EM52" s="90"/>
      <c r="EN52" s="90"/>
      <c r="EO52" s="90"/>
      <c r="EP52" s="90"/>
      <c r="EQ52" s="90"/>
      <c r="ER52" s="90"/>
      <c r="ES52" s="90"/>
      <c r="ET52" s="90"/>
      <c r="EU52" s="90"/>
      <c r="EV52" s="90"/>
      <c r="EW52" s="90"/>
      <c r="EX52" s="90"/>
      <c r="EY52" s="90"/>
      <c r="EZ52" s="90"/>
      <c r="FA52" s="90"/>
      <c r="FB52" s="90"/>
      <c r="FC52" s="90"/>
      <c r="FD52" s="90"/>
      <c r="FE52" s="90"/>
      <c r="FF52" s="90"/>
      <c r="FG52" s="90"/>
      <c r="FH52" s="90"/>
      <c r="FI52" s="90"/>
      <c r="FJ52" s="90"/>
      <c r="FK52" s="90"/>
      <c r="FL52" s="90"/>
      <c r="FM52" s="90"/>
      <c r="FN52" s="90"/>
      <c r="FO52" s="90"/>
      <c r="FP52" s="90"/>
      <c r="FQ52" s="90"/>
      <c r="FR52" s="90"/>
      <c r="FS52" s="90"/>
      <c r="FT52" s="90"/>
      <c r="FU52" s="90"/>
      <c r="FV52" s="90"/>
      <c r="FW52" s="90"/>
      <c r="FX52" s="90"/>
      <c r="FY52" s="90"/>
      <c r="FZ52" s="90"/>
      <c r="GA52" s="90"/>
      <c r="GB52" s="90"/>
      <c r="GC52" s="90"/>
      <c r="GD52" s="90"/>
      <c r="GE52" s="90"/>
      <c r="GF52" s="90"/>
      <c r="GG52" s="90"/>
      <c r="GH52" s="90"/>
      <c r="GI52" s="90"/>
      <c r="GJ52" s="90"/>
      <c r="GK52" s="90"/>
      <c r="GL52" s="90"/>
      <c r="GM52" s="90"/>
      <c r="GN52" s="90"/>
      <c r="GO52" s="90"/>
      <c r="GP52" s="90"/>
      <c r="GQ52" s="90"/>
      <c r="GR52" s="90"/>
      <c r="GS52" s="90"/>
      <c r="GT52" s="90"/>
      <c r="GU52" s="90"/>
      <c r="GV52" s="90"/>
      <c r="GW52" s="90"/>
      <c r="GX52" s="90"/>
      <c r="GY52" s="90"/>
      <c r="GZ52" s="90"/>
      <c r="HA52" s="90"/>
      <c r="HB52" s="90"/>
      <c r="HC52" s="90"/>
      <c r="HD52" s="90"/>
      <c r="HE52" s="90"/>
      <c r="HF52" s="90"/>
      <c r="HG52" s="90"/>
      <c r="HH52" s="90"/>
      <c r="HI52" s="90"/>
      <c r="HJ52" s="90"/>
      <c r="HK52" s="90"/>
      <c r="HL52" s="90"/>
      <c r="HM52" s="90"/>
      <c r="HN52" s="90"/>
      <c r="HO52" s="90"/>
      <c r="HP52" s="90"/>
      <c r="HQ52" s="90"/>
      <c r="HR52" s="90"/>
      <c r="HS52" s="90"/>
      <c r="HT52" s="90"/>
      <c r="HU52" s="90"/>
      <c r="HV52" s="90"/>
      <c r="HW52" s="90"/>
      <c r="HX52" s="90"/>
      <c r="HY52" s="90"/>
      <c r="HZ52" s="90"/>
      <c r="IA52" s="90"/>
      <c r="IB52" s="90"/>
      <c r="IC52" s="90"/>
      <c r="ID52" s="90"/>
      <c r="IE52" s="90"/>
      <c r="IF52" s="90"/>
      <c r="IG52" s="90"/>
      <c r="IH52" s="90"/>
      <c r="II52" s="90"/>
      <c r="IJ52" s="90"/>
      <c r="IK52" s="90"/>
      <c r="IL52" s="90"/>
      <c r="IM52" s="90"/>
      <c r="IN52" s="90"/>
      <c r="IO52" s="90"/>
      <c r="IP52" s="90"/>
      <c r="IQ52" s="90"/>
      <c r="IR52" s="90"/>
      <c r="IS52" s="90"/>
      <c r="IT52" s="90"/>
      <c r="IU52" s="90"/>
      <c r="IV52" s="90"/>
      <c r="IW52" s="90"/>
      <c r="IX52" s="90"/>
      <c r="IY52" s="90"/>
      <c r="IZ52" s="90"/>
      <c r="JA52" s="90"/>
      <c r="JB52" s="90"/>
      <c r="JC52" s="90"/>
      <c r="JD52" s="90"/>
      <c r="JE52" s="90"/>
      <c r="JF52" s="90"/>
      <c r="JG52" s="90"/>
      <c r="JH52" s="90"/>
      <c r="JI52" s="90"/>
      <c r="JJ52" s="90"/>
      <c r="JK52" s="90"/>
      <c r="JL52" s="90"/>
      <c r="JM52" s="90"/>
      <c r="JN52" s="90"/>
      <c r="JO52" s="90"/>
      <c r="JP52" s="90"/>
      <c r="JQ52" s="90"/>
      <c r="JR52" s="90"/>
      <c r="JS52" s="90"/>
      <c r="JT52" s="90"/>
      <c r="JU52" s="90"/>
      <c r="JV52" s="90"/>
      <c r="JW52" s="90"/>
      <c r="JX52" s="90"/>
    </row>
    <row r="53" spans="1:284" ht="15" customHeight="1">
      <c r="L53" s="41">
        <f t="shared" ref="L53:AQ53" si="108">SUM(L47,L27,L11)</f>
        <v>0</v>
      </c>
      <c r="M53" s="41">
        <f t="shared" si="108"/>
        <v>0</v>
      </c>
      <c r="N53" s="41">
        <f t="shared" si="108"/>
        <v>0</v>
      </c>
      <c r="O53" s="41">
        <f t="shared" si="108"/>
        <v>0</v>
      </c>
      <c r="P53" s="41">
        <f t="shared" si="108"/>
        <v>0</v>
      </c>
      <c r="Q53" s="41">
        <f t="shared" si="108"/>
        <v>0</v>
      </c>
      <c r="R53" s="41">
        <f t="shared" si="108"/>
        <v>0</v>
      </c>
      <c r="S53" s="41">
        <f t="shared" si="108"/>
        <v>0</v>
      </c>
      <c r="T53" s="41">
        <f t="shared" si="108"/>
        <v>0</v>
      </c>
      <c r="U53" s="41">
        <f t="shared" si="108"/>
        <v>0</v>
      </c>
      <c r="V53" s="41">
        <f t="shared" si="108"/>
        <v>0</v>
      </c>
      <c r="W53" s="41">
        <f t="shared" si="108"/>
        <v>0</v>
      </c>
      <c r="X53" s="41">
        <f t="shared" si="108"/>
        <v>0</v>
      </c>
      <c r="Y53" s="41">
        <f t="shared" si="108"/>
        <v>0</v>
      </c>
      <c r="Z53" s="41">
        <f t="shared" si="108"/>
        <v>0</v>
      </c>
      <c r="AA53" s="41">
        <f t="shared" si="108"/>
        <v>0</v>
      </c>
      <c r="AB53" s="41">
        <f t="shared" si="108"/>
        <v>0</v>
      </c>
      <c r="AC53" s="41">
        <f t="shared" si="108"/>
        <v>0</v>
      </c>
      <c r="AD53" s="84">
        <f t="shared" si="108"/>
        <v>0</v>
      </c>
      <c r="AE53" s="85">
        <f t="shared" si="108"/>
        <v>0</v>
      </c>
      <c r="AF53" s="85">
        <f t="shared" si="108"/>
        <v>0</v>
      </c>
      <c r="AG53" s="85">
        <f t="shared" si="108"/>
        <v>0</v>
      </c>
      <c r="AH53" s="85">
        <f t="shared" si="108"/>
        <v>0</v>
      </c>
      <c r="AI53" s="85">
        <f t="shared" si="108"/>
        <v>0</v>
      </c>
      <c r="AJ53" s="85">
        <f t="shared" si="108"/>
        <v>3</v>
      </c>
      <c r="AK53" s="85">
        <f t="shared" si="108"/>
        <v>1</v>
      </c>
      <c r="AL53" s="85">
        <f t="shared" si="108"/>
        <v>1</v>
      </c>
      <c r="AM53" s="85">
        <f t="shared" si="108"/>
        <v>0</v>
      </c>
      <c r="AN53" s="85">
        <f t="shared" si="108"/>
        <v>0</v>
      </c>
      <c r="AO53" s="85">
        <f t="shared" si="108"/>
        <v>0</v>
      </c>
      <c r="AP53" s="85">
        <f t="shared" si="108"/>
        <v>0</v>
      </c>
      <c r="AQ53" s="85">
        <f t="shared" si="108"/>
        <v>0</v>
      </c>
      <c r="AR53" s="85">
        <f t="shared" ref="AR53:BW53" si="109">SUM(AR47,AR27,AR11)</f>
        <v>0</v>
      </c>
      <c r="AS53" s="85">
        <f t="shared" si="109"/>
        <v>0</v>
      </c>
      <c r="AT53" s="85">
        <f t="shared" si="109"/>
        <v>0</v>
      </c>
      <c r="AU53" s="85">
        <f t="shared" si="109"/>
        <v>0</v>
      </c>
      <c r="AV53" s="85">
        <f t="shared" si="109"/>
        <v>0.75</v>
      </c>
      <c r="AW53" s="85">
        <f t="shared" si="109"/>
        <v>0.75</v>
      </c>
      <c r="AX53" s="85">
        <f t="shared" si="109"/>
        <v>2.25</v>
      </c>
      <c r="AY53" s="85">
        <f t="shared" si="109"/>
        <v>2.25</v>
      </c>
      <c r="AZ53" s="85">
        <f t="shared" si="109"/>
        <v>0</v>
      </c>
      <c r="BA53" s="85">
        <f t="shared" si="109"/>
        <v>0</v>
      </c>
      <c r="BB53" s="85">
        <f t="shared" si="109"/>
        <v>4.5</v>
      </c>
      <c r="BC53" s="85">
        <f t="shared" si="109"/>
        <v>3.5</v>
      </c>
      <c r="BD53" s="85">
        <f t="shared" si="109"/>
        <v>3.5</v>
      </c>
      <c r="BE53" s="85">
        <f t="shared" si="109"/>
        <v>8.3333333333333339</v>
      </c>
      <c r="BF53" s="85">
        <f t="shared" si="109"/>
        <v>9.5833333333333339</v>
      </c>
      <c r="BG53" s="85">
        <f t="shared" si="109"/>
        <v>15.416666666666668</v>
      </c>
      <c r="BH53" s="85">
        <f t="shared" si="109"/>
        <v>8.3333333333333339</v>
      </c>
      <c r="BI53" s="85">
        <f t="shared" si="109"/>
        <v>22.083333333333336</v>
      </c>
      <c r="BJ53" s="85">
        <f t="shared" si="109"/>
        <v>11.25</v>
      </c>
      <c r="BK53" s="85">
        <f t="shared" si="109"/>
        <v>2.5</v>
      </c>
      <c r="BL53" s="85">
        <f t="shared" si="109"/>
        <v>0</v>
      </c>
      <c r="BM53" s="85">
        <f t="shared" si="109"/>
        <v>0</v>
      </c>
      <c r="BN53" s="85">
        <f t="shared" si="109"/>
        <v>0</v>
      </c>
      <c r="BO53" s="85">
        <f t="shared" si="109"/>
        <v>0</v>
      </c>
      <c r="BP53" s="85">
        <f t="shared" si="109"/>
        <v>0</v>
      </c>
      <c r="BQ53" s="85">
        <f t="shared" si="109"/>
        <v>0</v>
      </c>
      <c r="BR53" s="85">
        <f t="shared" si="109"/>
        <v>0</v>
      </c>
      <c r="BS53" s="85">
        <f t="shared" si="109"/>
        <v>0</v>
      </c>
      <c r="BT53" s="85">
        <f t="shared" si="109"/>
        <v>0</v>
      </c>
      <c r="BU53" s="85">
        <f t="shared" si="109"/>
        <v>0</v>
      </c>
      <c r="BV53" s="85">
        <f t="shared" si="109"/>
        <v>0</v>
      </c>
      <c r="BW53" s="85">
        <f t="shared" si="109"/>
        <v>0</v>
      </c>
      <c r="BX53" s="85">
        <f t="shared" ref="BX53:DC53" si="110">SUM(BX47,BX27,BX11)</f>
        <v>0</v>
      </c>
      <c r="BY53" s="85">
        <f t="shared" si="110"/>
        <v>0</v>
      </c>
      <c r="BZ53" s="85">
        <f t="shared" si="110"/>
        <v>0</v>
      </c>
      <c r="CA53" s="85">
        <f t="shared" si="110"/>
        <v>0</v>
      </c>
      <c r="CB53" s="85">
        <f t="shared" si="110"/>
        <v>0</v>
      </c>
      <c r="CC53" s="85">
        <f t="shared" si="110"/>
        <v>0</v>
      </c>
      <c r="CD53" s="85">
        <f t="shared" si="110"/>
        <v>0</v>
      </c>
      <c r="CE53" s="85">
        <f t="shared" si="110"/>
        <v>0</v>
      </c>
      <c r="CF53" s="85">
        <f t="shared" si="110"/>
        <v>0</v>
      </c>
      <c r="CG53" s="85">
        <f t="shared" si="110"/>
        <v>0</v>
      </c>
      <c r="CH53" s="85">
        <f t="shared" si="110"/>
        <v>0</v>
      </c>
      <c r="CI53" s="85">
        <f t="shared" si="110"/>
        <v>0</v>
      </c>
      <c r="CJ53" s="85">
        <f t="shared" si="110"/>
        <v>0</v>
      </c>
      <c r="CK53" s="85">
        <f t="shared" si="110"/>
        <v>0</v>
      </c>
      <c r="CL53" s="85">
        <f t="shared" si="110"/>
        <v>0</v>
      </c>
      <c r="CM53" s="85">
        <f t="shared" si="110"/>
        <v>0</v>
      </c>
      <c r="CN53" s="85">
        <f t="shared" si="110"/>
        <v>0</v>
      </c>
      <c r="CO53" s="85">
        <f t="shared" si="110"/>
        <v>0</v>
      </c>
      <c r="CP53" s="85">
        <f t="shared" si="110"/>
        <v>0</v>
      </c>
      <c r="CQ53" s="85">
        <f t="shared" si="110"/>
        <v>0</v>
      </c>
      <c r="CR53" s="85">
        <f t="shared" si="110"/>
        <v>0</v>
      </c>
      <c r="CS53" s="85">
        <f t="shared" si="110"/>
        <v>0</v>
      </c>
      <c r="CT53" s="85">
        <f t="shared" si="110"/>
        <v>0</v>
      </c>
      <c r="CU53" s="85">
        <f t="shared" si="110"/>
        <v>0</v>
      </c>
      <c r="CV53" s="85">
        <f t="shared" si="110"/>
        <v>0</v>
      </c>
      <c r="CW53" s="85">
        <f t="shared" si="110"/>
        <v>0</v>
      </c>
      <c r="CX53" s="85">
        <f t="shared" si="110"/>
        <v>0</v>
      </c>
      <c r="CY53" s="85">
        <f t="shared" si="110"/>
        <v>0</v>
      </c>
      <c r="CZ53" s="85">
        <f t="shared" si="110"/>
        <v>0</v>
      </c>
      <c r="DA53" s="85">
        <f t="shared" si="110"/>
        <v>0</v>
      </c>
      <c r="DB53" s="85">
        <f t="shared" si="110"/>
        <v>0</v>
      </c>
      <c r="DC53" s="85">
        <f t="shared" si="110"/>
        <v>0</v>
      </c>
      <c r="DD53" s="85">
        <f t="shared" ref="DD53:DL53" si="111">SUM(DD47,DD27,DD11)</f>
        <v>0</v>
      </c>
      <c r="DE53" s="85">
        <f t="shared" si="111"/>
        <v>0</v>
      </c>
      <c r="DF53" s="85">
        <f t="shared" si="111"/>
        <v>0</v>
      </c>
      <c r="DG53" s="85">
        <f t="shared" si="111"/>
        <v>0</v>
      </c>
      <c r="DH53" s="85">
        <f t="shared" si="111"/>
        <v>0</v>
      </c>
      <c r="DI53" s="85">
        <f t="shared" si="111"/>
        <v>0</v>
      </c>
      <c r="DJ53" s="85">
        <f t="shared" si="111"/>
        <v>0</v>
      </c>
      <c r="DK53" s="85">
        <f t="shared" si="111"/>
        <v>0</v>
      </c>
      <c r="DL53" s="86">
        <f t="shared" si="111"/>
        <v>0</v>
      </c>
    </row>
    <row r="54" spans="1:284" ht="15" customHeight="1">
      <c r="L54" s="41">
        <f>L53</f>
        <v>0</v>
      </c>
      <c r="M54" s="42">
        <f>L54+M53</f>
        <v>0</v>
      </c>
      <c r="N54" s="42">
        <f t="shared" ref="N54:BY54" si="112">M54+N53</f>
        <v>0</v>
      </c>
      <c r="O54" s="42">
        <f t="shared" si="112"/>
        <v>0</v>
      </c>
      <c r="P54" s="42">
        <f t="shared" si="112"/>
        <v>0</v>
      </c>
      <c r="Q54" s="42">
        <f t="shared" si="112"/>
        <v>0</v>
      </c>
      <c r="R54" s="42">
        <f t="shared" si="112"/>
        <v>0</v>
      </c>
      <c r="S54" s="42">
        <f t="shared" si="112"/>
        <v>0</v>
      </c>
      <c r="T54" s="42">
        <f t="shared" si="112"/>
        <v>0</v>
      </c>
      <c r="U54" s="42">
        <f t="shared" si="112"/>
        <v>0</v>
      </c>
      <c r="V54" s="42">
        <f t="shared" si="112"/>
        <v>0</v>
      </c>
      <c r="W54" s="42">
        <f t="shared" si="112"/>
        <v>0</v>
      </c>
      <c r="X54" s="42">
        <f t="shared" si="112"/>
        <v>0</v>
      </c>
      <c r="Y54" s="42">
        <f t="shared" si="112"/>
        <v>0</v>
      </c>
      <c r="Z54" s="42">
        <f t="shared" si="112"/>
        <v>0</v>
      </c>
      <c r="AA54" s="42">
        <f t="shared" si="112"/>
        <v>0</v>
      </c>
      <c r="AB54" s="42">
        <f t="shared" si="112"/>
        <v>0</v>
      </c>
      <c r="AC54" s="42">
        <f t="shared" si="112"/>
        <v>0</v>
      </c>
      <c r="AD54" s="43">
        <f t="shared" si="112"/>
        <v>0</v>
      </c>
      <c r="AE54" s="44">
        <f t="shared" si="112"/>
        <v>0</v>
      </c>
      <c r="AF54" s="44">
        <f t="shared" si="112"/>
        <v>0</v>
      </c>
      <c r="AG54" s="44">
        <f t="shared" si="112"/>
        <v>0</v>
      </c>
      <c r="AH54" s="44">
        <f t="shared" si="112"/>
        <v>0</v>
      </c>
      <c r="AI54" s="44">
        <f t="shared" si="112"/>
        <v>0</v>
      </c>
      <c r="AJ54" s="44">
        <f t="shared" si="112"/>
        <v>3</v>
      </c>
      <c r="AK54" s="44">
        <f t="shared" si="112"/>
        <v>4</v>
      </c>
      <c r="AL54" s="44">
        <f t="shared" si="112"/>
        <v>5</v>
      </c>
      <c r="AM54" s="44">
        <f t="shared" si="112"/>
        <v>5</v>
      </c>
      <c r="AN54" s="44">
        <f t="shared" si="112"/>
        <v>5</v>
      </c>
      <c r="AO54" s="44">
        <f t="shared" si="112"/>
        <v>5</v>
      </c>
      <c r="AP54" s="44">
        <f t="shared" si="112"/>
        <v>5</v>
      </c>
      <c r="AQ54" s="44">
        <f t="shared" si="112"/>
        <v>5</v>
      </c>
      <c r="AR54" s="44">
        <f t="shared" si="112"/>
        <v>5</v>
      </c>
      <c r="AS54" s="44">
        <f t="shared" si="112"/>
        <v>5</v>
      </c>
      <c r="AT54" s="44">
        <f t="shared" si="112"/>
        <v>5</v>
      </c>
      <c r="AU54" s="44">
        <f t="shared" si="112"/>
        <v>5</v>
      </c>
      <c r="AV54" s="44">
        <f t="shared" si="112"/>
        <v>5.75</v>
      </c>
      <c r="AW54" s="44">
        <f t="shared" si="112"/>
        <v>6.5</v>
      </c>
      <c r="AX54" s="44">
        <f t="shared" si="112"/>
        <v>8.75</v>
      </c>
      <c r="AY54" s="44">
        <f t="shared" si="112"/>
        <v>11</v>
      </c>
      <c r="AZ54" s="44">
        <f t="shared" si="112"/>
        <v>11</v>
      </c>
      <c r="BA54" s="44">
        <f t="shared" si="112"/>
        <v>11</v>
      </c>
      <c r="BB54" s="44">
        <f t="shared" si="112"/>
        <v>15.5</v>
      </c>
      <c r="BC54" s="44">
        <f t="shared" si="112"/>
        <v>19</v>
      </c>
      <c r="BD54" s="44">
        <f t="shared" si="112"/>
        <v>22.5</v>
      </c>
      <c r="BE54" s="44">
        <f t="shared" si="112"/>
        <v>30.833333333333336</v>
      </c>
      <c r="BF54" s="44">
        <f t="shared" si="112"/>
        <v>40.416666666666671</v>
      </c>
      <c r="BG54" s="44">
        <f t="shared" si="112"/>
        <v>55.833333333333343</v>
      </c>
      <c r="BH54" s="44">
        <f t="shared" si="112"/>
        <v>64.166666666666671</v>
      </c>
      <c r="BI54" s="44">
        <f t="shared" si="112"/>
        <v>86.25</v>
      </c>
      <c r="BJ54" s="44">
        <f t="shared" si="112"/>
        <v>97.5</v>
      </c>
      <c r="BK54" s="44">
        <f t="shared" si="112"/>
        <v>100</v>
      </c>
      <c r="BL54" s="44">
        <f t="shared" si="112"/>
        <v>100</v>
      </c>
      <c r="BM54" s="44">
        <f t="shared" si="112"/>
        <v>100</v>
      </c>
      <c r="BN54" s="44">
        <f t="shared" si="112"/>
        <v>100</v>
      </c>
      <c r="BO54" s="44">
        <f t="shared" si="112"/>
        <v>100</v>
      </c>
      <c r="BP54" s="44">
        <f t="shared" si="112"/>
        <v>100</v>
      </c>
      <c r="BQ54" s="44">
        <f t="shared" si="112"/>
        <v>100</v>
      </c>
      <c r="BR54" s="44">
        <f t="shared" si="112"/>
        <v>100</v>
      </c>
      <c r="BS54" s="44">
        <f t="shared" si="112"/>
        <v>100</v>
      </c>
      <c r="BT54" s="44">
        <f t="shared" si="112"/>
        <v>100</v>
      </c>
      <c r="BU54" s="44">
        <f t="shared" si="112"/>
        <v>100</v>
      </c>
      <c r="BV54" s="44">
        <f t="shared" si="112"/>
        <v>100</v>
      </c>
      <c r="BW54" s="44">
        <f t="shared" si="112"/>
        <v>100</v>
      </c>
      <c r="BX54" s="44">
        <f t="shared" si="112"/>
        <v>100</v>
      </c>
      <c r="BY54" s="44">
        <f t="shared" si="112"/>
        <v>100</v>
      </c>
      <c r="BZ54" s="44">
        <f t="shared" ref="BZ54:DL54" si="113">BY54+BZ53</f>
        <v>100</v>
      </c>
      <c r="CA54" s="44">
        <f t="shared" si="113"/>
        <v>100</v>
      </c>
      <c r="CB54" s="44">
        <f t="shared" si="113"/>
        <v>100</v>
      </c>
      <c r="CC54" s="44">
        <f t="shared" si="113"/>
        <v>100</v>
      </c>
      <c r="CD54" s="44">
        <f t="shared" si="113"/>
        <v>100</v>
      </c>
      <c r="CE54" s="44">
        <f t="shared" si="113"/>
        <v>100</v>
      </c>
      <c r="CF54" s="44">
        <f t="shared" si="113"/>
        <v>100</v>
      </c>
      <c r="CG54" s="44">
        <f t="shared" si="113"/>
        <v>100</v>
      </c>
      <c r="CH54" s="44">
        <f t="shared" si="113"/>
        <v>100</v>
      </c>
      <c r="CI54" s="44">
        <f t="shared" si="113"/>
        <v>100</v>
      </c>
      <c r="CJ54" s="44">
        <f t="shared" si="113"/>
        <v>100</v>
      </c>
      <c r="CK54" s="44">
        <f t="shared" si="113"/>
        <v>100</v>
      </c>
      <c r="CL54" s="44">
        <f t="shared" si="113"/>
        <v>100</v>
      </c>
      <c r="CM54" s="44">
        <f t="shared" si="113"/>
        <v>100</v>
      </c>
      <c r="CN54" s="44">
        <f t="shared" si="113"/>
        <v>100</v>
      </c>
      <c r="CO54" s="44">
        <f t="shared" si="113"/>
        <v>100</v>
      </c>
      <c r="CP54" s="44">
        <f t="shared" si="113"/>
        <v>100</v>
      </c>
      <c r="CQ54" s="44">
        <f t="shared" si="113"/>
        <v>100</v>
      </c>
      <c r="CR54" s="44">
        <f t="shared" si="113"/>
        <v>100</v>
      </c>
      <c r="CS54" s="44">
        <f t="shared" si="113"/>
        <v>100</v>
      </c>
      <c r="CT54" s="44">
        <f t="shared" si="113"/>
        <v>100</v>
      </c>
      <c r="CU54" s="44">
        <f t="shared" si="113"/>
        <v>100</v>
      </c>
      <c r="CV54" s="44">
        <f t="shared" si="113"/>
        <v>100</v>
      </c>
      <c r="CW54" s="44">
        <f t="shared" si="113"/>
        <v>100</v>
      </c>
      <c r="CX54" s="44">
        <f t="shared" si="113"/>
        <v>100</v>
      </c>
      <c r="CY54" s="44">
        <f t="shared" si="113"/>
        <v>100</v>
      </c>
      <c r="CZ54" s="44">
        <f t="shared" si="113"/>
        <v>100</v>
      </c>
      <c r="DA54" s="44">
        <f t="shared" si="113"/>
        <v>100</v>
      </c>
      <c r="DB54" s="44">
        <f t="shared" si="113"/>
        <v>100</v>
      </c>
      <c r="DC54" s="44">
        <f t="shared" si="113"/>
        <v>100</v>
      </c>
      <c r="DD54" s="44">
        <f t="shared" si="113"/>
        <v>100</v>
      </c>
      <c r="DE54" s="44">
        <f t="shared" si="113"/>
        <v>100</v>
      </c>
      <c r="DF54" s="44">
        <f t="shared" si="113"/>
        <v>100</v>
      </c>
      <c r="DG54" s="44">
        <f t="shared" si="113"/>
        <v>100</v>
      </c>
      <c r="DH54" s="44">
        <f t="shared" si="113"/>
        <v>100</v>
      </c>
      <c r="DI54" s="44">
        <f t="shared" si="113"/>
        <v>100</v>
      </c>
      <c r="DJ54" s="44">
        <f t="shared" si="113"/>
        <v>100</v>
      </c>
      <c r="DK54" s="44">
        <f t="shared" si="113"/>
        <v>100</v>
      </c>
      <c r="DL54" s="45">
        <f t="shared" si="113"/>
        <v>100</v>
      </c>
    </row>
    <row r="55" spans="1:284" ht="15" customHeight="1">
      <c r="L55" s="40">
        <f t="shared" ref="L55:AQ55" si="114">L48+L28+L12</f>
        <v>0</v>
      </c>
      <c r="M55" s="40">
        <f t="shared" si="114"/>
        <v>0</v>
      </c>
      <c r="N55" s="40">
        <f t="shared" si="114"/>
        <v>0</v>
      </c>
      <c r="O55" s="40">
        <f t="shared" si="114"/>
        <v>0</v>
      </c>
      <c r="P55" s="40">
        <f t="shared" si="114"/>
        <v>0</v>
      </c>
      <c r="Q55" s="40">
        <f t="shared" si="114"/>
        <v>0</v>
      </c>
      <c r="R55" s="40">
        <f t="shared" si="114"/>
        <v>0</v>
      </c>
      <c r="S55" s="40">
        <f t="shared" si="114"/>
        <v>0</v>
      </c>
      <c r="T55" s="40">
        <f t="shared" si="114"/>
        <v>0</v>
      </c>
      <c r="U55" s="40">
        <f t="shared" si="114"/>
        <v>0</v>
      </c>
      <c r="V55" s="40">
        <f t="shared" si="114"/>
        <v>0</v>
      </c>
      <c r="W55" s="40">
        <f t="shared" si="114"/>
        <v>0</v>
      </c>
      <c r="X55" s="40">
        <f t="shared" si="114"/>
        <v>0</v>
      </c>
      <c r="Y55" s="40">
        <f t="shared" si="114"/>
        <v>0</v>
      </c>
      <c r="Z55" s="40">
        <f t="shared" si="114"/>
        <v>0</v>
      </c>
      <c r="AA55" s="40">
        <f t="shared" si="114"/>
        <v>0</v>
      </c>
      <c r="AB55" s="40">
        <f t="shared" si="114"/>
        <v>0</v>
      </c>
      <c r="AC55" s="40">
        <f t="shared" si="114"/>
        <v>0</v>
      </c>
      <c r="AD55" s="46">
        <f t="shared" si="114"/>
        <v>0</v>
      </c>
      <c r="AE55" s="47">
        <f t="shared" si="114"/>
        <v>0</v>
      </c>
      <c r="AF55" s="47">
        <f t="shared" si="114"/>
        <v>0</v>
      </c>
      <c r="AG55" s="47">
        <f t="shared" si="114"/>
        <v>0</v>
      </c>
      <c r="AH55" s="47">
        <f t="shared" si="114"/>
        <v>0</v>
      </c>
      <c r="AI55" s="47">
        <f t="shared" si="114"/>
        <v>0</v>
      </c>
      <c r="AJ55" s="47">
        <f t="shared" si="114"/>
        <v>0</v>
      </c>
      <c r="AK55" s="47">
        <f t="shared" si="114"/>
        <v>0</v>
      </c>
      <c r="AL55" s="47">
        <f t="shared" si="114"/>
        <v>0</v>
      </c>
      <c r="AM55" s="47">
        <f t="shared" si="114"/>
        <v>0</v>
      </c>
      <c r="AN55" s="47">
        <f t="shared" si="114"/>
        <v>0</v>
      </c>
      <c r="AO55" s="47">
        <f t="shared" si="114"/>
        <v>0</v>
      </c>
      <c r="AP55" s="47">
        <f t="shared" si="114"/>
        <v>0</v>
      </c>
      <c r="AQ55" s="47">
        <f t="shared" si="114"/>
        <v>0</v>
      </c>
      <c r="AR55" s="47">
        <f t="shared" ref="AR55:BW55" si="115">AR48+AR28+AR12</f>
        <v>0</v>
      </c>
      <c r="AS55" s="47">
        <f t="shared" si="115"/>
        <v>0</v>
      </c>
      <c r="AT55" s="47">
        <f t="shared" si="115"/>
        <v>0</v>
      </c>
      <c r="AU55" s="47">
        <f t="shared" si="115"/>
        <v>0</v>
      </c>
      <c r="AV55" s="47">
        <f t="shared" si="115"/>
        <v>0</v>
      </c>
      <c r="AW55" s="47">
        <f t="shared" si="115"/>
        <v>0</v>
      </c>
      <c r="AX55" s="47">
        <f t="shared" si="115"/>
        <v>0</v>
      </c>
      <c r="AY55" s="47">
        <f t="shared" si="115"/>
        <v>0</v>
      </c>
      <c r="AZ55" s="47">
        <f t="shared" si="115"/>
        <v>0</v>
      </c>
      <c r="BA55" s="47">
        <f t="shared" si="115"/>
        <v>0</v>
      </c>
      <c r="BB55" s="47">
        <f t="shared" si="115"/>
        <v>0</v>
      </c>
      <c r="BC55" s="47">
        <f t="shared" si="115"/>
        <v>0</v>
      </c>
      <c r="BD55" s="47">
        <f t="shared" si="115"/>
        <v>0</v>
      </c>
      <c r="BE55" s="47">
        <f t="shared" si="115"/>
        <v>0</v>
      </c>
      <c r="BF55" s="47">
        <f t="shared" si="115"/>
        <v>0</v>
      </c>
      <c r="BG55" s="47">
        <f t="shared" si="115"/>
        <v>0</v>
      </c>
      <c r="BH55" s="47">
        <f t="shared" si="115"/>
        <v>0</v>
      </c>
      <c r="BI55" s="47">
        <f t="shared" si="115"/>
        <v>0</v>
      </c>
      <c r="BJ55" s="47">
        <f t="shared" si="115"/>
        <v>0</v>
      </c>
      <c r="BK55" s="47">
        <f t="shared" si="115"/>
        <v>0</v>
      </c>
      <c r="BL55" s="47">
        <f t="shared" si="115"/>
        <v>0</v>
      </c>
      <c r="BM55" s="47">
        <f t="shared" si="115"/>
        <v>0</v>
      </c>
      <c r="BN55" s="47">
        <f t="shared" si="115"/>
        <v>0</v>
      </c>
      <c r="BO55" s="47">
        <f t="shared" si="115"/>
        <v>0</v>
      </c>
      <c r="BP55" s="47">
        <f t="shared" si="115"/>
        <v>0</v>
      </c>
      <c r="BQ55" s="47">
        <f t="shared" si="115"/>
        <v>0</v>
      </c>
      <c r="BR55" s="47">
        <f t="shared" si="115"/>
        <v>0</v>
      </c>
      <c r="BS55" s="47">
        <f t="shared" si="115"/>
        <v>0</v>
      </c>
      <c r="BT55" s="47">
        <f t="shared" si="115"/>
        <v>0</v>
      </c>
      <c r="BU55" s="47">
        <f t="shared" si="115"/>
        <v>0</v>
      </c>
      <c r="BV55" s="47">
        <f t="shared" si="115"/>
        <v>0</v>
      </c>
      <c r="BW55" s="47">
        <f t="shared" si="115"/>
        <v>0</v>
      </c>
      <c r="BX55" s="47">
        <f t="shared" ref="BX55:DC55" si="116">BX48+BX28+BX12</f>
        <v>0</v>
      </c>
      <c r="BY55" s="47">
        <f t="shared" si="116"/>
        <v>0</v>
      </c>
      <c r="BZ55" s="47">
        <f t="shared" si="116"/>
        <v>0</v>
      </c>
      <c r="CA55" s="47">
        <f t="shared" si="116"/>
        <v>0</v>
      </c>
      <c r="CB55" s="47">
        <f t="shared" si="116"/>
        <v>0</v>
      </c>
      <c r="CC55" s="47">
        <f t="shared" si="116"/>
        <v>0</v>
      </c>
      <c r="CD55" s="47">
        <f t="shared" si="116"/>
        <v>0</v>
      </c>
      <c r="CE55" s="47">
        <f t="shared" si="116"/>
        <v>0</v>
      </c>
      <c r="CF55" s="47">
        <f t="shared" si="116"/>
        <v>0</v>
      </c>
      <c r="CG55" s="47">
        <f t="shared" si="116"/>
        <v>0</v>
      </c>
      <c r="CH55" s="47">
        <f t="shared" si="116"/>
        <v>0</v>
      </c>
      <c r="CI55" s="47">
        <f t="shared" si="116"/>
        <v>0</v>
      </c>
      <c r="CJ55" s="47">
        <f t="shared" si="116"/>
        <v>0</v>
      </c>
      <c r="CK55" s="47">
        <f t="shared" si="116"/>
        <v>0</v>
      </c>
      <c r="CL55" s="47">
        <f t="shared" si="116"/>
        <v>0</v>
      </c>
      <c r="CM55" s="47">
        <f t="shared" si="116"/>
        <v>0</v>
      </c>
      <c r="CN55" s="47">
        <f t="shared" si="116"/>
        <v>0</v>
      </c>
      <c r="CO55" s="47">
        <f t="shared" si="116"/>
        <v>0</v>
      </c>
      <c r="CP55" s="47">
        <f t="shared" si="116"/>
        <v>0</v>
      </c>
      <c r="CQ55" s="47">
        <f t="shared" si="116"/>
        <v>0</v>
      </c>
      <c r="CR55" s="47">
        <f t="shared" si="116"/>
        <v>0</v>
      </c>
      <c r="CS55" s="47">
        <f t="shared" si="116"/>
        <v>0</v>
      </c>
      <c r="CT55" s="47">
        <f t="shared" si="116"/>
        <v>0</v>
      </c>
      <c r="CU55" s="47">
        <f t="shared" si="116"/>
        <v>0</v>
      </c>
      <c r="CV55" s="47">
        <f t="shared" si="116"/>
        <v>0</v>
      </c>
      <c r="CW55" s="47">
        <f t="shared" si="116"/>
        <v>0</v>
      </c>
      <c r="CX55" s="47">
        <f t="shared" si="116"/>
        <v>0</v>
      </c>
      <c r="CY55" s="47">
        <f t="shared" si="116"/>
        <v>0</v>
      </c>
      <c r="CZ55" s="47">
        <f t="shared" si="116"/>
        <v>0</v>
      </c>
      <c r="DA55" s="47">
        <f t="shared" si="116"/>
        <v>0</v>
      </c>
      <c r="DB55" s="47">
        <f t="shared" si="116"/>
        <v>0</v>
      </c>
      <c r="DC55" s="47">
        <f t="shared" si="116"/>
        <v>0</v>
      </c>
      <c r="DD55" s="47">
        <f t="shared" ref="DD55:DL55" si="117">DD48+DD28+DD12</f>
        <v>0</v>
      </c>
      <c r="DE55" s="47">
        <f t="shared" si="117"/>
        <v>0</v>
      </c>
      <c r="DF55" s="47">
        <f t="shared" si="117"/>
        <v>0</v>
      </c>
      <c r="DG55" s="47">
        <f t="shared" si="117"/>
        <v>0</v>
      </c>
      <c r="DH55" s="47">
        <f t="shared" si="117"/>
        <v>0</v>
      </c>
      <c r="DI55" s="47">
        <f t="shared" si="117"/>
        <v>0</v>
      </c>
      <c r="DJ55" s="47">
        <f t="shared" si="117"/>
        <v>0</v>
      </c>
      <c r="DK55" s="47">
        <f t="shared" si="117"/>
        <v>0</v>
      </c>
      <c r="DL55" s="48">
        <f t="shared" si="117"/>
        <v>0</v>
      </c>
    </row>
    <row r="56" spans="1:284" ht="15" customHeight="1" thickBot="1">
      <c r="L56" s="40">
        <f>L55</f>
        <v>0</v>
      </c>
      <c r="M56" s="40">
        <f>L56+M55</f>
        <v>0</v>
      </c>
      <c r="N56" s="40">
        <f t="shared" ref="N56:BY56" si="118">M56+N55</f>
        <v>0</v>
      </c>
      <c r="O56" s="40">
        <f t="shared" si="118"/>
        <v>0</v>
      </c>
      <c r="P56" s="40">
        <f t="shared" si="118"/>
        <v>0</v>
      </c>
      <c r="Q56" s="40">
        <f t="shared" si="118"/>
        <v>0</v>
      </c>
      <c r="R56" s="40">
        <f t="shared" si="118"/>
        <v>0</v>
      </c>
      <c r="S56" s="40">
        <f t="shared" si="118"/>
        <v>0</v>
      </c>
      <c r="T56" s="40">
        <f t="shared" si="118"/>
        <v>0</v>
      </c>
      <c r="U56" s="40">
        <f t="shared" si="118"/>
        <v>0</v>
      </c>
      <c r="V56" s="40">
        <f t="shared" si="118"/>
        <v>0</v>
      </c>
      <c r="W56" s="40">
        <f t="shared" si="118"/>
        <v>0</v>
      </c>
      <c r="X56" s="40">
        <f t="shared" si="118"/>
        <v>0</v>
      </c>
      <c r="Y56" s="40">
        <f t="shared" si="118"/>
        <v>0</v>
      </c>
      <c r="Z56" s="40">
        <f t="shared" si="118"/>
        <v>0</v>
      </c>
      <c r="AA56" s="40">
        <f t="shared" si="118"/>
        <v>0</v>
      </c>
      <c r="AB56" s="40">
        <f t="shared" si="118"/>
        <v>0</v>
      </c>
      <c r="AC56" s="40">
        <f t="shared" si="118"/>
        <v>0</v>
      </c>
      <c r="AD56" s="49">
        <f t="shared" si="118"/>
        <v>0</v>
      </c>
      <c r="AE56" s="50">
        <f t="shared" si="118"/>
        <v>0</v>
      </c>
      <c r="AF56" s="50">
        <f t="shared" si="118"/>
        <v>0</v>
      </c>
      <c r="AG56" s="50">
        <f t="shared" si="118"/>
        <v>0</v>
      </c>
      <c r="AH56" s="50">
        <f t="shared" si="118"/>
        <v>0</v>
      </c>
      <c r="AI56" s="50">
        <f t="shared" si="118"/>
        <v>0</v>
      </c>
      <c r="AJ56" s="50">
        <f t="shared" si="118"/>
        <v>0</v>
      </c>
      <c r="AK56" s="50">
        <f t="shared" si="118"/>
        <v>0</v>
      </c>
      <c r="AL56" s="50">
        <f t="shared" si="118"/>
        <v>0</v>
      </c>
      <c r="AM56" s="50">
        <f t="shared" si="118"/>
        <v>0</v>
      </c>
      <c r="AN56" s="50">
        <f t="shared" si="118"/>
        <v>0</v>
      </c>
      <c r="AO56" s="50">
        <f t="shared" si="118"/>
        <v>0</v>
      </c>
      <c r="AP56" s="50">
        <f t="shared" si="118"/>
        <v>0</v>
      </c>
      <c r="AQ56" s="50">
        <f t="shared" si="118"/>
        <v>0</v>
      </c>
      <c r="AR56" s="50">
        <f t="shared" si="118"/>
        <v>0</v>
      </c>
      <c r="AS56" s="50">
        <f t="shared" si="118"/>
        <v>0</v>
      </c>
      <c r="AT56" s="50">
        <f t="shared" si="118"/>
        <v>0</v>
      </c>
      <c r="AU56" s="50">
        <f t="shared" si="118"/>
        <v>0</v>
      </c>
      <c r="AV56" s="50">
        <f t="shared" si="118"/>
        <v>0</v>
      </c>
      <c r="AW56" s="50">
        <f t="shared" si="118"/>
        <v>0</v>
      </c>
      <c r="AX56" s="50">
        <f t="shared" si="118"/>
        <v>0</v>
      </c>
      <c r="AY56" s="50">
        <f t="shared" si="118"/>
        <v>0</v>
      </c>
      <c r="AZ56" s="50">
        <f t="shared" si="118"/>
        <v>0</v>
      </c>
      <c r="BA56" s="50">
        <f t="shared" si="118"/>
        <v>0</v>
      </c>
      <c r="BB56" s="50">
        <f t="shared" si="118"/>
        <v>0</v>
      </c>
      <c r="BC56" s="50">
        <f t="shared" si="118"/>
        <v>0</v>
      </c>
      <c r="BD56" s="50">
        <f t="shared" si="118"/>
        <v>0</v>
      </c>
      <c r="BE56" s="50">
        <f t="shared" si="118"/>
        <v>0</v>
      </c>
      <c r="BF56" s="50">
        <f t="shared" si="118"/>
        <v>0</v>
      </c>
      <c r="BG56" s="50">
        <f t="shared" si="118"/>
        <v>0</v>
      </c>
      <c r="BH56" s="50">
        <f t="shared" si="118"/>
        <v>0</v>
      </c>
      <c r="BI56" s="50">
        <f t="shared" si="118"/>
        <v>0</v>
      </c>
      <c r="BJ56" s="50">
        <f t="shared" si="118"/>
        <v>0</v>
      </c>
      <c r="BK56" s="50">
        <f t="shared" si="118"/>
        <v>0</v>
      </c>
      <c r="BL56" s="50">
        <f t="shared" si="118"/>
        <v>0</v>
      </c>
      <c r="BM56" s="50">
        <f t="shared" si="118"/>
        <v>0</v>
      </c>
      <c r="BN56" s="50">
        <f t="shared" si="118"/>
        <v>0</v>
      </c>
      <c r="BO56" s="50">
        <f t="shared" si="118"/>
        <v>0</v>
      </c>
      <c r="BP56" s="50">
        <f t="shared" si="118"/>
        <v>0</v>
      </c>
      <c r="BQ56" s="50">
        <f t="shared" si="118"/>
        <v>0</v>
      </c>
      <c r="BR56" s="50">
        <f t="shared" si="118"/>
        <v>0</v>
      </c>
      <c r="BS56" s="50">
        <f t="shared" si="118"/>
        <v>0</v>
      </c>
      <c r="BT56" s="50">
        <f t="shared" si="118"/>
        <v>0</v>
      </c>
      <c r="BU56" s="50">
        <f t="shared" si="118"/>
        <v>0</v>
      </c>
      <c r="BV56" s="50">
        <f t="shared" si="118"/>
        <v>0</v>
      </c>
      <c r="BW56" s="50">
        <f t="shared" si="118"/>
        <v>0</v>
      </c>
      <c r="BX56" s="50">
        <f t="shared" si="118"/>
        <v>0</v>
      </c>
      <c r="BY56" s="50">
        <f t="shared" si="118"/>
        <v>0</v>
      </c>
      <c r="BZ56" s="50">
        <f t="shared" ref="BZ56:DL56" si="119">BY56+BZ55</f>
        <v>0</v>
      </c>
      <c r="CA56" s="50">
        <f t="shared" si="119"/>
        <v>0</v>
      </c>
      <c r="CB56" s="50">
        <f t="shared" si="119"/>
        <v>0</v>
      </c>
      <c r="CC56" s="50">
        <f t="shared" si="119"/>
        <v>0</v>
      </c>
      <c r="CD56" s="50">
        <f t="shared" si="119"/>
        <v>0</v>
      </c>
      <c r="CE56" s="50">
        <f t="shared" si="119"/>
        <v>0</v>
      </c>
      <c r="CF56" s="50">
        <f t="shared" si="119"/>
        <v>0</v>
      </c>
      <c r="CG56" s="50">
        <f t="shared" si="119"/>
        <v>0</v>
      </c>
      <c r="CH56" s="50">
        <f t="shared" si="119"/>
        <v>0</v>
      </c>
      <c r="CI56" s="50">
        <f t="shared" si="119"/>
        <v>0</v>
      </c>
      <c r="CJ56" s="50">
        <f t="shared" si="119"/>
        <v>0</v>
      </c>
      <c r="CK56" s="50">
        <f t="shared" si="119"/>
        <v>0</v>
      </c>
      <c r="CL56" s="50">
        <f t="shared" si="119"/>
        <v>0</v>
      </c>
      <c r="CM56" s="50">
        <f t="shared" si="119"/>
        <v>0</v>
      </c>
      <c r="CN56" s="50">
        <f t="shared" si="119"/>
        <v>0</v>
      </c>
      <c r="CO56" s="50">
        <f t="shared" si="119"/>
        <v>0</v>
      </c>
      <c r="CP56" s="50">
        <f t="shared" si="119"/>
        <v>0</v>
      </c>
      <c r="CQ56" s="50">
        <f t="shared" si="119"/>
        <v>0</v>
      </c>
      <c r="CR56" s="50">
        <f t="shared" si="119"/>
        <v>0</v>
      </c>
      <c r="CS56" s="50">
        <f t="shared" si="119"/>
        <v>0</v>
      </c>
      <c r="CT56" s="50">
        <f t="shared" si="119"/>
        <v>0</v>
      </c>
      <c r="CU56" s="50">
        <f t="shared" si="119"/>
        <v>0</v>
      </c>
      <c r="CV56" s="50">
        <f t="shared" si="119"/>
        <v>0</v>
      </c>
      <c r="CW56" s="50">
        <f t="shared" si="119"/>
        <v>0</v>
      </c>
      <c r="CX56" s="50">
        <f t="shared" si="119"/>
        <v>0</v>
      </c>
      <c r="CY56" s="50">
        <f t="shared" si="119"/>
        <v>0</v>
      </c>
      <c r="CZ56" s="50">
        <f t="shared" si="119"/>
        <v>0</v>
      </c>
      <c r="DA56" s="50">
        <f t="shared" si="119"/>
        <v>0</v>
      </c>
      <c r="DB56" s="50">
        <f t="shared" si="119"/>
        <v>0</v>
      </c>
      <c r="DC56" s="50">
        <f t="shared" si="119"/>
        <v>0</v>
      </c>
      <c r="DD56" s="50">
        <f t="shared" si="119"/>
        <v>0</v>
      </c>
      <c r="DE56" s="50">
        <f t="shared" si="119"/>
        <v>0</v>
      </c>
      <c r="DF56" s="50">
        <f t="shared" si="119"/>
        <v>0</v>
      </c>
      <c r="DG56" s="50">
        <f t="shared" si="119"/>
        <v>0</v>
      </c>
      <c r="DH56" s="50">
        <f t="shared" si="119"/>
        <v>0</v>
      </c>
      <c r="DI56" s="50">
        <f t="shared" si="119"/>
        <v>0</v>
      </c>
      <c r="DJ56" s="50">
        <f t="shared" si="119"/>
        <v>0</v>
      </c>
      <c r="DK56" s="50">
        <f t="shared" si="119"/>
        <v>0</v>
      </c>
      <c r="DL56" s="51">
        <f t="shared" si="119"/>
        <v>0</v>
      </c>
    </row>
  </sheetData>
  <mergeCells count="67">
    <mergeCell ref="A3:C3"/>
    <mergeCell ref="A4:C4"/>
    <mergeCell ref="C8:D8"/>
    <mergeCell ref="A5:C5"/>
    <mergeCell ref="A1:AI1"/>
    <mergeCell ref="A2:AI2"/>
    <mergeCell ref="A27:A28"/>
    <mergeCell ref="G6:I7"/>
    <mergeCell ref="I8:I9"/>
    <mergeCell ref="A11:A12"/>
    <mergeCell ref="C11:C12"/>
    <mergeCell ref="C7:D7"/>
    <mergeCell ref="B6:B9"/>
    <mergeCell ref="B11:B12"/>
    <mergeCell ref="A6:A9"/>
    <mergeCell ref="B23:B24"/>
    <mergeCell ref="B15:B16"/>
    <mergeCell ref="B17:B18"/>
    <mergeCell ref="B19:B20"/>
    <mergeCell ref="A47:A48"/>
    <mergeCell ref="DI7:DL7"/>
    <mergeCell ref="BM6:DL6"/>
    <mergeCell ref="CV7:CY7"/>
    <mergeCell ref="DD7:DH7"/>
    <mergeCell ref="CZ7:DC7"/>
    <mergeCell ref="BM7:BP7"/>
    <mergeCell ref="BQ7:BT7"/>
    <mergeCell ref="BU7:BY7"/>
    <mergeCell ref="BZ7:CC7"/>
    <mergeCell ref="CD7:CG7"/>
    <mergeCell ref="CH7:CL7"/>
    <mergeCell ref="CM7:CP7"/>
    <mergeCell ref="CQ7:CU7"/>
    <mergeCell ref="C47:C48"/>
    <mergeCell ref="C27:C28"/>
    <mergeCell ref="B35:B36"/>
    <mergeCell ref="B37:B38"/>
    <mergeCell ref="B39:B40"/>
    <mergeCell ref="L6:BL6"/>
    <mergeCell ref="L7:P7"/>
    <mergeCell ref="Q7:T7"/>
    <mergeCell ref="AD7:AG7"/>
    <mergeCell ref="AQ7:AT7"/>
    <mergeCell ref="AU7:AY7"/>
    <mergeCell ref="AZ7:BC7"/>
    <mergeCell ref="BD7:BG7"/>
    <mergeCell ref="BH7:BL7"/>
    <mergeCell ref="Z7:AC7"/>
    <mergeCell ref="U7:Y7"/>
    <mergeCell ref="AH7:AL7"/>
    <mergeCell ref="AM7:AP7"/>
    <mergeCell ref="B51:B52"/>
    <mergeCell ref="D3:AI3"/>
    <mergeCell ref="D4:AI4"/>
    <mergeCell ref="D5:AI5"/>
    <mergeCell ref="B41:B42"/>
    <mergeCell ref="B43:B44"/>
    <mergeCell ref="B45:B46"/>
    <mergeCell ref="B47:B48"/>
    <mergeCell ref="B49:B50"/>
    <mergeCell ref="B13:B14"/>
    <mergeCell ref="B21:B22"/>
    <mergeCell ref="B25:B26"/>
    <mergeCell ref="B27:B28"/>
    <mergeCell ref="B29:B30"/>
    <mergeCell ref="B31:B32"/>
    <mergeCell ref="B33:B34"/>
  </mergeCells>
  <phoneticPr fontId="5" type="noConversion"/>
  <conditionalFormatting sqref="L30:AC30 L32:AC32 L34:AC34 L36:AC36 L38:AC38 L40:AC40 L42:AC42 L44:AC44 L46:AC46 L50:AC50 L52:AC52">
    <cfRule type="expression" dxfId="24" priority="86">
      <formula>AND(L$10&gt;=$J30,L$10&lt;=$K30)</formula>
    </cfRule>
  </conditionalFormatting>
  <conditionalFormatting sqref="L13:DL13 L25:DL25 L29:DL29 L31:DL31 L33:DL33 L35:DL35 L37:DL37 L39:DL39 L41:DL41 L43:DL43 L45:DL45 L49:DL49 L51:DL51">
    <cfRule type="expression" dxfId="23" priority="41" stopIfTrue="1">
      <formula>AND(L$10&gt;=$J13,L$10&lt;=$K13)</formula>
    </cfRule>
  </conditionalFormatting>
  <conditionalFormatting sqref="L14:DL14 L16:DL16 L18:DL18 L20:DL20 L22:DL22 L24:DL24 L26:DL26">
    <cfRule type="cellIs" dxfId="22" priority="189" operator="greaterThan">
      <formula>0</formula>
    </cfRule>
  </conditionalFormatting>
  <conditionalFormatting sqref="L15:DL15">
    <cfRule type="expression" dxfId="21" priority="3" stopIfTrue="1">
      <formula>AND(L$10&gt;=$J15,L$10&lt;=$K15)</formula>
    </cfRule>
  </conditionalFormatting>
  <conditionalFormatting sqref="L17:DL17">
    <cfRule type="expression" dxfId="20" priority="2" stopIfTrue="1">
      <formula>AND(L$10&gt;=$J17,L$10&lt;=$K17)</formula>
    </cfRule>
  </conditionalFormatting>
  <conditionalFormatting sqref="L19:DL19">
    <cfRule type="expression" dxfId="19" priority="1" stopIfTrue="1">
      <formula>AND(L$10&gt;=$J19,L$10&lt;=$K19)</formula>
    </cfRule>
  </conditionalFormatting>
  <conditionalFormatting sqref="L21:DL21">
    <cfRule type="expression" dxfId="18" priority="40" stopIfTrue="1">
      <formula>AND(L$10&gt;=$J21,L$10&lt;=$K21)</formula>
    </cfRule>
  </conditionalFormatting>
  <conditionalFormatting sqref="L23:DL23">
    <cfRule type="expression" dxfId="17" priority="5" stopIfTrue="1">
      <formula>AND(L$10&gt;=$J23,L$10&lt;=$K23)</formula>
    </cfRule>
  </conditionalFormatting>
  <conditionalFormatting sqref="AD11:DL11">
    <cfRule type="cellIs" dxfId="16" priority="26" operator="between">
      <formula>100</formula>
      <formula>0.0000001</formula>
    </cfRule>
  </conditionalFormatting>
  <conditionalFormatting sqref="AD12:DL12">
    <cfRule type="cellIs" dxfId="15" priority="25" operator="between">
      <formula>100</formula>
      <formula>0.00000000001</formula>
    </cfRule>
  </conditionalFormatting>
  <conditionalFormatting sqref="AD27:DL27">
    <cfRule type="cellIs" dxfId="14" priority="21" operator="between">
      <formula>100</formula>
      <formula>0.00000001</formula>
    </cfRule>
  </conditionalFormatting>
  <conditionalFormatting sqref="AD28:DL28">
    <cfRule type="cellIs" dxfId="13" priority="20" operator="between">
      <formula>100</formula>
      <formula>0.0000000001</formula>
    </cfRule>
  </conditionalFormatting>
  <conditionalFormatting sqref="AD30:DL30">
    <cfRule type="cellIs" dxfId="12" priority="17" operator="greaterThan">
      <formula>0</formula>
    </cfRule>
  </conditionalFormatting>
  <conditionalFormatting sqref="AD32:DL32">
    <cfRule type="cellIs" dxfId="11" priority="16" operator="greaterThan">
      <formula>0</formula>
    </cfRule>
  </conditionalFormatting>
  <conditionalFormatting sqref="AD34:DL34">
    <cfRule type="cellIs" dxfId="10" priority="15" operator="greaterThan">
      <formula>0</formula>
    </cfRule>
  </conditionalFormatting>
  <conditionalFormatting sqref="AD36:DL36">
    <cfRule type="cellIs" dxfId="9" priority="14" operator="greaterThan">
      <formula>0</formula>
    </cfRule>
  </conditionalFormatting>
  <conditionalFormatting sqref="AD38:DL38">
    <cfRule type="cellIs" dxfId="8" priority="13" operator="greaterThan">
      <formula>0</formula>
    </cfRule>
  </conditionalFormatting>
  <conditionalFormatting sqref="AD40:DL40">
    <cfRule type="cellIs" dxfId="7" priority="12" operator="greaterThan">
      <formula>0</formula>
    </cfRule>
  </conditionalFormatting>
  <conditionalFormatting sqref="AD42:DL42">
    <cfRule type="cellIs" dxfId="6" priority="11" operator="greaterThan">
      <formula>0</formula>
    </cfRule>
  </conditionalFormatting>
  <conditionalFormatting sqref="AD44:DL44">
    <cfRule type="cellIs" dxfId="5" priority="10" operator="greaterThan">
      <formula>0</formula>
    </cfRule>
  </conditionalFormatting>
  <conditionalFormatting sqref="AD46:DL46">
    <cfRule type="cellIs" dxfId="4" priority="9" operator="greaterThan">
      <formula>0</formula>
    </cfRule>
  </conditionalFormatting>
  <conditionalFormatting sqref="AD47:DL47">
    <cfRule type="cellIs" dxfId="3" priority="19" operator="between">
      <formula>100</formula>
      <formula>0.0000001</formula>
    </cfRule>
  </conditionalFormatting>
  <conditionalFormatting sqref="AD48:DL48">
    <cfRule type="cellIs" dxfId="2" priority="18" operator="between">
      <formula>100</formula>
      <formula>0.00000000001</formula>
    </cfRule>
  </conditionalFormatting>
  <conditionalFormatting sqref="AD50:DL50">
    <cfRule type="cellIs" dxfId="1" priority="8" operator="greaterThan">
      <formula>0</formula>
    </cfRule>
  </conditionalFormatting>
  <conditionalFormatting sqref="AD52:DL52">
    <cfRule type="cellIs" dxfId="0" priority="6" operator="greaterThan">
      <formula>0</formula>
    </cfRule>
  </conditionalFormatting>
  <pageMargins left="0.7" right="0.7" top="0.75" bottom="0.75" header="0.3" footer="0.3"/>
  <pageSetup paperSize="9" scale="11" fitToHeight="0" orientation="landscape" r:id="rId1"/>
  <ignoredErrors>
    <ignoredError sqref="AD55:DL5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E65D-F521-4EDE-B2A5-CB55A3DC940F}">
  <dimension ref="A1"/>
  <sheetViews>
    <sheetView workbookViewId="0">
      <selection activeCell="K31" sqref="K31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PLAN</vt:lpstr>
      <vt:lpstr>S-curve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Chalermkiat Thasakoo</dc:creator>
  <cp:lastModifiedBy>Engineer TCR</cp:lastModifiedBy>
  <cp:lastPrinted>2023-08-23T02:47:03Z</cp:lastPrinted>
  <dcterms:created xsi:type="dcterms:W3CDTF">2023-08-16T01:46:09Z</dcterms:created>
  <dcterms:modified xsi:type="dcterms:W3CDTF">2024-06-27T14:35:54Z</dcterms:modified>
</cp:coreProperties>
</file>