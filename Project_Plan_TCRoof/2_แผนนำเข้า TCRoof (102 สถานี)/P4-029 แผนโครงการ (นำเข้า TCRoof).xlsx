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<sst xmlns="http://schemas.openxmlformats.org/spreadsheetml/2006/main" count="1305" uniqueCount="669">
  <si>
    <t xml:space="preserve">แผนโครงการ P4-029 – สถานีผลิตน้ำบ้านทุ่งมน 139.08 kWp</t>
  </si>
  <si>
    <t xml:space="preserve">กปภ.สาขาบ้านไผ่, ภาคอีสาน, กฟภ. เขต ฉ.1, Inverter 125 kW (ไม่ต้อง พค.2), Zero export LV, คำขอ PPIM1A5081C4, วิศวกร อ๋อง, Admin เตย,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</si>
  <si>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</si>
  <si>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</si>
  <si>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</si>
  <si>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</si>
  <si>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</si>
  <si>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</si>
  <si>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</si>
  <si>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</si>
  <si>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</si>
  <si>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</si>
  <si>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</si>
  <si>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</si>
  <si>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</si>
  <si>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</si>
  <si>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</si>
  <si>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</si>
  <si>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</si>
  <si>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</si>
  <si>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</si>
  <si>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</si>
  <si>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</si>
  <si>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</si>
  <si>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</si>
  <si>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</si>
  <si>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</si>
  <si>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</si>
  <si>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</si>
  <si>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</si>
  <si>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</si>
  <si>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</si>
  <si>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</si>
  <si>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</si>
  <si>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</si>
  <si>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</si>
  <si>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</si>
  <si>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</si>
  <si>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</si>
  <si>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</si>
  <si>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</si>
  <si>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</si>
  <si>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</si>
  <si>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</si>
  <si>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</si>
  <si>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</si>
  <si>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</si>
  <si>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</si>
  <si>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</si>
  <si>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</si>
  <si>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</si>
  <si>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</si>
  <si>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</si>
  <si>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</si>
  <si>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</si>
  <si>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</si>
  <si>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</si>
  <si>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</si>
  <si>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</si>
  <si>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</si>
  <si>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</si>
  <si>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</si>
  <si>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</si>
  <si>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</si>
  <si>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</si>
  <si>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</si>
  <si>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</si>
  <si>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</si>
  <si>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</si>
  <si>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</si>
  <si>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</si>
  <si>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</si>
  <si>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</si>
  <si>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</si>
  <si>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</si>
  <si>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</si>
  <si>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</si>
  <si>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</si>
  <si>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</si>
  <si>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</si>
  <si>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</si>
  <si>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</si>
  <si>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</si>
  <si>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</si>
  <si>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</si>
  <si>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</si>
  <si>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</si>
  <si>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</si>
  <si>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</si>
  <si>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</si>
  <si>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</si>
  <si>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</si>
  <si>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</si>
  <si>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</si>
  <si>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</si>
  <si>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</si>
  <si>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</si>
  <si>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</si>
  <si>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</si>
  <si>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</si>
  <si>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</si>
  <si>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</si>
  <si>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</si>
  <si>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</si>
  <si>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</si>
  <si>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</si>
  <si>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</si>
  <si>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</si>
  <si>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</si>
  <si>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</si>
  <si>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</si>
  <si>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</si>
  <si>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</si>
  <si>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</si>
  <si>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</si>
  <si>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</si>
  <si>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</si>
  <si>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</si>
  <si>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</si>
  <si>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</si>
  <si>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</si>
  <si>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</si>
  <si>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</si>
  <si>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</si>
  <si>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</si>
  <si>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</si>
  <si>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</si>
  <si>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</si>
  <si>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</si>
  <si>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</si>
  <si>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</si>
  <si>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</si>
  <si>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</si>
  <si>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</si>
  <si>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</si>
  <si>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</si>
  <si>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</si>
  <si>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</si>
  <si>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</si>
  <si>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</si>
  <si>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</si>
  <si>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</si>
  <si>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</si>
  <si>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</si>
  <si>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WBS'!L7788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</si>
  <si>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</si>
  <si>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</si>
  <si>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</si>
  <si>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</si>
  <si>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</si>
  <si>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</si>
  <si>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</si>
  <si>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</si>
  <si>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WBS'!L7789</t>
    </r>
  </si>
  <si>
    <t xml:space="preserve">0.3</t>
  </si>
  <si>
    <t xml:space="preserve">หนังสือแจ้งขอดับไฟ</t>
  </si>
  <si>
    <t xml:space="preserve">TC-PML-2026-577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</si>
  <si>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</si>
  <si>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</si>
  <si>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</si>
  <si>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</si>
  <si>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</si>
  <si>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</si>
  <si>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</si>
  <si>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</si>
  <si>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</si>
  <si>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</si>
  <si>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</si>
  <si>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</si>
  <si>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</si>
  <si>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</si>
  <si>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</si>
  <si>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</si>
  <si>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</si>
  <si>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</si>
  <si>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</si>
  <si>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</si>
  <si>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</si>
  <si>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</si>
  <si>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</si>
  <si>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</si>
  <si>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</si>
  <si>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</si>
  <si>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</si>
  <si>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</si>
  <si>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</si>
  <si>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</si>
  <si>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</si>
  <si>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</si>
  <si>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</si>
  <si>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</si>
  <si>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</si>
  <si>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</si>
  <si>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</si>
  <si>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</si>
  <si>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</si>
  <si>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</si>
  <si>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</si>
  <si>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</si>
  <si>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</si>
  <si>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</si>
  <si>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</si>
  <si>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</si>
  <si>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</si>
  <si>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</si>
  <si>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</si>
  <si>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</si>
  <si>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</si>
  <si>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</si>
  <si>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</si>
  <si>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</si>
  <si>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</si>
  <si>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</si>
  <si>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</si>
  <si>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</si>
  <si>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</si>
  <si>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</si>
  <si>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</si>
  <si>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</si>
  <si>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</si>
  <si>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</si>
  <si>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</si>
  <si>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</si>
  <si>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</si>
  <si>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</si>
  <si>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</si>
  <si>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</si>
  <si>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</si>
  <si>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</si>
  <si>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</si>
  <si>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</si>
  <si>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</si>
  <si>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</si>
  <si>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</si>
  <si>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</si>
  <si>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</si>
  <si>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</si>
  <si>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</si>
  <si>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</si>
  <si>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</si>
  <si>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</si>
  <si>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</si>
  <si>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</si>
  <si>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WBS'!L7805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</si>
  <si>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</si>
  <si>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</si>
  <si>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</si>
  <si>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</si>
  <si>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</si>
  <si>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</si>
  <si>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</si>
  <si>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</si>
  <si>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</si>
  <si>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</si>
  <si>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</si>
  <si>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</si>
  <si>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</si>
  <si>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</si>
  <si>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</si>
  <si>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</si>
  <si>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</si>
  <si>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</si>
  <si>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</si>
  <si>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</si>
  <si>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</si>
  <si>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</si>
  <si>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</si>
  <si>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</si>
  <si>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</si>
  <si>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</si>
  <si>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</si>
  <si>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</si>
  <si>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WBS'!L7807</t>
    </r>
  </si>
  <si>
    <t xml:space="preserve">1.7.1</t>
  </si>
  <si>
    <t xml:space="preserve">คำขอขนานไฟ PPIM (ชุด 11 ไฟล์)</t>
  </si>
  <si>
    <t xml:space="preserve">PPIM1A5081C4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</si>
  <si>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</si>
  <si>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</si>
  <si>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</si>
  <si>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</si>
  <si>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</si>
  <si>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</si>
  <si>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</si>
  <si>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</si>
  <si>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</si>
  <si>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</si>
  <si>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</si>
  <si>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</si>
  <si>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</si>
  <si>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</si>
  <si>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</si>
  <si>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</si>
  <si>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</si>
  <si>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</si>
  <si>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</si>
  <si>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</si>
  <si>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</si>
  <si>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</si>
  <si>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</si>
  <si>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</si>
  <si>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</si>
  <si>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</si>
  <si>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</si>
  <si>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</si>
  <si>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</si>
  <si>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</si>
  <si>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</si>
  <si>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</si>
  <si>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</si>
  <si>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</si>
  <si>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</si>
  <si>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</si>
  <si>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</si>
  <si>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</si>
  <si>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</si>
  <si>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</si>
  <si>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</si>
  <si>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</si>
  <si>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</si>
  <si>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</si>
  <si>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</si>
  <si>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</si>
  <si>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</si>
  <si>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</si>
  <si>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</si>
  <si>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</si>
  <si>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</si>
  <si>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</si>
  <si>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</si>
  <si>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</si>
  <si>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</si>
  <si>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</si>
  <si>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</si>
  <si>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</si>
  <si>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</si>
  <si>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</si>
  <si>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</si>
  <si>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</si>
  <si>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</si>
  <si>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</si>
  <si>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</si>
  <si>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</si>
  <si>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</si>
  <si>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</si>
  <si>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</si>
  <si>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</si>
  <si>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</si>
  <si>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</si>
  <si>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</si>
  <si>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</si>
  <si>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</si>
  <si>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</si>
  <si>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</si>
  <si>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</si>
  <si>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</si>
  <si>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</si>
  <si>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</si>
  <si>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</si>
  <si>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</si>
  <si>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</si>
  <si>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</si>
  <si>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</si>
  <si>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</si>
  <si>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</si>
  <si>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</si>
  <si>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</si>
  <si>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</si>
  <si>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</si>
  <si>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</si>
  <si>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</si>
  <si>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</si>
  <si>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</si>
  <si>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</si>
  <si>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</si>
  <si>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</si>
  <si>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</si>
  <si>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</si>
  <si>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</si>
  <si>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</si>
  <si>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</si>
  <si>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</si>
  <si>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</si>
  <si>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</si>
  <si>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</si>
  <si>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</si>
  <si>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</si>
  <si>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</si>
  <si>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</si>
  <si>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</si>
  <si>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WBS'!L7826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</si>
  <si>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</si>
  <si>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</si>
  <si>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</si>
  <si>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</si>
  <si>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</si>
  <si>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</si>
  <si>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</si>
  <si>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</si>
  <si>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</si>
  <si>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</si>
  <si>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</si>
  <si>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</si>
  <si>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</si>
  <si>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</si>
  <si>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</si>
  <si>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</si>
  <si>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</si>
  <si>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</si>
  <si>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</si>
  <si>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WBS'!L7830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</si>
  <si>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</si>
  <si>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</si>
  <si>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</si>
  <si>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</si>
  <si>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</si>
  <si>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</si>
  <si>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</si>
  <si>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</si>
  <si>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</si>
  <si>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</si>
  <si>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</si>
  <si>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</si>
  <si>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</si>
  <si>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</si>
  <si>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</si>
  <si>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</si>
  <si>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</si>
  <si>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</si>
  <si>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</si>
  <si>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</si>
  <si>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</si>
  <si>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</si>
  <si>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</si>
  <si>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</si>
  <si>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</si>
  <si>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</si>
  <si>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</si>
  <si>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</si>
  <si>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</si>
  <si>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</si>
  <si>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</si>
  <si>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</si>
  <si>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</si>
  <si>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</si>
  <si>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</si>
  <si>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</si>
  <si>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</si>
  <si>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</si>
  <si>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</si>
  <si>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WBS'!L7838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</si>
  <si>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</si>
  <si>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</si>
  <si>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</si>
  <si>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</si>
  <si>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</si>
  <si>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</si>
  <si>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</si>
  <si>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</si>
  <si>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</si>
  <si>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</si>
  <si>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</si>
  <si>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</si>
  <si>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</si>
  <si>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WBS'!L7839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</si>
  <si>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</si>
  <si>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</si>
  <si>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</si>
  <si>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</si>
  <si>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</si>
  <si>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</si>
  <si>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</si>
  <si>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</si>
  <si>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</si>
  <si>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</si>
  <si>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</si>
  <si>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</si>
  <si>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</si>
  <si>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</si>
  <si>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</si>
  <si>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</si>
  <si>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</si>
  <si>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</si>
  <si>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</si>
  <si>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</si>
  <si>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</si>
  <si>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</si>
  <si>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</si>
  <si>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</si>
  <si>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</si>
  <si>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</si>
  <si>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WBS'!L7845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</si>
  <si>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</si>
  <si>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</si>
  <si>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</si>
  <si>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</si>
  <si>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</si>
  <si>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</si>
  <si>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</si>
  <si>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</si>
  <si>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</si>
  <si>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</si>
  <si>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</si>
  <si>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</si>
  <si>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</si>
  <si>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</si>
  <si>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</si>
  <si>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</si>
  <si>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</si>
  <si>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</si>
  <si>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</si>
  <si>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</si>
  <si>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</si>
  <si>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</si>
  <si>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</si>
  <si>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</si>
  <si>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</si>
  <si>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</si>
  <si>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</si>
  <si>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</si>
  <si>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</si>
  <si>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</si>
  <si>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</si>
  <si>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</si>
  <si>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</si>
  <si>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</si>
  <si>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</si>
  <si>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</si>
  <si>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</si>
  <si>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</si>
  <si>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</si>
  <si>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</si>
  <si>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</si>
  <si>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</si>
  <si>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</si>
  <si>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</si>
  <si>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</si>
  <si>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</si>
  <si>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</si>
  <si>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</si>
  <si>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</si>
  <si>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</si>
  <si>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</si>
  <si>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</si>
  <si>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</si>
  <si>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</si>
  <si>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</si>
  <si>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</si>
  <si>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</si>
  <si>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</si>
  <si>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</si>
  <si>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</si>
  <si>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</si>
  <si>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</si>
  <si>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</si>
  <si>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</si>
  <si>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</si>
  <si>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</si>
  <si>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</si>
  <si>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</si>
  <si>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</si>
  <si>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</si>
  <si>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</si>
  <si>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</si>
  <si>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</si>
  <si>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</si>
  <si>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</si>
  <si>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</si>
  <si>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</si>
  <si>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</si>
  <si>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</si>
  <si>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</si>
  <si>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</si>
  <si>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</si>
  <si>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</si>
  <si>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</si>
  <si>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</si>
  <si>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</si>
  <si>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</si>
  <si>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</si>
  <si>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</si>
  <si>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</si>
  <si>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</si>
  <si>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</si>
  <si>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</si>
  <si>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</si>
  <si>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</si>
  <si>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</si>
  <si>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</si>
  <si>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</si>
  <si>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</si>
  <si>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</si>
  <si>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</si>
  <si>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</si>
  <si>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</si>
  <si>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</si>
  <si>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</si>
  <si>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</si>
  <si>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</si>
  <si>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</si>
  <si>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</si>
  <si>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</si>
  <si>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</si>
  <si>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</si>
  <si>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</si>
  <si>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</si>
  <si>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</si>
  <si>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</si>
  <si>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</si>
  <si>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</si>
  <si>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</si>
  <si>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</si>
  <si>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</si>
  <si>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</si>
  <si>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</si>
  <si>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สถานีผลิตน้ำบ้านทุ่งมน การประปาส่วนภูมิภาคสาขาบ้านไผ่ ขนาดกำลังผลิต </t>
    </r>
    <r>
      <rPr>
        <sz val="10"/>
        <rFont val="Tahoma"/>
        <family val="0"/>
        <charset val="1"/>
      </rPr>
      <t xml:space="preserve">139.08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</si>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</sst>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1.3333</c:v>
                </c:pt>
                <c:pt idx="9">
                  <c:v>2.1666</c:v>
                </c:pt>
                <c:pt idx="10">
                  <c:v>2.9999</c:v>
                </c:pt>
                <c:pt idx="11">
                  <c:v>2.9999</c:v>
                </c:pt>
                <c:pt idx="12">
                  <c:v>3.4999</c:v>
                </c:pt>
                <c:pt idx="13">
                  <c:v>13.4999</c:v>
                </c:pt>
                <c:pt idx="14">
                  <c:v>23.4999</c:v>
                </c:pt>
                <c:pt idx="15">
                  <c:v>55.9999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683220"/>
        <c:axId val="16322704"/>
      </c:lineChart>
      <c:catAx>
        <c:axId val="8468322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22704"/>
        <c:crosses val="autoZero"/>
        <c:auto val="1"/>
        <c:lblAlgn val="ctr"/>
        <c:lblOffset val="100"/>
        <c:noMultiLvlLbl val="0"/>
      </c:catAx>
      <c:valAx>
        <c:axId val="16322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832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46413</v>
      </c>
      <c r="G4" s="10"/>
      <c r="H4" s="10"/>
      <c r="J4" s="11" t="n">
        <v>0.95</v>
      </c>
      <c r="K4" s="11"/>
      <c r="L4" s="12" t="n">
        <v>32</v>
      </c>
      <c r="M4" s="12"/>
      <c r="N4" s="12" t="n">
        <v>91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46214</v>
      </c>
      <c r="O8" s="33" t="n">
        <v>46430</v>
      </c>
      <c r="P8" s="34" t="s">
        <v>75</v>
      </c>
      <c r="Q8" s="31" t="n">
        <v>91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46214</v>
      </c>
      <c r="O9" s="45" t="n">
        <v>46430</v>
      </c>
      <c r="P9" s="46" t="s">
        <v>75</v>
      </c>
      <c r="Q9" s="37" t="n">
        <v>91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46214</v>
      </c>
      <c r="O10" s="55" t="n">
        <v>46236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46214</v>
      </c>
      <c r="O11" s="55" t="n">
        <v>46236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46214</v>
      </c>
      <c r="O12" s="55" t="n">
        <v>46236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46214</v>
      </c>
      <c r="O13" s="55" t="n">
        <v>46246</v>
      </c>
      <c r="P13" s="50" t="s">
        <v>75</v>
      </c>
      <c r="Q13" s="52" t="n">
        <v>13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46236</v>
      </c>
      <c r="O14" s="55" t="n">
        <v>46430</v>
      </c>
      <c r="P14" s="50" t="s">
        <v>75</v>
      </c>
      <c r="Q14" s="52" t="n">
        <v>91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46236</v>
      </c>
      <c r="O15" s="55" t="n">
        <v>46430</v>
      </c>
      <c r="P15" s="50" t="s">
        <v>75</v>
      </c>
      <c r="Q15" s="52" t="n">
        <v>91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46235</v>
      </c>
      <c r="O16" s="45" t="n">
        <v>46244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46235</v>
      </c>
      <c r="O17" s="55" t="n">
        <v>46237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46236</v>
      </c>
      <c r="O18" s="55" t="n">
        <v>46239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46238</v>
      </c>
      <c r="O19" s="55" t="n">
        <v>46241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46238</v>
      </c>
      <c r="O20" s="55" t="n">
        <v>46241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46239</v>
      </c>
      <c r="O21" s="55" t="n">
        <v>46242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46240</v>
      </c>
      <c r="O22" s="55" t="n">
        <v>46243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153</v>
      </c>
      <c r="N24" s="55" t="n">
        <v>46240</v>
      </c>
      <c r="O24" s="55" t="n">
        <v>46244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164</v>
      </c>
      <c r="N26" s="55" t="n">
        <v>46261</v>
      </c>
      <c r="O26" s="55" t="n">
        <v>46261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168</v>
      </c>
      <c r="N27" s="55" t="n">
        <v>46261</v>
      </c>
      <c r="O27" s="55" t="n">
        <v>46261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172</v>
      </c>
      <c r="N28" s="55" t="n">
        <v>46261</v>
      </c>
      <c r="O28" s="55" t="n">
        <v>46261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46214</v>
      </c>
      <c r="O29" s="33" t="n">
        <v>46413</v>
      </c>
      <c r="P29" s="34" t="s">
        <v>75</v>
      </c>
      <c r="Q29" s="31" t="n">
        <v>91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46214</v>
      </c>
      <c r="O30" s="45" t="n">
        <v>46214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182</v>
      </c>
      <c r="N31" s="55" t="n">
        <v>46214</v>
      </c>
      <c r="O31" s="55" t="n">
        <v>46214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186</v>
      </c>
      <c r="N32" s="55" t="n">
        <v>46214</v>
      </c>
      <c r="O32" s="55" t="n">
        <v>46214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190</v>
      </c>
      <c r="N33" s="55" t="n">
        <v>46214</v>
      </c>
      <c r="O33" s="55" t="n">
        <v>46214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46221</v>
      </c>
      <c r="O34" s="45" t="n">
        <v>46230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198</v>
      </c>
      <c r="N35" s="55" t="n">
        <v>46221</v>
      </c>
      <c r="O35" s="55" t="n">
        <v>46226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202</v>
      </c>
      <c r="N36" s="55" t="n">
        <v>46221</v>
      </c>
      <c r="O36" s="55" t="n">
        <v>46226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206</v>
      </c>
      <c r="N37" s="55" t="n">
        <v>46224</v>
      </c>
      <c r="O37" s="55" t="n">
        <v>46227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210</v>
      </c>
      <c r="N38" s="55" t="n">
        <v>46226</v>
      </c>
      <c r="O38" s="55" t="n">
        <v>46230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46244</v>
      </c>
      <c r="O39" s="45" t="n">
        <v>46244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218</v>
      </c>
      <c r="N40" s="55" t="n">
        <v>46244</v>
      </c>
      <c r="O40" s="55" t="n">
        <v>46244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222</v>
      </c>
      <c r="N41" s="55" t="n">
        <v>46244</v>
      </c>
      <c r="O41" s="55" t="n">
        <v>46244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226</v>
      </c>
      <c r="N42" s="55" t="n">
        <v>46244</v>
      </c>
      <c r="O42" s="55" t="n">
        <v>46244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46221</v>
      </c>
      <c r="O43" s="45" t="n">
        <v>46234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235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239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243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30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46278</v>
      </c>
      <c r="J57" s="41" t="n">
        <v>46298</v>
      </c>
      <c r="K57" s="42" t="n">
        <v>46307</v>
      </c>
      <c r="L57" s="42"/>
      <c r="M57" s="43" t="s">
        <v>114</v>
      </c>
      <c r="N57" s="44" t="n">
        <v>46307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</v>
      </c>
      <c r="C58" s="38" t="s">
        <v>284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46315</v>
      </c>
      <c r="O58" s="45" t="n">
        <v>46321</v>
      </c>
      <c r="P58" s="46" t="s">
        <v>285</v>
      </c>
      <c r="Q58" s="37" t="n">
        <v>16</v>
      </c>
      <c r="R58" s="39"/>
      <c r="S58" s="39" t="n">
        <v>1</v>
      </c>
      <c r="T58" s="39" t="s">
        <v>286</v>
      </c>
      <c r="U58" s="58" t="n">
        <v>46315.0058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46367</v>
      </c>
      <c r="O59" s="45" t="n">
        <v>46367</v>
      </c>
      <c r="P59" s="46" t="s">
        <v>285</v>
      </c>
      <c r="Q59" s="37" t="n">
        <v>61</v>
      </c>
      <c r="R59" s="39"/>
      <c r="S59" s="39" t="n">
        <v>1</v>
      </c>
      <c r="T59" s="39" t="s">
        <v>286</v>
      </c>
      <c r="U59" s="58" t="n">
        <v>46367.0059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46372</v>
      </c>
      <c r="O60" s="60" t="n">
        <v>46413</v>
      </c>
      <c r="P60" s="46" t="s">
        <v>285</v>
      </c>
      <c r="Q60" s="37" t="n">
        <v>91</v>
      </c>
      <c r="R60" s="39"/>
      <c r="S60" s="39" t="n">
        <v>1</v>
      </c>
      <c r="T60" s="39" t="s">
        <v>286</v>
      </c>
      <c r="U60" s="58" t="n">
        <v>46372.006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46251</v>
      </c>
      <c r="O61" s="33" t="n">
        <v>46280</v>
      </c>
      <c r="P61" s="34" t="s">
        <v>60</v>
      </c>
      <c r="Q61" s="31" t="n">
        <v>4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14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46251</v>
      </c>
      <c r="O62" s="45" t="n">
        <v>46264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305</v>
      </c>
      <c r="N63" s="55" t="n">
        <v>46251</v>
      </c>
      <c r="O63" s="55" t="n">
        <v>46252</v>
      </c>
      <c r="P63" s="50" t="s">
        <v>124</v>
      </c>
      <c r="Q63" s="52" t="n">
        <v>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309</v>
      </c>
      <c r="N64" s="55" t="n">
        <v>46251</v>
      </c>
      <c r="O64" s="55" t="n">
        <v>46254</v>
      </c>
      <c r="P64" s="50" t="s">
        <v>124</v>
      </c>
      <c r="Q64" s="52" t="n">
        <v>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313</v>
      </c>
      <c r="N65" s="55" t="n">
        <v>46252</v>
      </c>
      <c r="O65" s="55" t="n">
        <v>46258</v>
      </c>
      <c r="P65" s="50" t="s">
        <v>124</v>
      </c>
      <c r="Q65" s="52" t="n">
        <v>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317</v>
      </c>
      <c r="N66" s="55" t="n">
        <v>46256</v>
      </c>
      <c r="O66" s="55" t="n">
        <v>46262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321</v>
      </c>
      <c r="N67" s="55" t="n">
        <v>46259</v>
      </c>
      <c r="O67" s="55" t="n">
        <v>46263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325</v>
      </c>
      <c r="N68" s="55" t="n">
        <v>46261</v>
      </c>
      <c r="O68" s="55" t="n">
        <v>46264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329</v>
      </c>
      <c r="N69" s="55" t="n">
        <v>46263</v>
      </c>
      <c r="O69" s="55" t="n">
        <v>46264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46271</v>
      </c>
      <c r="O70" s="45" t="n">
        <v>46274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337</v>
      </c>
      <c r="N71" s="55" t="n">
        <v>46271</v>
      </c>
      <c r="O71" s="55" t="n">
        <v>46272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341</v>
      </c>
      <c r="N72" s="55" t="n">
        <v>46272</v>
      </c>
      <c r="O72" s="55" t="n">
        <v>46273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345</v>
      </c>
      <c r="N73" s="55" t="n">
        <v>46272</v>
      </c>
      <c r="O73" s="55" t="n">
        <v>46273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349</v>
      </c>
      <c r="N74" s="55" t="n">
        <v>46273</v>
      </c>
      <c r="O74" s="55" t="n">
        <v>46274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353</v>
      </c>
      <c r="N75" s="55" t="n">
        <v>46273</v>
      </c>
      <c r="O75" s="55" t="n">
        <v>46274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6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46269</v>
      </c>
      <c r="O76" s="45" t="n">
        <v>46274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361</v>
      </c>
      <c r="N77" s="55" t="n">
        <v>46269</v>
      </c>
      <c r="O77" s="55" t="n">
        <v>46271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365</v>
      </c>
      <c r="N78" s="55" t="n">
        <v>46270</v>
      </c>
      <c r="O78" s="55" t="n">
        <v>46273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369</v>
      </c>
      <c r="N79" s="55" t="n">
        <v>46271</v>
      </c>
      <c r="O79" s="55" t="n">
        <v>46274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373</v>
      </c>
      <c r="N80" s="55" t="n">
        <v>46273</v>
      </c>
      <c r="O80" s="55" t="n">
        <v>46274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377</v>
      </c>
      <c r="N81" s="55" t="n">
        <v>46274</v>
      </c>
      <c r="O81" s="55" t="n">
        <v>46274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46269</v>
      </c>
      <c r="O82" s="45" t="n">
        <v>46271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385</v>
      </c>
      <c r="N83" s="55" t="n">
        <v>46269</v>
      </c>
      <c r="O83" s="55" t="n">
        <v>46270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389</v>
      </c>
      <c r="N84" s="55" t="n">
        <v>46270</v>
      </c>
      <c r="O84" s="55" t="n">
        <v>46271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46269</v>
      </c>
      <c r="O85" s="45" t="n">
        <v>46272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397</v>
      </c>
      <c r="N86" s="55" t="n">
        <v>46269</v>
      </c>
      <c r="O86" s="55" t="n">
        <v>46271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401</v>
      </c>
      <c r="N87" s="55" t="n">
        <v>46270</v>
      </c>
      <c r="O87" s="55" t="n">
        <v>46272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405</v>
      </c>
      <c r="N88" s="55" t="n">
        <v>46271</v>
      </c>
      <c r="O88" s="55" t="n">
        <v>46272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409</v>
      </c>
      <c r="N89" s="55" t="n">
        <v>46272</v>
      </c>
      <c r="O89" s="55" t="n">
        <v>46272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46270</v>
      </c>
      <c r="O90" s="45" t="n">
        <v>46273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46270</v>
      </c>
      <c r="O91" s="55" t="n">
        <v>46272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46272</v>
      </c>
      <c r="O92" s="55" t="n">
        <v>46273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46270</v>
      </c>
      <c r="O93" s="55" t="n">
        <v>46272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46272</v>
      </c>
      <c r="O94" s="55" t="n">
        <v>46273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46273</v>
      </c>
      <c r="O95" s="55" t="n">
        <v>46273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46271</v>
      </c>
      <c r="O96" s="45" t="n">
        <v>46273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46271</v>
      </c>
      <c r="O97" s="55" t="n">
        <v>46273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46272</v>
      </c>
      <c r="O98" s="55" t="n">
        <v>46273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46273</v>
      </c>
      <c r="O99" s="55" t="n"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46272</v>
      </c>
      <c r="O100" s="45" t="n">
        <v>46274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46270</v>
      </c>
      <c r="J103" s="53" t="n">
        <v>46273</v>
      </c>
      <c r="K103" s="52"/>
      <c r="L103" s="52"/>
      <c r="M103" s="54" t="s">
        <v>463</v>
      </c>
      <c r="N103" s="55" t="n">
        <v>46272</v>
      </c>
      <c r="O103" s="55" t="n">
        <v>46273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467</v>
      </c>
      <c r="N104" s="55" t="n">
        <v>46273</v>
      </c>
      <c r="O104" s="55" t="n">
        <v>46274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471</v>
      </c>
      <c r="N105" s="55" t="n">
        <v>46273</v>
      </c>
      <c r="O105" s="55" t="n">
        <v>46274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475</v>
      </c>
      <c r="N106" s="55" t="n">
        <v>46274</v>
      </c>
      <c r="O106" s="55" t="n">
        <v>46274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46274</v>
      </c>
      <c r="O107" s="45" t="n">
        <v>46275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482</v>
      </c>
      <c r="N108" s="55" t="n">
        <v>46274</v>
      </c>
      <c r="O108" s="55" t="n">
        <v>46275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486</v>
      </c>
      <c r="N109" s="55" t="n">
        <v>46275</v>
      </c>
      <c r="O109" s="55" t="n">
        <v>46275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490</v>
      </c>
      <c r="N110" s="55" t="n">
        <v>46274</v>
      </c>
      <c r="O110" s="55" t="n">
        <v>46275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46280</v>
      </c>
      <c r="M111" s="43"/>
      <c r="N111" s="44" t="n">
        <v>46280</v>
      </c>
      <c r="O111" s="45" t="n">
        <v>46280</v>
      </c>
      <c r="P111" s="46" t="s">
        <v>60</v>
      </c>
      <c r="Q111" s="37" t="n">
        <v>4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498</v>
      </c>
      <c r="N112" s="55" t="n">
        <v>46280</v>
      </c>
      <c r="O112" s="55" t="n">
        <v>46280</v>
      </c>
      <c r="P112" s="50" t="s">
        <v>124</v>
      </c>
      <c r="Q112" s="52" t="n">
        <v>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502</v>
      </c>
      <c r="N113" s="55" t="n">
        <v>46280</v>
      </c>
      <c r="O113" s="55" t="n">
        <v>46280</v>
      </c>
      <c r="P113" s="50" t="s">
        <v>124</v>
      </c>
      <c r="Q113" s="52" t="n">
        <v>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46265</v>
      </c>
      <c r="O114" s="33" t="n">
        <v>46430</v>
      </c>
      <c r="P114" s="34" t="s">
        <v>75</v>
      </c>
      <c r="Q114" s="31" t="n">
        <v>91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 t="n">
        <v>46316</v>
      </c>
      <c r="M115" s="43"/>
      <c r="N115" s="44" t="n">
        <v>46316</v>
      </c>
      <c r="O115" s="45" t="n">
        <v>46316</v>
      </c>
      <c r="P115" s="46" t="s">
        <v>507</v>
      </c>
      <c r="Q115" s="37" t="n">
        <v>37</v>
      </c>
      <c r="R115" s="39"/>
      <c r="S115" s="39" t="n">
        <v>1</v>
      </c>
      <c r="T115" s="39" t="s">
        <v>508</v>
      </c>
      <c r="U115" s="58" t="n">
        <v>46316.0115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514</v>
      </c>
      <c r="N116" s="55" t="n">
        <v>46316</v>
      </c>
      <c r="O116" s="55" t="n">
        <v>46316</v>
      </c>
      <c r="P116" s="50" t="s">
        <v>285</v>
      </c>
      <c r="Q116" s="52" t="n">
        <v>39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518</v>
      </c>
      <c r="N117" s="55" t="n">
        <v>46316</v>
      </c>
      <c r="O117" s="55" t="n">
        <v>46316</v>
      </c>
      <c r="P117" s="50" t="s">
        <v>285</v>
      </c>
      <c r="Q117" s="52" t="n">
        <v>38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522</v>
      </c>
      <c r="N118" s="55" t="n">
        <v>46316</v>
      </c>
      <c r="O118" s="55" t="n">
        <v>46316</v>
      </c>
      <c r="P118" s="50" t="s">
        <v>285</v>
      </c>
      <c r="Q118" s="52" t="n">
        <v>38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526</v>
      </c>
      <c r="N119" s="55" t="n">
        <v>46316</v>
      </c>
      <c r="O119" s="55" t="n">
        <v>46316</v>
      </c>
      <c r="P119" s="50" t="s">
        <v>285</v>
      </c>
      <c r="Q119" s="52" t="n">
        <v>38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530</v>
      </c>
      <c r="N120" s="55" t="n">
        <v>46316</v>
      </c>
      <c r="O120" s="55" t="n">
        <v>46316</v>
      </c>
      <c r="P120" s="50" t="s">
        <v>285</v>
      </c>
      <c r="Q120" s="52" t="n">
        <v>37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534</v>
      </c>
      <c r="N121" s="55" t="n">
        <v>46316</v>
      </c>
      <c r="O121" s="55" t="n">
        <v>46316</v>
      </c>
      <c r="P121" s="50" t="s">
        <v>285</v>
      </c>
      <c r="Q121" s="52" t="n">
        <v>37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46364</v>
      </c>
      <c r="O122" s="45" t="n">
        <v>46364</v>
      </c>
      <c r="P122" s="46" t="s">
        <v>285</v>
      </c>
      <c r="Q122" s="37" t="n">
        <v>85</v>
      </c>
      <c r="R122" s="39"/>
      <c r="S122" s="39" t="n">
        <v>1</v>
      </c>
      <c r="T122" s="39" t="s">
        <v>286</v>
      </c>
      <c r="U122" s="58" t="n">
        <v>46364.0122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46265</v>
      </c>
      <c r="L123" s="42" t="n">
        <v>46268</v>
      </c>
      <c r="M123" s="43"/>
      <c r="N123" s="44" t="n">
        <v>46265</v>
      </c>
      <c r="O123" s="45" t="n">
        <v>46268</v>
      </c>
      <c r="P123" s="46" t="s">
        <v>60</v>
      </c>
      <c r="Q123" s="37" t="n">
        <v>-13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46417</v>
      </c>
      <c r="O124" s="45" t="n">
        <v>46430</v>
      </c>
      <c r="P124" s="46" t="s">
        <v>285</v>
      </c>
      <c r="Q124" s="37" t="n">
        <v>91</v>
      </c>
      <c r="R124" s="39"/>
      <c r="S124" s="39" t="n">
        <v>1</v>
      </c>
      <c r="T124" s="39" t="s">
        <v>286</v>
      </c>
      <c r="U124" s="58" t="n">
        <v>46417.0124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549</v>
      </c>
      <c r="N125" s="55" t="n">
        <v>46417</v>
      </c>
      <c r="O125" s="55" t="n">
        <v>46421</v>
      </c>
      <c r="P125" s="50" t="s">
        <v>285</v>
      </c>
      <c r="Q125" s="52" t="n">
        <v>91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553</v>
      </c>
      <c r="N126" s="55" t="n">
        <v>46420</v>
      </c>
      <c r="O126" s="55" t="n">
        <v>46427</v>
      </c>
      <c r="P126" s="50" t="s">
        <v>285</v>
      </c>
      <c r="Q126" s="52" t="n">
        <v>91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557</v>
      </c>
      <c r="N127" s="55" t="n">
        <v>46427</v>
      </c>
      <c r="O127" s="55" t="n">
        <v>46430</v>
      </c>
      <c r="P127" s="50" t="s">
        <v>285</v>
      </c>
      <c r="Q127" s="52" t="n">
        <v>91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 t="n">
        <v>46321</v>
      </c>
      <c r="M128" s="43"/>
      <c r="N128" s="44" t="n">
        <v>46321</v>
      </c>
      <c r="O128" s="45" t="n">
        <v>46321</v>
      </c>
      <c r="P128" s="46" t="s">
        <v>507</v>
      </c>
      <c r="Q128" s="37" t="n">
        <v>32</v>
      </c>
      <c r="R128" s="39"/>
      <c r="S128" s="39" t="n">
        <v>1</v>
      </c>
      <c r="T128" s="39" t="s">
        <v>508</v>
      </c>
      <c r="U128" s="58" t="n">
        <v>46321.0128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46322</v>
      </c>
      <c r="O129" s="45" t="n">
        <v>46322</v>
      </c>
      <c r="P129" s="46" t="s">
        <v>285</v>
      </c>
      <c r="Q129" s="37" t="n">
        <v>33</v>
      </c>
      <c r="R129" s="39"/>
      <c r="S129" s="39" t="n">
        <v>1</v>
      </c>
      <c r="T129" s="39" t="s">
        <v>286</v>
      </c>
      <c r="U129" s="58" t="n">
        <v>46322.0129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46322</v>
      </c>
      <c r="O130" s="45" t="n">
        <v>46328</v>
      </c>
      <c r="P130" s="46" t="s">
        <v>285</v>
      </c>
      <c r="Q130" s="37" t="n">
        <v>39</v>
      </c>
      <c r="R130" s="39"/>
      <c r="S130" s="39" t="n">
        <v>1</v>
      </c>
      <c r="T130" s="39" t="s">
        <v>286</v>
      </c>
      <c r="U130" s="58" t="n">
        <v>46322.013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46414</v>
      </c>
      <c r="O131" s="45" t="n">
        <v>46416</v>
      </c>
      <c r="P131" s="46" t="s">
        <v>285</v>
      </c>
      <c r="Q131" s="37" t="n">
        <v>91</v>
      </c>
      <c r="R131" s="39"/>
      <c r="S131" s="39" t="n">
        <v>1</v>
      </c>
      <c r="T131" s="39" t="s">
        <v>286</v>
      </c>
      <c r="U131" s="58" t="n">
        <v>46414.0131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643</v>
      </c>
      <c r="C8" s="95" t="s">
        <v>644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46214</v>
      </c>
      <c r="F9" s="99" t="n">
        <v>46214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46221</v>
      </c>
      <c r="F11" s="99" t="n">
        <v>46230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0.3333</v>
      </c>
      <c r="Q11" s="101" t="n">
        <v>0.3333</v>
      </c>
      <c r="R11" s="101" t="n">
        <v>0.3333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46244</v>
      </c>
      <c r="F13" s="99" t="n">
        <v>46244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 t="n">
        <v>0.5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0.5</v>
      </c>
      <c r="Q15" s="101" t="n">
        <v>0.5</v>
      </c>
      <c r="R15" s="101" t="n">
        <v>0.5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46251</v>
      </c>
      <c r="F24" s="99" t="n">
        <v>46264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46271</v>
      </c>
      <c r="F26" s="99" t="n">
        <v>46274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5</v>
      </c>
      <c r="X26" s="101" t="n">
        <v>5</v>
      </c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46269</v>
      </c>
      <c r="F28" s="99" t="n">
        <v>46274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10</v>
      </c>
      <c r="X28" s="101" t="n">
        <v>10</v>
      </c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46269</v>
      </c>
      <c r="F32" s="99" t="n">
        <v>46272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7.5</v>
      </c>
      <c r="X32" s="101" t="n">
        <v>7.5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46270</v>
      </c>
      <c r="F34" s="99" t="n">
        <v>46273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5</v>
      </c>
      <c r="X34" s="101" t="n">
        <v>5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46271</v>
      </c>
      <c r="F36" s="99" t="n">
        <v>46273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2.5</v>
      </c>
      <c r="X36" s="101" t="n">
        <v>2.5</v>
      </c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46272</v>
      </c>
      <c r="F38" s="99" t="n">
        <v>46274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 t="n">
        <v>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46274</v>
      </c>
      <c r="F40" s="99" t="n">
        <v>46275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 t="n">
        <v>2.5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663</v>
      </c>
      <c r="C42" s="95" t="s">
        <v>644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664</v>
      </c>
      <c r="C44" s="95" t="s">
        <v>644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0.8333</v>
      </c>
      <c r="S48" s="103" t="n">
        <f aca="false">SUMIF($C$7:$C$45,"Actual",S$7:S$45)</f>
        <v>0</v>
      </c>
      <c r="T48" s="103" t="n">
        <f aca="false">SUMIF($C$7:$C$45,"Actual",T$7:T$45)</f>
        <v>0.5</v>
      </c>
      <c r="U48" s="103" t="n">
        <f aca="false">SUMIF($C$7:$C$45,"Actual",U$7:U$45)</f>
        <v>10</v>
      </c>
      <c r="V48" s="103" t="n">
        <f aca="false">SUMIF($C$7:$C$45,"Actual",V$7:V$45)</f>
        <v>10</v>
      </c>
      <c r="W48" s="103" t="n">
        <f aca="false">SUMIF($C$7:$C$45,"Actual",W$7:W$45)</f>
        <v>32.5</v>
      </c>
      <c r="X48" s="103" t="n">
        <f aca="false">SUMIF($C$7:$C$45,"Actual",X$7:X$45)</f>
        <v>37.5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1.3333</v>
      </c>
      <c r="Q50" s="105" t="n">
        <f aca="false">IF(Q$6&gt;46314,"",P50+Q48)</f>
        <v>2.1666</v>
      </c>
      <c r="R50" s="105" t="n">
        <f aca="false">IF(R$6&gt;46314,"",Q50+R48)</f>
        <v>2.9999</v>
      </c>
      <c r="S50" s="105" t="n">
        <f aca="false">IF(S$6&gt;46314,"",R50+S48)</f>
        <v>2.9999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23.4999</v>
      </c>
      <c r="W50" s="105" t="n">
        <f aca="false">IF(W$6&gt;46314,"",V50+W48)</f>
        <v>55.9999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2026-10-26T04:43:46Z</dcterms:created>
  <dc:creator>openpyxl</dc:creator>
  <dc:description/>
  <dc:language>en-US</dc:language>
  <cp:lastModifiedBy/>
  <dcterms:modified xsi:type="dcterms:W3CDTF">2026-10-26T11:47:10Z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