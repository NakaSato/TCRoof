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<sst xmlns="http://schemas.openxmlformats.org/spreadsheetml/2006/main" count="1294" uniqueCount="670">
  <si>
    <t xml:space="preserve">แผนโครงการ P4-032 – สถานีผลิตน้ำบ้านเหล่ากล้วย 479.94 kWp</t>
  </si>
  <si>
    <t xml:space="preserve">กปภ.สาขาร้อยเอ็ด, ภาคอีสาน, กฟภ. เขต ฉ.2, Inverter 500 kW (ต้องยื่น พค.2), Zero export HV, คำขอ PPIM1A5065BE, วิศวกร แบงค์, Admin เตย, ผรม. C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</si>
  <si>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</si>
  <si>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</si>
  <si>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</si>
  <si>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</si>
  <si>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</si>
  <si>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</si>
  <si>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</si>
  <si>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</si>
  <si>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</si>
  <si>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</si>
  <si>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</si>
  <si>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</si>
  <si>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</si>
  <si>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</si>
  <si>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</si>
  <si>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</si>
  <si>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</si>
  <si>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</si>
  <si>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</si>
  <si>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</si>
  <si>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</si>
  <si>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</si>
  <si>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</si>
  <si>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</si>
  <si>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</si>
  <si>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</si>
  <si>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</si>
  <si>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</si>
  <si>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</si>
  <si>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</si>
  <si>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</si>
  <si>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</si>
  <si>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</si>
  <si>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</si>
  <si>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</si>
  <si>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</si>
  <si>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</si>
  <si>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</si>
  <si>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</si>
  <si>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</si>
  <si>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</si>
  <si>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</si>
  <si>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</si>
  <si>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</si>
  <si>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</si>
  <si>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</si>
  <si>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</si>
  <si>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</si>
  <si>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</si>
  <si>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</si>
  <si>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</si>
  <si>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</si>
  <si>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</si>
  <si>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</si>
  <si>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</si>
  <si>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</si>
  <si>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</si>
  <si>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</si>
  <si>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</si>
  <si>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</si>
  <si>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</si>
  <si>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</si>
  <si>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</si>
  <si>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</si>
  <si>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</si>
  <si>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</si>
  <si>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</si>
  <si>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</si>
  <si>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</si>
  <si>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</si>
  <si>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</si>
  <si>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</si>
  <si>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</si>
  <si>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</si>
  <si>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</si>
  <si>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</si>
  <si>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</si>
  <si>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แบงค์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</si>
  <si>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</si>
  <si>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</si>
  <si>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</si>
  <si>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</si>
  <si>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</si>
  <si>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</si>
  <si>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</si>
  <si>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</si>
  <si>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</si>
  <si>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</si>
  <si>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</si>
  <si>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</si>
  <si>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</si>
  <si>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</si>
  <si>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</si>
  <si>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</si>
  <si>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</si>
  <si>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</si>
  <si>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</si>
  <si>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</si>
  <si>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</si>
  <si>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</si>
  <si>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</si>
  <si>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</si>
  <si>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</si>
  <si>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</si>
  <si>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</si>
  <si>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</si>
  <si>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</si>
  <si>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</si>
  <si>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</si>
  <si>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</si>
  <si>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</si>
  <si>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</si>
  <si>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</si>
  <si>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</si>
  <si>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</si>
  <si>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</si>
  <si>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</si>
  <si>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</si>
  <si>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</si>
  <si>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</si>
  <si>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</si>
  <si>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</si>
  <si>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</si>
  <si>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</si>
  <si>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</si>
  <si>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</si>
  <si>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</si>
  <si>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</si>
  <si>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</si>
  <si>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</si>
  <si>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</si>
  <si>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</si>
  <si>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</si>
  <si>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</si>
  <si>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</si>
  <si>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</si>
  <si>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</si>
  <si>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</si>
  <si>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</si>
  <si>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</si>
  <si>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</si>
  <si>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</si>
  <si>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</si>
  <si>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</si>
  <si>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</si>
  <si>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</si>
  <si>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</si>
  <si>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</si>
  <si>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</si>
  <si>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</si>
  <si>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WBS'!L2212</t>
    </r>
  </si>
  <si>
    <t xml:space="preserve">0.3</t>
  </si>
  <si>
    <t xml:space="preserve">หนังสือแจ้งขอดับไฟ</t>
  </si>
  <si>
    <t xml:space="preserve">TC-PML-2026-429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</si>
  <si>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</si>
  <si>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</si>
  <si>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</si>
  <si>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</si>
  <si>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</si>
  <si>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</si>
  <si>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</si>
  <si>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</si>
  <si>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</si>
  <si>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</si>
  <si>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</si>
  <si>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</si>
  <si>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</si>
  <si>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</si>
  <si>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</si>
  <si>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</si>
  <si>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</si>
  <si>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</si>
  <si>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</si>
  <si>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</si>
  <si>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</si>
  <si>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</si>
  <si>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</si>
  <si>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</si>
  <si>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</si>
  <si>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</si>
  <si>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</si>
  <si>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</si>
  <si>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</si>
  <si>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</si>
  <si>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</si>
  <si>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</si>
  <si>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</si>
  <si>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</si>
  <si>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</si>
  <si>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</si>
  <si>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</si>
  <si>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</si>
  <si>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</si>
  <si>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</si>
  <si>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</si>
  <si>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</si>
  <si>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</si>
  <si>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</si>
  <si>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</si>
  <si>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</si>
  <si>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</si>
  <si>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</si>
  <si>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</si>
  <si>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</si>
  <si>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</si>
  <si>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</si>
  <si>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</si>
  <si>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</si>
  <si>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</si>
  <si>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</si>
  <si>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</si>
  <si>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</si>
  <si>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</si>
  <si>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</si>
  <si>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</si>
  <si>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</si>
  <si>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</si>
  <si>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</si>
  <si>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</si>
  <si>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</si>
  <si>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</si>
  <si>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</si>
  <si>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</si>
  <si>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</si>
  <si>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</si>
  <si>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</si>
  <si>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</si>
  <si>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</si>
  <si>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</si>
  <si>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</si>
  <si>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</si>
  <si>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</si>
  <si>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</si>
  <si>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</si>
  <si>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</si>
  <si>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</si>
  <si>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</si>
  <si>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</si>
  <si>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</si>
  <si>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</si>
  <si>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WBS'!L2228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</si>
  <si>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</si>
  <si>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</si>
  <si>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</si>
  <si>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</si>
  <si>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</si>
  <si>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</si>
  <si>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</si>
  <si>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</si>
  <si>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WBS'!L2229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</si>
  <si>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</si>
  <si>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</si>
  <si>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</si>
  <si>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WBS'!L2230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</si>
  <si>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</si>
  <si>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</si>
  <si>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</si>
  <si>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</si>
  <si>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</si>
  <si>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</si>
  <si>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WBS'!L2231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</si>
  <si>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</si>
  <si>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</si>
  <si>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</si>
  <si>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</si>
  <si>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</si>
  <si>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</si>
  <si>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</si>
  <si>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</si>
  <si>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</si>
  <si>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</si>
  <si>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</si>
  <si>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</si>
  <si>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WBS'!L2233</t>
    </r>
  </si>
  <si>
    <t xml:space="preserve">1.7.1</t>
  </si>
  <si>
    <t xml:space="preserve">คำขอขนานไฟ PPIM (ชุด 11 ไฟล์)</t>
  </si>
  <si>
    <t xml:space="preserve">PPIM1A5065BE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</si>
  <si>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</si>
  <si>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</si>
  <si>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</si>
  <si>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</si>
  <si>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</si>
  <si>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</si>
  <si>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</si>
  <si>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</si>
  <si>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</si>
  <si>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</si>
  <si>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</si>
  <si>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</si>
  <si>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</si>
  <si>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</si>
  <si>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</si>
  <si>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</si>
  <si>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</si>
  <si>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</si>
  <si>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</si>
  <si>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</si>
  <si>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</si>
  <si>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</si>
  <si>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(21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</si>
  <si>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</si>
  <si>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</si>
  <si>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</si>
  <si>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</si>
  <si>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</si>
  <si>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</si>
  <si>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</si>
  <si>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</si>
  <si>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</si>
  <si>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</si>
  <si>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</si>
  <si>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</si>
  <si>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</si>
  <si>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</si>
  <si>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</si>
  <si>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</si>
  <si>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</si>
  <si>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</si>
  <si>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</si>
  <si>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</si>
  <si>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</si>
  <si>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</si>
  <si>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</si>
  <si>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</si>
  <si>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</si>
  <si>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</si>
  <si>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</si>
  <si>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</si>
  <si>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</si>
  <si>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</si>
  <si>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</si>
  <si>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</si>
  <si>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</si>
  <si>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</si>
  <si>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</si>
  <si>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</si>
  <si>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</si>
  <si>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</si>
  <si>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</si>
  <si>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</si>
  <si>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</si>
  <si>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</si>
  <si>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</si>
  <si>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</si>
  <si>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</si>
  <si>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</si>
  <si>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</si>
  <si>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</si>
  <si>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</si>
  <si>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</si>
  <si>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</si>
  <si>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</si>
  <si>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</si>
  <si>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</si>
  <si>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</si>
  <si>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</si>
  <si>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</si>
  <si>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</si>
  <si>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</si>
  <si>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</si>
  <si>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</si>
  <si>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</si>
  <si>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</si>
  <si>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</si>
  <si>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</si>
  <si>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</si>
  <si>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</si>
  <si>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</si>
  <si>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</si>
  <si>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</si>
  <si>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</si>
  <si>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</si>
  <si>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</si>
  <si>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</si>
  <si>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</si>
  <si>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</si>
  <si>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</si>
  <si>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</si>
  <si>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</si>
  <si>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</si>
  <si>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</si>
  <si>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</si>
  <si>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</si>
  <si>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</si>
  <si>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</si>
  <si>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</si>
  <si>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</si>
  <si>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</si>
  <si>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</si>
  <si>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WBS'!L2252</t>
    </r>
  </si>
  <si>
    <t xml:space="preserve">2.5</t>
  </si>
  <si>
    <t xml:space="preserve">ติดตั้ง Inverter</t>
  </si>
  <si>
    <t xml:space="preserve">Inverter 500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</si>
  <si>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</si>
  <si>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</si>
  <si>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</si>
  <si>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</si>
  <si>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</si>
  <si>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</si>
  <si>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</si>
  <si>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</si>
  <si>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</si>
  <si>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</si>
  <si>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</si>
  <si>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</si>
  <si>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</si>
  <si>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</si>
  <si>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</si>
  <si>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</si>
  <si>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WBS'!L2256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</si>
  <si>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</si>
  <si>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</si>
  <si>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</si>
  <si>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</si>
  <si>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</si>
  <si>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</si>
  <si>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</si>
  <si>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</si>
  <si>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</si>
  <si>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</si>
  <si>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</si>
  <si>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</si>
  <si>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</si>
  <si>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</si>
  <si>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</si>
  <si>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</si>
  <si>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</si>
  <si>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</si>
  <si>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</si>
  <si>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</si>
  <si>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</si>
  <si>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</si>
  <si>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</si>
  <si>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</si>
  <si>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</si>
  <si>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</si>
  <si>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</si>
  <si>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</si>
  <si>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</si>
  <si>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</si>
  <si>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</si>
  <si>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</si>
  <si>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</si>
  <si>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</si>
  <si>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</si>
  <si>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</si>
  <si>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</si>
  <si>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</si>
  <si>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WBS'!L2264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</si>
  <si>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</si>
  <si>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</si>
  <si>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</si>
  <si>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</si>
  <si>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</si>
  <si>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</si>
  <si>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</si>
  <si>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</si>
  <si>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</si>
  <si>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</si>
  <si>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WBS'!L2265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</si>
  <si>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</si>
  <si>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</si>
  <si>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</si>
  <si>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</si>
  <si>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</si>
  <si>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</si>
  <si>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</si>
  <si>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</si>
  <si>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</si>
  <si>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</si>
  <si>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</si>
  <si>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</si>
  <si>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</si>
  <si>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</si>
  <si>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</si>
  <si>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</si>
  <si>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</si>
  <si>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</si>
  <si>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</si>
  <si>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</si>
  <si>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</si>
  <si>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</si>
  <si>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</si>
  <si>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</si>
  <si>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</si>
  <si>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</si>
  <si>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</si>
  <si>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</si>
  <si>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</si>
  <si>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</si>
  <si>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</si>
  <si>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</si>
  <si>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</si>
  <si>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</si>
  <si>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</si>
  <si>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</si>
  <si>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</si>
  <si>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</si>
  <si>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</si>
  <si>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</si>
  <si>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</si>
  <si>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</si>
  <si>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</si>
  <si>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</si>
  <si>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</si>
  <si>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</si>
  <si>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</si>
  <si>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</si>
  <si>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</si>
  <si>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</si>
  <si>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</si>
  <si>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</si>
  <si>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</si>
  <si>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</si>
  <si>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</si>
  <si>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</si>
  <si>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</si>
  <si>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</si>
  <si>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</si>
  <si>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</si>
  <si>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</si>
  <si>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</si>
  <si>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</si>
  <si>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</si>
  <si>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</si>
  <si>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</si>
  <si>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</si>
  <si>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</si>
  <si>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</si>
  <si>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</si>
  <si>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</si>
  <si>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</si>
  <si>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</si>
  <si>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</si>
  <si>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</si>
  <si>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</si>
  <si>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</si>
  <si>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</si>
  <si>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</si>
  <si>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</si>
  <si>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</si>
  <si>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</si>
  <si>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</si>
  <si>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</si>
  <si>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</si>
  <si>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</si>
  <si>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</si>
  <si>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</si>
  <si>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</si>
  <si>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</si>
  <si>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</si>
  <si>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</si>
  <si>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</si>
  <si>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</si>
  <si>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</si>
  <si>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</si>
  <si>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</si>
  <si>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</si>
  <si>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</si>
  <si>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</si>
  <si>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</si>
  <si>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</si>
  <si>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</si>
  <si>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</si>
  <si>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</si>
  <si>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</si>
  <si>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</si>
  <si>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</si>
  <si>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</si>
  <si>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</si>
  <si>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</si>
  <si>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</si>
  <si>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</si>
  <si>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</si>
  <si>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</si>
  <si>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</si>
  <si>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</si>
  <si>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</si>
  <si>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</si>
  <si>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</si>
  <si>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</si>
  <si>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</si>
  <si>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</si>
  <si>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</si>
  <si>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</si>
  <si>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</si>
  <si>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</si>
  <si>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</si>
  <si>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</si>
  <si>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</si>
  <si>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</si>
  <si>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</si>
  <si>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</si>
  <si>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</si>
  <si>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 kW, โรงเรือน 14.00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</si>
  <si>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</si>
  <si>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</si>
  <si>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</si>
  <si>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</si>
  <si>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</si>
  <si>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</si>
  <si>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</si>
  <si>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</si>
  <si>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</si>
  <si>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</si>
  <si>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</si>
  <si>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</si>
  <si>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</si>
  <si>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</si>
  <si>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</si>
  <si>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</si>
  <si>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</si>
  <si>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</si>
  <si>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สถานีผลิตน้ำบ้านเหล่ากล้วย การประปาส่วนภูมิภาคสาขาร้อยเอ็ด ขนาดกำลังผลิต </t>
    </r>
    <r>
      <rPr>
        <sz val="10"/>
        <rFont val="Tahoma"/>
        <family val="0"/>
        <charset val="1"/>
      </rPr>
      <t xml:space="preserve">479.94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</si>
  <si>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</si>
  <si>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</si>
  <si>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</si>
  <si>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แบงค์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</si>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</sst>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1.18571428571429</c:v>
                </c:pt>
                <c:pt idx="5">
                  <c:v>2.28571428571429</c:v>
                </c:pt>
                <c:pt idx="6">
                  <c:v>2.5</c:v>
                </c:pt>
                <c:pt idx="7">
                  <c:v>3</c:v>
                </c:pt>
                <c:pt idx="8">
                  <c:v>9.66666666666667</c:v>
                </c:pt>
                <c:pt idx="9">
                  <c:v>17.4444444444444</c:v>
                </c:pt>
                <c:pt idx="10">
                  <c:v>37</c:v>
                </c:pt>
                <c:pt idx="11">
                  <c:v>88.1666666666667</c:v>
                </c:pt>
                <c:pt idx="12">
                  <c:v>96.5869565217391</c:v>
                </c:pt>
                <c:pt idx="13">
                  <c:v>96.7391304347826</c:v>
                </c:pt>
                <c:pt idx="14">
                  <c:v>96.8913043478261</c:v>
                </c:pt>
                <c:pt idx="15">
                  <c:v>97.0434782608696</c:v>
                </c:pt>
                <c:pt idx="16">
                  <c:v>97.1956521739131</c:v>
                </c:pt>
                <c:pt idx="17">
                  <c:v>97.3478260869565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2.5</c:v>
                </c:pt>
                <c:pt idx="3">
                  <c:v>5.5</c:v>
                </c:pt>
                <c:pt idx="4">
                  <c:v>8.8333</c:v>
                </c:pt>
                <c:pt idx="5">
                  <c:v>12.1666</c:v>
                </c:pt>
                <c:pt idx="6">
                  <c:v>14.9999</c:v>
                </c:pt>
                <c:pt idx="7">
                  <c:v>17.9999</c:v>
                </c:pt>
                <c:pt idx="8">
                  <c:v>20.4999</c:v>
                </c:pt>
                <c:pt idx="9">
                  <c:v>29.6666</c:v>
                </c:pt>
                <c:pt idx="10">
                  <c:v>36.3333</c:v>
                </c:pt>
                <c:pt idx="11">
                  <c:v>93</c:v>
                </c:pt>
                <c:pt idx="12">
                  <c:v>93</c:v>
                </c:pt>
                <c:pt idx="13">
                  <c:v>93</c:v>
                </c:pt>
                <c:pt idx="14">
                  <c:v>93.1111</c:v>
                </c:pt>
                <c:pt idx="15">
                  <c:v>93.2222</c:v>
                </c:pt>
                <c:pt idx="16">
                  <c:v>93.3333</c:v>
                </c:pt>
                <c:pt idx="17">
                  <c:v>94.4444</c:v>
                </c:pt>
                <c:pt idx="18">
                  <c:v>94.5555</c:v>
                </c:pt>
                <c:pt idx="19">
                  <c:v>94.6666</c:v>
                </c:pt>
                <c:pt idx="20">
                  <c:v>94.7777</c:v>
                </c:pt>
                <c:pt idx="21">
                  <c:v>94.8888</c:v>
                </c:pt>
                <c:pt idx="22">
                  <c:v>94.9998999999999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632343"/>
        <c:axId val="70581472"/>
      </c:lineChart>
      <c:catAx>
        <c:axId val="5163234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81472"/>
        <c:crosses val="autoZero"/>
        <c:auto val="1"/>
        <c:lblAlgn val="ctr"/>
        <c:lblOffset val="100"/>
        <c:noMultiLvlLbl val="0"/>
      </c:catAx>
      <c:valAx>
        <c:axId val="70581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323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86</v>
      </c>
      <c r="M4" s="12"/>
      <c r="N4" s="12" t="n">
        <v>94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25425</v>
      </c>
      <c r="O8" s="33" t="n">
        <v>46405</v>
      </c>
      <c r="P8" s="34" t="s">
        <v>75</v>
      </c>
      <c r="Q8" s="31" t="n">
        <v>96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46405</v>
      </c>
      <c r="P9" s="46" t="s">
        <v>75</v>
      </c>
      <c r="Q9" s="37" t="n">
        <v>96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46206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46206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46206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46217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46206</v>
      </c>
      <c r="O14" s="55" t="n">
        <v>46405</v>
      </c>
      <c r="P14" s="50" t="s">
        <v>75</v>
      </c>
      <c r="Q14" s="52" t="n">
        <v>96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46206</v>
      </c>
      <c r="O15" s="55" t="n">
        <v>46405</v>
      </c>
      <c r="P15" s="50" t="s">
        <v>75</v>
      </c>
      <c r="Q15" s="52" t="n">
        <v>96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25425</v>
      </c>
      <c r="M25" s="43"/>
      <c r="N25" s="44" t="n">
        <v>25425</v>
      </c>
      <c r="O25" s="45" t="n">
        <v>25425</v>
      </c>
      <c r="P25" s="46" t="s">
        <v>60</v>
      </c>
      <c r="Q25" s="37" t="n">
        <v>-20783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25425</v>
      </c>
      <c r="O26" s="55" t="n">
        <v>25425</v>
      </c>
      <c r="P26" s="50" t="s">
        <v>124</v>
      </c>
      <c r="Q26" s="52" t="n">
        <v>-20783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25425</v>
      </c>
      <c r="O27" s="55" t="n">
        <v>25425</v>
      </c>
      <c r="P27" s="50" t="s">
        <v>124</v>
      </c>
      <c r="Q27" s="52" t="n">
        <v>-20783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25425</v>
      </c>
      <c r="O28" s="55" t="n">
        <v>25425</v>
      </c>
      <c r="P28" s="50" t="s">
        <v>124</v>
      </c>
      <c r="Q28" s="52" t="n">
        <v>-20783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46386</v>
      </c>
      <c r="P29" s="34" t="s">
        <v>75</v>
      </c>
      <c r="Q29" s="31" t="n">
        <v>94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46190</v>
      </c>
      <c r="O34" s="45" t="n">
        <v>46199</v>
      </c>
      <c r="P34" s="46" t="s">
        <v>115</v>
      </c>
      <c r="Q34" s="37" t="n">
        <v>-1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46190</v>
      </c>
      <c r="O35" s="55" t="n">
        <v>46195</v>
      </c>
      <c r="P35" s="50" t="s">
        <v>124</v>
      </c>
      <c r="Q35" s="52" t="n">
        <v>0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46190</v>
      </c>
      <c r="O36" s="55" t="n">
        <v>46195</v>
      </c>
      <c r="P36" s="50" t="s">
        <v>124</v>
      </c>
      <c r="Q36" s="52" t="n">
        <v>-1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46193</v>
      </c>
      <c r="O37" s="55" t="n">
        <v>46196</v>
      </c>
      <c r="P37" s="50" t="s">
        <v>124</v>
      </c>
      <c r="Q37" s="52" t="n">
        <v>-1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46195</v>
      </c>
      <c r="O38" s="55" t="n">
        <v>46199</v>
      </c>
      <c r="P38" s="50" t="s">
        <v>124</v>
      </c>
      <c r="Q38" s="52" t="n">
        <v>-1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46209</v>
      </c>
      <c r="O39" s="45" t="n">
        <v>46209</v>
      </c>
      <c r="P39" s="46" t="s">
        <v>115</v>
      </c>
      <c r="Q39" s="37" t="n">
        <v>-5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46209</v>
      </c>
      <c r="O40" s="55" t="n">
        <v>46209</v>
      </c>
      <c r="P40" s="50" t="s">
        <v>124</v>
      </c>
      <c r="Q40" s="52" t="n">
        <v>-5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46209</v>
      </c>
      <c r="O41" s="55" t="n">
        <v>46209</v>
      </c>
      <c r="P41" s="50" t="s">
        <v>124</v>
      </c>
      <c r="Q41" s="52" t="n">
        <v>-5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46209</v>
      </c>
      <c r="O42" s="55" t="n">
        <v>46209</v>
      </c>
      <c r="P42" s="50" t="s">
        <v>124</v>
      </c>
      <c r="Q42" s="52" t="n">
        <v>-5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46247</v>
      </c>
      <c r="J47" s="41" t="n">
        <v>46247</v>
      </c>
      <c r="K47" s="42"/>
      <c r="L47" s="42" t="n">
        <v>46279</v>
      </c>
      <c r="M47" s="43"/>
      <c r="N47" s="44" t="n">
        <v>46279</v>
      </c>
      <c r="O47" s="45" t="n">
        <v>46279</v>
      </c>
      <c r="P47" s="46" t="s">
        <v>60</v>
      </c>
      <c r="Q47" s="37" t="n">
        <v>32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46247</v>
      </c>
      <c r="J48" s="53" t="n">
        <v>46247</v>
      </c>
      <c r="K48" s="52"/>
      <c r="L48" s="52"/>
      <c r="M48" s="54" t="s">
        <v>251</v>
      </c>
      <c r="N48" s="55" t="n">
        <v>46279</v>
      </c>
      <c r="O48" s="55" t="n">
        <v>46279</v>
      </c>
      <c r="P48" s="50" t="s">
        <v>124</v>
      </c>
      <c r="Q48" s="52" t="n">
        <v>32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46247</v>
      </c>
      <c r="J49" s="53" t="n">
        <v>46247</v>
      </c>
      <c r="K49" s="52"/>
      <c r="L49" s="52"/>
      <c r="M49" s="54" t="s">
        <v>255</v>
      </c>
      <c r="N49" s="55" t="n">
        <v>46279</v>
      </c>
      <c r="O49" s="55" t="n">
        <v>46279</v>
      </c>
      <c r="P49" s="50" t="s">
        <v>124</v>
      </c>
      <c r="Q49" s="52" t="n">
        <v>32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46248</v>
      </c>
      <c r="J50" s="41" t="n">
        <v>46277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66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46247</v>
      </c>
      <c r="J51" s="53" t="n">
        <v>46247</v>
      </c>
      <c r="K51" s="52"/>
      <c r="L51" s="52"/>
      <c r="M51" s="54" t="s">
        <v>262</v>
      </c>
      <c r="N51" s="55" t="n">
        <v>46279</v>
      </c>
      <c r="O51" s="55" t="n">
        <v>46279</v>
      </c>
      <c r="P51" s="50" t="s">
        <v>124</v>
      </c>
      <c r="Q51" s="52" t="n">
        <v>32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13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46260</v>
      </c>
      <c r="L57" s="42"/>
      <c r="M57" s="43"/>
      <c r="N57" s="44" t="n">
        <v>46260</v>
      </c>
      <c r="O57" s="45" t="n">
        <v>46315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46260.0057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46316</v>
      </c>
      <c r="O58" s="45" t="n">
        <v>46322</v>
      </c>
      <c r="P58" s="46" t="s">
        <v>287</v>
      </c>
      <c r="Q58" s="37" t="n">
        <v>47</v>
      </c>
      <c r="R58" s="39"/>
      <c r="S58" s="39" t="n">
        <v>1</v>
      </c>
      <c r="T58" s="39" t="s">
        <v>288</v>
      </c>
      <c r="U58" s="58" t="n">
        <v>46316.0058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46342</v>
      </c>
      <c r="O59" s="45" t="n">
        <v>46342</v>
      </c>
      <c r="P59" s="46" t="s">
        <v>287</v>
      </c>
      <c r="Q59" s="37" t="n">
        <v>66</v>
      </c>
      <c r="R59" s="39"/>
      <c r="S59" s="39" t="n">
        <v>1</v>
      </c>
      <c r="T59" s="39" t="s">
        <v>288</v>
      </c>
      <c r="U59" s="58" t="n">
        <v>46342.0059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46345</v>
      </c>
      <c r="O60" s="60" t="n">
        <v>46386</v>
      </c>
      <c r="P60" s="46" t="s">
        <v>287</v>
      </c>
      <c r="Q60" s="37" t="n">
        <v>94</v>
      </c>
      <c r="R60" s="39"/>
      <c r="S60" s="39" t="n">
        <v>1</v>
      </c>
      <c r="T60" s="39" t="s">
        <v>288</v>
      </c>
      <c r="U60" s="58" t="n">
        <v>46345.006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46176</v>
      </c>
      <c r="O61" s="33" t="n">
        <v>46244</v>
      </c>
      <c r="P61" s="34" t="s">
        <v>60</v>
      </c>
      <c r="Q61" s="31" t="n">
        <v>-2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48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46176</v>
      </c>
      <c r="O62" s="45" t="n">
        <v>46223</v>
      </c>
      <c r="P62" s="46" t="s">
        <v>115</v>
      </c>
      <c r="Q62" s="37" t="n">
        <v>-11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46176</v>
      </c>
      <c r="O63" s="55" t="n">
        <v>46181</v>
      </c>
      <c r="P63" s="50" t="s">
        <v>124</v>
      </c>
      <c r="Q63" s="52" t="n">
        <v>-38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46176</v>
      </c>
      <c r="O64" s="55" t="n">
        <v>46185</v>
      </c>
      <c r="P64" s="50" t="s">
        <v>124</v>
      </c>
      <c r="Q64" s="52" t="n">
        <v>-35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46181</v>
      </c>
      <c r="O65" s="55" t="n">
        <v>46200</v>
      </c>
      <c r="P65" s="50" t="s">
        <v>124</v>
      </c>
      <c r="Q65" s="52" t="n">
        <v>-25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46195</v>
      </c>
      <c r="O66" s="55" t="n">
        <v>46216</v>
      </c>
      <c r="P66" s="50" t="s">
        <v>124</v>
      </c>
      <c r="Q66" s="52" t="n">
        <v>-15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46204</v>
      </c>
      <c r="O67" s="55" t="n">
        <v>46221</v>
      </c>
      <c r="P67" s="50" t="s">
        <v>124</v>
      </c>
      <c r="Q67" s="52" t="n">
        <v>-12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46214</v>
      </c>
      <c r="O68" s="55" t="n">
        <v>46223</v>
      </c>
      <c r="P68" s="50" t="s">
        <v>124</v>
      </c>
      <c r="Q68" s="52" t="n">
        <v>-11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46221</v>
      </c>
      <c r="O69" s="55" t="n">
        <v>46223</v>
      </c>
      <c r="P69" s="50" t="s">
        <v>124</v>
      </c>
      <c r="Q69" s="52" t="n">
        <v>-11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46238</v>
      </c>
      <c r="O70" s="45" t="n">
        <v>46241</v>
      </c>
      <c r="P70" s="46" t="s">
        <v>115</v>
      </c>
      <c r="Q70" s="37" t="n">
        <v>-3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46238</v>
      </c>
      <c r="O71" s="55" t="n">
        <v>46239</v>
      </c>
      <c r="P71" s="50" t="s">
        <v>124</v>
      </c>
      <c r="Q71" s="52" t="n">
        <v>0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46239</v>
      </c>
      <c r="O72" s="55" t="n">
        <v>46240</v>
      </c>
      <c r="P72" s="50" t="s">
        <v>124</v>
      </c>
      <c r="Q72" s="52" t="n">
        <v>-2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46239</v>
      </c>
      <c r="O73" s="55" t="n">
        <v>46240</v>
      </c>
      <c r="P73" s="50" t="s">
        <v>124</v>
      </c>
      <c r="Q73" s="52" t="n">
        <v>-2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46240</v>
      </c>
      <c r="O74" s="55" t="n">
        <v>46241</v>
      </c>
      <c r="P74" s="50" t="s">
        <v>124</v>
      </c>
      <c r="Q74" s="52" t="n">
        <v>-3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46240</v>
      </c>
      <c r="O75" s="55" t="n">
        <v>46241</v>
      </c>
      <c r="P75" s="50" t="s">
        <v>124</v>
      </c>
      <c r="Q75" s="52" t="n">
        <v>-3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19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46224</v>
      </c>
      <c r="O76" s="45" t="n">
        <v>46242</v>
      </c>
      <c r="P76" s="46" t="s">
        <v>115</v>
      </c>
      <c r="Q76" s="37" t="n">
        <v>-2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46224</v>
      </c>
      <c r="O77" s="55" t="n">
        <v>46229</v>
      </c>
      <c r="P77" s="50" t="s">
        <v>124</v>
      </c>
      <c r="Q77" s="52" t="n">
        <v>-9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46226</v>
      </c>
      <c r="O78" s="55" t="n">
        <v>46239</v>
      </c>
      <c r="P78" s="50" t="s">
        <v>124</v>
      </c>
      <c r="Q78" s="52" t="n">
        <v>-4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46231</v>
      </c>
      <c r="O79" s="55" t="n">
        <v>46241</v>
      </c>
      <c r="P79" s="50" t="s">
        <v>124</v>
      </c>
      <c r="Q79" s="52" t="n">
        <v>-3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46238</v>
      </c>
      <c r="O80" s="55" t="n">
        <v>46242</v>
      </c>
      <c r="P80" s="50" t="s">
        <v>124</v>
      </c>
      <c r="Q80" s="52" t="n">
        <v>-2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46241</v>
      </c>
      <c r="O81" s="55" t="n">
        <v>46242</v>
      </c>
      <c r="P81" s="50" t="s">
        <v>124</v>
      </c>
      <c r="Q81" s="52" t="n">
        <v>-2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46238</v>
      </c>
      <c r="O85" s="45" t="n">
        <v>46241</v>
      </c>
      <c r="P85" s="46" t="s">
        <v>115</v>
      </c>
      <c r="Q85" s="37" t="n">
        <v>-1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46238</v>
      </c>
      <c r="O86" s="55" t="n">
        <v>46240</v>
      </c>
      <c r="P86" s="50" t="s">
        <v>124</v>
      </c>
      <c r="Q86" s="52" t="n">
        <v>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46239</v>
      </c>
      <c r="O87" s="55" t="n">
        <v>46241</v>
      </c>
      <c r="P87" s="50" t="s">
        <v>124</v>
      </c>
      <c r="Q87" s="52" t="n">
        <v>0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46240</v>
      </c>
      <c r="O88" s="55" t="n">
        <v>46241</v>
      </c>
      <c r="P88" s="50" t="s">
        <v>124</v>
      </c>
      <c r="Q88" s="52" t="n">
        <v>-1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46241</v>
      </c>
      <c r="O89" s="55" t="n">
        <v>46241</v>
      </c>
      <c r="P89" s="50" t="s">
        <v>124</v>
      </c>
      <c r="Q89" s="52" t="n">
        <v>-1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46239</v>
      </c>
      <c r="O90" s="45" t="n">
        <v>46242</v>
      </c>
      <c r="P90" s="46" t="s">
        <v>115</v>
      </c>
      <c r="Q90" s="37" t="n">
        <v>-1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419</v>
      </c>
      <c r="N91" s="55" t="n">
        <v>46239</v>
      </c>
      <c r="O91" s="55" t="n">
        <v>46241</v>
      </c>
      <c r="P91" s="50" t="s">
        <v>124</v>
      </c>
      <c r="Q91" s="52" t="n">
        <v>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423</v>
      </c>
      <c r="N92" s="55" t="n">
        <v>46241</v>
      </c>
      <c r="O92" s="55" t="n">
        <v>46242</v>
      </c>
      <c r="P92" s="50" t="s">
        <v>124</v>
      </c>
      <c r="Q92" s="52" t="n">
        <v>-1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427</v>
      </c>
      <c r="N93" s="55" t="n">
        <v>46239</v>
      </c>
      <c r="O93" s="55" t="n">
        <v>46241</v>
      </c>
      <c r="P93" s="50" t="s">
        <v>124</v>
      </c>
      <c r="Q93" s="52" t="n">
        <v>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431</v>
      </c>
      <c r="N94" s="55" t="n">
        <v>46241</v>
      </c>
      <c r="O94" s="55" t="n">
        <v>46242</v>
      </c>
      <c r="P94" s="50" t="s">
        <v>124</v>
      </c>
      <c r="Q94" s="52" t="n">
        <v>-1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435</v>
      </c>
      <c r="N95" s="55" t="n">
        <v>46242</v>
      </c>
      <c r="O95" s="55" t="n">
        <v>46242</v>
      </c>
      <c r="P95" s="50" t="s">
        <v>124</v>
      </c>
      <c r="Q95" s="52" t="n">
        <v>-1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46240</v>
      </c>
      <c r="O96" s="45" t="n">
        <v>46242</v>
      </c>
      <c r="P96" s="46" t="s">
        <v>115</v>
      </c>
      <c r="Q96" s="37" t="n">
        <v>-1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442</v>
      </c>
      <c r="N97" s="55" t="n">
        <v>46240</v>
      </c>
      <c r="O97" s="55" t="n">
        <v>46242</v>
      </c>
      <c r="P97" s="50" t="s">
        <v>124</v>
      </c>
      <c r="Q97" s="52" t="n">
        <v>0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446</v>
      </c>
      <c r="N98" s="55" t="n">
        <v>46241</v>
      </c>
      <c r="O98" s="55" t="n">
        <v>46242</v>
      </c>
      <c r="P98" s="50" t="s">
        <v>124</v>
      </c>
      <c r="Q98" s="52" t="n">
        <v>-1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450</v>
      </c>
      <c r="N99" s="55" t="n">
        <v>46242</v>
      </c>
      <c r="O99" s="55" t="n">
        <v>46242</v>
      </c>
      <c r="P99" s="50" t="s">
        <v>124</v>
      </c>
      <c r="Q99" s="52" t="n">
        <v>-1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46241</v>
      </c>
      <c r="O100" s="45" t="n">
        <v>46243</v>
      </c>
      <c r="P100" s="46" t="s">
        <v>115</v>
      </c>
      <c r="Q100" s="37" t="n">
        <v>-1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46241</v>
      </c>
      <c r="O101" s="55" t="n">
        <v>46241</v>
      </c>
      <c r="P101" s="50" t="s">
        <v>124</v>
      </c>
      <c r="Q101" s="52" t="n">
        <v>1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461</v>
      </c>
      <c r="N102" s="55" t="n">
        <v>46241</v>
      </c>
      <c r="O102" s="55" t="n">
        <v>46242</v>
      </c>
      <c r="P102" s="50" t="s">
        <v>124</v>
      </c>
      <c r="Q102" s="52" t="n">
        <v>-1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470</v>
      </c>
      <c r="N104" s="55" t="n">
        <v>46242</v>
      </c>
      <c r="O104" s="55" t="n">
        <v>46243</v>
      </c>
      <c r="P104" s="50" t="s">
        <v>124</v>
      </c>
      <c r="Q104" s="52" t="n">
        <v>0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474</v>
      </c>
      <c r="N105" s="55" t="n">
        <v>46242</v>
      </c>
      <c r="O105" s="55" t="n">
        <v>46243</v>
      </c>
      <c r="P105" s="50" t="s">
        <v>124</v>
      </c>
      <c r="Q105" s="52" t="n">
        <v>-1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478</v>
      </c>
      <c r="N106" s="55" t="n">
        <v>46243</v>
      </c>
      <c r="O106" s="55" t="n">
        <v>46243</v>
      </c>
      <c r="P106" s="50" t="s">
        <v>124</v>
      </c>
      <c r="Q106" s="52" t="n">
        <v>-1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46242</v>
      </c>
      <c r="O107" s="45" t="n">
        <v>46243</v>
      </c>
      <c r="P107" s="46" t="s">
        <v>115</v>
      </c>
      <c r="Q107" s="37" t="n">
        <v>-2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485</v>
      </c>
      <c r="N108" s="55" t="n">
        <v>46242</v>
      </c>
      <c r="O108" s="55" t="n">
        <v>46243</v>
      </c>
      <c r="P108" s="50" t="s">
        <v>124</v>
      </c>
      <c r="Q108" s="52" t="n">
        <v>-1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489</v>
      </c>
      <c r="N109" s="55" t="n">
        <v>46243</v>
      </c>
      <c r="O109" s="55" t="n">
        <v>46243</v>
      </c>
      <c r="P109" s="50" t="s">
        <v>124</v>
      </c>
      <c r="Q109" s="52" t="n">
        <v>-2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493</v>
      </c>
      <c r="N110" s="55" t="n">
        <v>46242</v>
      </c>
      <c r="O110" s="55" t="n">
        <v>46243</v>
      </c>
      <c r="P110" s="50" t="s">
        <v>124</v>
      </c>
      <c r="Q110" s="52" t="n">
        <v>-1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46244</v>
      </c>
      <c r="M111" s="43"/>
      <c r="N111" s="44" t="n">
        <v>46244</v>
      </c>
      <c r="O111" s="45" t="n">
        <v>46244</v>
      </c>
      <c r="P111" s="46" t="s">
        <v>60</v>
      </c>
      <c r="Q111" s="37" t="n">
        <v>-2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496</v>
      </c>
      <c r="Y111" s="38" t="s">
        <v>497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498</v>
      </c>
      <c r="B112" s="50" t="s">
        <v>499</v>
      </c>
      <c r="C112" s="50" t="s">
        <v>500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501</v>
      </c>
      <c r="N112" s="55" t="n">
        <v>46244</v>
      </c>
      <c r="O112" s="55" t="n">
        <v>46244</v>
      </c>
      <c r="P112" s="50" t="s">
        <v>124</v>
      </c>
      <c r="Q112" s="52" t="n">
        <v>-2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497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502</v>
      </c>
      <c r="B113" s="50" t="s">
        <v>503</v>
      </c>
      <c r="C113" s="50" t="s">
        <v>504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505</v>
      </c>
      <c r="N113" s="55" t="n">
        <v>46244</v>
      </c>
      <c r="O113" s="55" t="n">
        <v>46244</v>
      </c>
      <c r="P113" s="50" t="s">
        <v>124</v>
      </c>
      <c r="Q113" s="52" t="n">
        <v>-2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497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506</v>
      </c>
      <c r="B114" s="31" t="s">
        <v>507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46405</v>
      </c>
      <c r="P114" s="34" t="s">
        <v>75</v>
      </c>
      <c r="Q114" s="31" t="n">
        <v>96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508</v>
      </c>
      <c r="B115" s="39" t="s">
        <v>509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46338</v>
      </c>
      <c r="O115" s="45" t="n">
        <v>46338</v>
      </c>
      <c r="P115" s="46" t="s">
        <v>287</v>
      </c>
      <c r="Q115" s="37" t="n">
        <v>89</v>
      </c>
      <c r="R115" s="39"/>
      <c r="S115" s="39" t="n">
        <v>1</v>
      </c>
      <c r="T115" s="39" t="s">
        <v>288</v>
      </c>
      <c r="U115" s="58" t="n">
        <v>46338.0115</v>
      </c>
      <c r="V115" s="47" t="n">
        <v>0</v>
      </c>
      <c r="W115" s="39" t="s">
        <v>86</v>
      </c>
      <c r="X115" s="39" t="s">
        <v>510</v>
      </c>
      <c r="Y115" s="38" t="s">
        <v>511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512</v>
      </c>
      <c r="B116" s="52" t="s">
        <v>513</v>
      </c>
      <c r="C116" s="52" t="s">
        <v>514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515</v>
      </c>
      <c r="N116" s="55" t="n">
        <v>46338</v>
      </c>
      <c r="O116" s="55" t="n">
        <v>46338</v>
      </c>
      <c r="P116" s="50" t="s">
        <v>287</v>
      </c>
      <c r="Q116" s="52" t="n">
        <v>91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511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516</v>
      </c>
      <c r="B117" s="50" t="s">
        <v>517</v>
      </c>
      <c r="C117" s="50" t="s">
        <v>518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519</v>
      </c>
      <c r="N117" s="55" t="n">
        <v>46338</v>
      </c>
      <c r="O117" s="55" t="n">
        <v>46338</v>
      </c>
      <c r="P117" s="50" t="s">
        <v>287</v>
      </c>
      <c r="Q117" s="52" t="n">
        <v>90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511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520</v>
      </c>
      <c r="B118" s="50" t="s">
        <v>521</v>
      </c>
      <c r="C118" s="50" t="s">
        <v>522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523</v>
      </c>
      <c r="N118" s="55" t="n">
        <v>46338</v>
      </c>
      <c r="O118" s="55" t="n">
        <v>46338</v>
      </c>
      <c r="P118" s="50" t="s">
        <v>287</v>
      </c>
      <c r="Q118" s="52" t="n">
        <v>90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511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524</v>
      </c>
      <c r="B119" s="50" t="s">
        <v>525</v>
      </c>
      <c r="C119" s="50" t="s">
        <v>526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527</v>
      </c>
      <c r="N119" s="55" t="n">
        <v>46338</v>
      </c>
      <c r="O119" s="55" t="n">
        <v>46338</v>
      </c>
      <c r="P119" s="50" t="s">
        <v>287</v>
      </c>
      <c r="Q119" s="52" t="n">
        <v>90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511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528</v>
      </c>
      <c r="B120" s="50" t="s">
        <v>529</v>
      </c>
      <c r="C120" s="50" t="s">
        <v>530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531</v>
      </c>
      <c r="N120" s="55" t="n">
        <v>46338</v>
      </c>
      <c r="O120" s="55" t="n">
        <v>46338</v>
      </c>
      <c r="P120" s="50" t="s">
        <v>287</v>
      </c>
      <c r="Q120" s="52" t="n">
        <v>89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511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532</v>
      </c>
      <c r="B121" s="50" t="s">
        <v>533</v>
      </c>
      <c r="C121" s="50" t="s">
        <v>534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535</v>
      </c>
      <c r="N121" s="55" t="n">
        <v>46338</v>
      </c>
      <c r="O121" s="55" t="n">
        <v>46338</v>
      </c>
      <c r="P121" s="50" t="s">
        <v>287</v>
      </c>
      <c r="Q121" s="52" t="n">
        <v>89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511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536</v>
      </c>
      <c r="B122" s="39" t="s">
        <v>537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46321</v>
      </c>
      <c r="O122" s="45" t="n">
        <v>46321</v>
      </c>
      <c r="P122" s="46" t="s">
        <v>287</v>
      </c>
      <c r="Q122" s="37" t="n">
        <v>72</v>
      </c>
      <c r="R122" s="39"/>
      <c r="S122" s="39" t="n">
        <v>1</v>
      </c>
      <c r="T122" s="39" t="s">
        <v>288</v>
      </c>
      <c r="U122" s="58" t="n">
        <v>46321.0122</v>
      </c>
      <c r="V122" s="47" t="n">
        <v>0</v>
      </c>
      <c r="W122" s="38" t="s">
        <v>80</v>
      </c>
      <c r="X122" s="39"/>
      <c r="Y122" s="38" t="s">
        <v>538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539</v>
      </c>
      <c r="B123" s="39" t="s">
        <v>540</v>
      </c>
      <c r="C123" s="38" t="s">
        <v>541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-7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542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543</v>
      </c>
      <c r="B124" s="39" t="s">
        <v>544</v>
      </c>
      <c r="C124" s="39"/>
      <c r="D124" s="39" t="s">
        <v>79</v>
      </c>
      <c r="E124" s="40" t="n">
        <v>2.5</v>
      </c>
      <c r="F124" s="38" t="s">
        <v>545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46392</v>
      </c>
      <c r="O124" s="45" t="n">
        <v>46405</v>
      </c>
      <c r="P124" s="46" t="s">
        <v>287</v>
      </c>
      <c r="Q124" s="37" t="n">
        <v>96</v>
      </c>
      <c r="R124" s="39"/>
      <c r="S124" s="39" t="n">
        <v>1</v>
      </c>
      <c r="T124" s="39" t="s">
        <v>288</v>
      </c>
      <c r="U124" s="58" t="n">
        <v>46392.0124</v>
      </c>
      <c r="V124" s="47" t="n">
        <v>0</v>
      </c>
      <c r="W124" s="38" t="s">
        <v>80</v>
      </c>
      <c r="X124" s="39" t="s">
        <v>546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547</v>
      </c>
      <c r="B125" s="50" t="s">
        <v>548</v>
      </c>
      <c r="C125" s="50" t="s">
        <v>549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550</v>
      </c>
      <c r="N125" s="55" t="n">
        <v>46392</v>
      </c>
      <c r="O125" s="55" t="n">
        <v>46396</v>
      </c>
      <c r="P125" s="50" t="s">
        <v>287</v>
      </c>
      <c r="Q125" s="52" t="n">
        <v>96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551</v>
      </c>
      <c r="B126" s="50" t="s">
        <v>552</v>
      </c>
      <c r="C126" s="52" t="s">
        <v>553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554</v>
      </c>
      <c r="N126" s="55" t="n">
        <v>46395</v>
      </c>
      <c r="O126" s="55" t="n">
        <v>46402</v>
      </c>
      <c r="P126" s="50" t="s">
        <v>287</v>
      </c>
      <c r="Q126" s="52" t="n">
        <v>96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555</v>
      </c>
      <c r="B127" s="52" t="s">
        <v>556</v>
      </c>
      <c r="C127" s="52" t="s">
        <v>557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558</v>
      </c>
      <c r="N127" s="55" t="n">
        <v>46402</v>
      </c>
      <c r="O127" s="55" t="n">
        <v>46405</v>
      </c>
      <c r="P127" s="50" t="s">
        <v>287</v>
      </c>
      <c r="Q127" s="52" t="n">
        <v>96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559</v>
      </c>
      <c r="B128" s="39" t="s">
        <v>560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46345</v>
      </c>
      <c r="O128" s="45" t="n">
        <v>46345</v>
      </c>
      <c r="P128" s="46" t="s">
        <v>287</v>
      </c>
      <c r="Q128" s="37" t="n">
        <v>86</v>
      </c>
      <c r="R128" s="39"/>
      <c r="S128" s="39" t="n">
        <v>1</v>
      </c>
      <c r="T128" s="39" t="s">
        <v>288</v>
      </c>
      <c r="U128" s="58" t="n">
        <v>46345.0128</v>
      </c>
      <c r="V128" s="47" t="n">
        <v>0</v>
      </c>
      <c r="W128" s="39" t="s">
        <v>86</v>
      </c>
      <c r="X128" s="39"/>
      <c r="Y128" s="38" t="s">
        <v>561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562</v>
      </c>
      <c r="B129" s="38" t="s">
        <v>563</v>
      </c>
      <c r="C129" s="39"/>
      <c r="D129" s="39" t="s">
        <v>112</v>
      </c>
      <c r="E129" s="40" t="n">
        <v>0</v>
      </c>
      <c r="F129" s="38" t="s">
        <v>559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46346</v>
      </c>
      <c r="O129" s="45" t="n">
        <v>46346</v>
      </c>
      <c r="P129" s="46" t="s">
        <v>287</v>
      </c>
      <c r="Q129" s="37" t="n">
        <v>87</v>
      </c>
      <c r="R129" s="39"/>
      <c r="S129" s="39" t="n">
        <v>1</v>
      </c>
      <c r="T129" s="39" t="s">
        <v>288</v>
      </c>
      <c r="U129" s="58" t="n">
        <v>46346.0129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112</v>
      </c>
      <c r="E130" s="40" t="n">
        <v>0</v>
      </c>
      <c r="F130" s="38" t="s">
        <v>559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46346</v>
      </c>
      <c r="O130" s="45" t="n">
        <v>46350</v>
      </c>
      <c r="P130" s="46" t="s">
        <v>287</v>
      </c>
      <c r="Q130" s="37" t="n">
        <v>91</v>
      </c>
      <c r="R130" s="39"/>
      <c r="S130" s="39" t="n">
        <v>1</v>
      </c>
      <c r="T130" s="39" t="s">
        <v>288</v>
      </c>
      <c r="U130" s="58" t="n">
        <v>46346.013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46387</v>
      </c>
      <c r="O131" s="45" t="n">
        <v>46391</v>
      </c>
      <c r="P131" s="46" t="s">
        <v>287</v>
      </c>
      <c r="Q131" s="37" t="n">
        <v>96</v>
      </c>
      <c r="R131" s="39"/>
      <c r="S131" s="39" t="n">
        <v>1</v>
      </c>
      <c r="T131" s="39" t="s">
        <v>288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580</v>
      </c>
    </row>
    <row r="137" customFormat="false" ht="15" hidden="false" customHeight="true" outlineLevel="0" collapsed="false">
      <c r="B137" s="65" t="s">
        <v>581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582</v>
      </c>
    </row>
    <row r="138" customFormat="false" ht="15" hidden="false" customHeight="true" outlineLevel="0" collapsed="false">
      <c r="B138" s="65" t="s">
        <v>583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584</v>
      </c>
    </row>
    <row r="139" customFormat="false" ht="15" hidden="false" customHeight="true" outlineLevel="0" collapsed="false">
      <c r="B139" s="65" t="s">
        <v>585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586</v>
      </c>
    </row>
    <row r="140" customFormat="false" ht="15" hidden="false" customHeight="true" outlineLevel="0" collapsed="false">
      <c r="B140" s="65" t="s">
        <v>587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588</v>
      </c>
    </row>
    <row r="141" customFormat="false" ht="15" hidden="false" customHeight="true" outlineLevel="0" collapsed="false">
      <c r="B141" s="70" t="s">
        <v>589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590</v>
      </c>
    </row>
    <row r="142" customFormat="false" ht="15" hidden="false" customHeight="true" outlineLevel="0" collapsed="false">
      <c r="B142" s="72" t="s">
        <v>591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7" t="s">
        <v>593</v>
      </c>
    </row>
    <row r="146" customFormat="false" ht="15" hidden="false" customHeight="true" outlineLevel="0" collapsed="false">
      <c r="B146" s="17" t="s">
        <v>594</v>
      </c>
      <c r="D146" s="78" t="s">
        <v>595</v>
      </c>
      <c r="E146" s="78"/>
      <c r="F146" s="78"/>
      <c r="G146" s="78"/>
      <c r="H146" s="78"/>
      <c r="I146" s="78"/>
      <c r="J146" s="78"/>
      <c r="K146" s="19" t="s">
        <v>596</v>
      </c>
    </row>
    <row r="147" customFormat="false" ht="15" hidden="false" customHeight="true" outlineLevel="0" collapsed="false">
      <c r="B147" s="79" t="s">
        <v>597</v>
      </c>
      <c r="E147" s="80" t="s">
        <v>598</v>
      </c>
      <c r="I147" s="79" t="s">
        <v>599</v>
      </c>
    </row>
    <row r="148" customFormat="false" ht="24" hidden="false" customHeight="true" outlineLevel="0" collapsed="false">
      <c r="A148" s="81" t="s">
        <v>600</v>
      </c>
      <c r="B148" s="82" t="s">
        <v>601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602</v>
      </c>
      <c r="B149" s="82" t="s">
        <v>603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604</v>
      </c>
      <c r="B150" s="82" t="s">
        <v>605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606</v>
      </c>
      <c r="B151" s="82" t="s">
        <v>607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608</v>
      </c>
      <c r="B152" s="82" t="s">
        <v>609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610</v>
      </c>
      <c r="B153" s="82" t="s">
        <v>611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612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644</v>
      </c>
      <c r="C8" s="95" t="s">
        <v>645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647</v>
      </c>
      <c r="C10" s="95" t="s">
        <v>645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 t="n">
        <v>46190</v>
      </c>
      <c r="F11" s="99" t="n">
        <v>46199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648</v>
      </c>
      <c r="C12" s="95" t="s">
        <v>645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 t="n">
        <v>46209</v>
      </c>
      <c r="F13" s="99" t="n">
        <v>46209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649</v>
      </c>
      <c r="C14" s="95" t="s">
        <v>645</v>
      </c>
      <c r="D14" s="96" t="n">
        <v>1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0.285714285714286</v>
      </c>
      <c r="M14" s="98" t="n">
        <f aca="false">IF($E14="",0,IF(M$6+6&lt;$E14,0,IF(M$6&gt;$F14,0,$D14*(IF(M$6+6&lt;$F14,M$6+6,$F14)-IF(M$6&gt;$E14,M$6,$E14)+1)/($F14-$E14+1))))</f>
        <v>0.5</v>
      </c>
      <c r="N14" s="98" t="n">
        <f aca="false">IF($E14="",0,IF(N$6+6&lt;$E14,0,IF(N$6&gt;$F14,0,$D14*(IF(N$6+6&lt;$F14,N$6+6,$F14)-IF(N$6&gt;$E14,N$6,$E14)+1)/($F14-$E14+1))))</f>
        <v>0.214285714285714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0.3333</v>
      </c>
      <c r="M15" s="101" t="n">
        <v>0.3333</v>
      </c>
      <c r="N15" s="101" t="n">
        <v>0.3333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650</v>
      </c>
      <c r="C16" s="95" t="s">
        <v>645</v>
      </c>
      <c r="D16" s="96" t="n">
        <v>1</v>
      </c>
      <c r="E16" s="97" t="n">
        <v>46247</v>
      </c>
      <c r="F16" s="97" t="n">
        <v>46247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1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 t="n">
        <v>46279</v>
      </c>
      <c r="F17" s="99" t="n">
        <v>46279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0.0869565217391304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654</v>
      </c>
      <c r="C23" s="95" t="s">
        <v>645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 t="n">
        <v>46176</v>
      </c>
      <c r="F24" s="99" t="n">
        <v>46223</v>
      </c>
      <c r="G24" s="100"/>
      <c r="H24" s="101"/>
      <c r="I24" s="101"/>
      <c r="J24" s="101" t="n">
        <v>2.5</v>
      </c>
      <c r="K24" s="101" t="n">
        <v>2.5</v>
      </c>
      <c r="L24" s="101" t="n">
        <v>2.5</v>
      </c>
      <c r="M24" s="101" t="n">
        <v>2.5</v>
      </c>
      <c r="N24" s="101" t="n">
        <v>2.5</v>
      </c>
      <c r="O24" s="101" t="n">
        <v>2.5</v>
      </c>
      <c r="P24" s="101" t="n">
        <v>2.5</v>
      </c>
      <c r="Q24" s="101" t="n">
        <v>2.5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655</v>
      </c>
      <c r="C25" s="95" t="s">
        <v>645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 t="n">
        <v>46238</v>
      </c>
      <c r="F26" s="99" t="n">
        <v>46241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656</v>
      </c>
      <c r="C27" s="95" t="s">
        <v>645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 t="n">
        <v>46224</v>
      </c>
      <c r="F28" s="99" t="n">
        <v>46242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6.6667</v>
      </c>
      <c r="R28" s="101" t="n">
        <v>6.6667</v>
      </c>
      <c r="S28" s="101" t="n">
        <v>6.6667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657</v>
      </c>
      <c r="C29" s="95" t="s">
        <v>645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658</v>
      </c>
      <c r="C31" s="95" t="s">
        <v>645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 t="n">
        <v>46238</v>
      </c>
      <c r="F32" s="99" t="n">
        <v>46241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659</v>
      </c>
      <c r="C33" s="95" t="s">
        <v>645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 t="n">
        <v>46239</v>
      </c>
      <c r="F34" s="99" t="n">
        <v>46242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660</v>
      </c>
      <c r="C35" s="95" t="s">
        <v>645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 t="n">
        <v>46240</v>
      </c>
      <c r="F36" s="99" t="n">
        <v>46242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661</v>
      </c>
      <c r="C37" s="95" t="s">
        <v>645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 t="n">
        <v>46241</v>
      </c>
      <c r="F38" s="99" t="n">
        <v>46243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662</v>
      </c>
      <c r="C39" s="95" t="s">
        <v>645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 t="n">
        <v>46242</v>
      </c>
      <c r="F40" s="99" t="n">
        <v>46243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508</v>
      </c>
      <c r="B42" s="95" t="s">
        <v>664</v>
      </c>
      <c r="C42" s="95" t="s">
        <v>645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543</v>
      </c>
      <c r="B44" s="95" t="s">
        <v>665</v>
      </c>
      <c r="C44" s="95" t="s">
        <v>645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0.685714285714286</v>
      </c>
      <c r="M47" s="103" t="n">
        <f aca="false">SUMIF($C$7:$C$45,"Plan",M$7:M$45)</f>
        <v>1.1</v>
      </c>
      <c r="N47" s="103" t="n">
        <f aca="false">SUMIF($C$7:$C$45,"Plan",N$7:N$45)</f>
        <v>0.214285714285714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8.42028985507246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2.5</v>
      </c>
      <c r="K48" s="103" t="n">
        <f aca="false">SUMIF($C$7:$C$45,"Actual",K$7:K$45)</f>
        <v>3</v>
      </c>
      <c r="L48" s="103" t="n">
        <f aca="false">SUMIF($C$7:$C$45,"Actual",L$7:L$45)</f>
        <v>3.3333</v>
      </c>
      <c r="M48" s="103" t="n">
        <f aca="false">SUMIF($C$7:$C$45,"Actual",M$7:M$45)</f>
        <v>3.3333</v>
      </c>
      <c r="N48" s="103" t="n">
        <f aca="false">SUMIF($C$7:$C$45,"Actual",N$7:N$45)</f>
        <v>2.8333</v>
      </c>
      <c r="O48" s="103" t="n">
        <f aca="false">SUMIF($C$7:$C$45,"Actual",O$7:O$45)</f>
        <v>3</v>
      </c>
      <c r="P48" s="103" t="n">
        <f aca="false">SUMIF($C$7:$C$45,"Actual",P$7:P$45)</f>
        <v>2.5</v>
      </c>
      <c r="Q48" s="103" t="n">
        <f aca="false">SUMIF($C$7:$C$45,"Actual",Q$7:Q$45)</f>
        <v>9.1667</v>
      </c>
      <c r="R48" s="103" t="n">
        <f aca="false">SUMIF($C$7:$C$45,"Actual",R$7:R$45)</f>
        <v>6.6667</v>
      </c>
      <c r="S48" s="103" t="n">
        <f aca="false">SUMIF($C$7:$C$45,"Actual",S$7:S$45)</f>
        <v>56.6667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0.1111</v>
      </c>
      <c r="Y48" s="103" t="n">
        <f aca="false">SUMIF($C$7:$C$45,"Actual",Y$7:Y$45)</f>
        <v>1.1111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1.18571428571429</v>
      </c>
      <c r="M49" s="105" t="n">
        <f aca="false">L49+M47</f>
        <v>2.28571428571429</v>
      </c>
      <c r="N49" s="105" t="n">
        <f aca="false">M49+N47</f>
        <v>2.5</v>
      </c>
      <c r="O49" s="105" t="n">
        <f aca="false">N49+O47</f>
        <v>3</v>
      </c>
      <c r="P49" s="105" t="n">
        <f aca="false">O49+P47</f>
        <v>9.66666666666667</v>
      </c>
      <c r="Q49" s="105" t="n">
        <f aca="false">P49+Q47</f>
        <v>17.4444444444444</v>
      </c>
      <c r="R49" s="105" t="n">
        <f aca="false">Q49+R47</f>
        <v>37</v>
      </c>
      <c r="S49" s="105" t="n">
        <f aca="false">R49+S47</f>
        <v>88.1666666666667</v>
      </c>
      <c r="T49" s="105" t="n">
        <f aca="false">S49+T47</f>
        <v>96.5869565217391</v>
      </c>
      <c r="U49" s="105" t="n">
        <f aca="false">T49+U47</f>
        <v>96.7391304347826</v>
      </c>
      <c r="V49" s="105" t="n">
        <f aca="false">U49+V47</f>
        <v>96.8913043478261</v>
      </c>
      <c r="W49" s="105" t="n">
        <f aca="false">V49+W47</f>
        <v>97.0434782608696</v>
      </c>
      <c r="X49" s="105" t="n">
        <f aca="false">W49+X47</f>
        <v>97.1956521739131</v>
      </c>
      <c r="Y49" s="105" t="n">
        <f aca="false">X49+Y47</f>
        <v>97.3478260869565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2.5</v>
      </c>
      <c r="K50" s="105" t="n">
        <f aca="false">IF(K$6&gt;46314,"",J50+K48)</f>
        <v>5.5</v>
      </c>
      <c r="L50" s="105" t="n">
        <f aca="false">IF(L$6&gt;46314,"",K50+L48)</f>
        <v>8.8333</v>
      </c>
      <c r="M50" s="105" t="n">
        <f aca="false">IF(M$6&gt;46314,"",L50+M48)</f>
        <v>12.1666</v>
      </c>
      <c r="N50" s="105" t="n">
        <f aca="false">IF(N$6&gt;46314,"",M50+N48)</f>
        <v>14.9999</v>
      </c>
      <c r="O50" s="105" t="n">
        <f aca="false">IF(O$6&gt;46314,"",N50+O48)</f>
        <v>17.9999</v>
      </c>
      <c r="P50" s="105" t="n">
        <f aca="false">IF(P$6&gt;46314,"",O50+P48)</f>
        <v>20.4999</v>
      </c>
      <c r="Q50" s="105" t="n">
        <f aca="false">IF(Q$6&gt;46314,"",P50+Q48)</f>
        <v>29.6666</v>
      </c>
      <c r="R50" s="105" t="n">
        <f aca="false">IF(R$6&gt;46314,"",Q50+R48)</f>
        <v>36.3333</v>
      </c>
      <c r="S50" s="105" t="n">
        <f aca="false">IF(S$6&gt;46314,"",R50+S48)</f>
        <v>93</v>
      </c>
      <c r="T50" s="105" t="n">
        <f aca="false">IF(T$6&gt;46314,"",S50+T48)</f>
        <v>93</v>
      </c>
      <c r="U50" s="105" t="n">
        <f aca="false">IF(U$6&gt;46314,"",T50+U48)</f>
        <v>93</v>
      </c>
      <c r="V50" s="105" t="n">
        <f aca="false">IF(V$6&gt;46314,"",U50+V48)</f>
        <v>93.1111</v>
      </c>
      <c r="W50" s="105" t="n">
        <f aca="false">IF(W$6&gt;46314,"",V50+W48)</f>
        <v>93.2222</v>
      </c>
      <c r="X50" s="105" t="n">
        <f aca="false">IF(X$6&gt;46314,"",W50+X48)</f>
        <v>93.3333</v>
      </c>
      <c r="Y50" s="105" t="n">
        <f aca="false">IF(Y$6&gt;46314,"",X50+Y48)</f>
        <v>94.4444</v>
      </c>
      <c r="Z50" s="105" t="n">
        <f aca="false">IF(Z$6&gt;46314,"",Y50+Z48)</f>
        <v>94.5555</v>
      </c>
      <c r="AA50" s="105" t="n">
        <f aca="false">IF(AA$6&gt;46314,"",Z50+AA48)</f>
        <v>94.6666</v>
      </c>
      <c r="AB50" s="105" t="n">
        <f aca="false">IF(AB$6&gt;46314,"",AA50+AB48)</f>
        <v>94.7777</v>
      </c>
      <c r="AC50" s="105" t="n">
        <f aca="false">IF(AC$6&gt;46314,"",AB50+AC48)</f>
        <v>94.8888</v>
      </c>
      <c r="AD50" s="105" t="n">
        <f aca="false">IF(AD$6&gt;46314,"",AC50+AD48)</f>
        <v>94.9998999999999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2026-10-26T04:43:54Z</dcterms:created>
  <dc:creator>openpyxl</dc:creator>
  <dc:description/>
  <dc:language>en-US</dc:language>
  <cp:lastModifiedBy/>
  <dcterms:modified xsi:type="dcterms:W3CDTF">2026-10-26T11:47:15Z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