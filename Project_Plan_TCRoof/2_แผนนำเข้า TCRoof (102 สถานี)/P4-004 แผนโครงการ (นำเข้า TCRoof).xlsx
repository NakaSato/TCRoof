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<sst xmlns="http://schemas.openxmlformats.org/spreadsheetml/2006/main" count="1309" uniqueCount="669">
  <si>
    <t xml:space="preserve">แผนโครงการ P4-004 – สถานีแม่ข่ายชัยนาท 174.42 kWp</t>
  </si>
  <si>
    <t xml:space="preserve">กปภ.สาขาชัยนาท, ภาคเหนือ-กลาง, กฟภ. เขต น.3, Inverter 165 kW (ไม่ต้อง พค.2), Zero export HV, คำขอ PPIM1A5072B2, วิศวกร เก้า, Admin บีม,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</si>
  <si>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</si>
  <si>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</si>
  <si>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</si>
  <si>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</si>
  <si>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</si>
  <si>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</si>
  <si>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</si>
  <si>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</si>
  <si>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</si>
  <si>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</si>
  <si>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</si>
  <si>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</si>
  <si>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</si>
  <si>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</si>
  <si>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</si>
  <si>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</si>
  <si>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</si>
  <si>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</si>
  <si>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</si>
  <si>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</si>
  <si>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</si>
  <si>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</si>
  <si>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</si>
  <si>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</si>
  <si>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</si>
  <si>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</si>
  <si>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</si>
  <si>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P4-004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</si>
  <si>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</si>
  <si>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</si>
  <si>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</si>
  <si>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</si>
  <si>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</si>
  <si>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</si>
  <si>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</si>
  <si>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</si>
  <si>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</si>
  <si>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</si>
  <si>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</si>
  <si>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</si>
  <si>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</si>
  <si>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</si>
  <si>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</si>
  <si>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</si>
  <si>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</si>
  <si>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</si>
  <si>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</si>
  <si>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</si>
  <si>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</si>
  <si>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</si>
  <si>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</si>
  <si>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</si>
  <si>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</si>
  <si>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</si>
  <si>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</si>
  <si>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</si>
  <si>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</si>
  <si>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</si>
  <si>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</si>
  <si>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</si>
  <si>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</si>
  <si>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</si>
  <si>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</si>
  <si>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</si>
  <si>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</si>
  <si>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</si>
  <si>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</si>
  <si>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</si>
  <si>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</si>
  <si>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</si>
  <si>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</si>
  <si>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</si>
  <si>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</si>
  <si>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</si>
  <si>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</si>
  <si>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</si>
  <si>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</si>
  <si>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</si>
  <si>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</si>
  <si>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</si>
  <si>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</si>
  <si>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</si>
  <si>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</si>
  <si>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</si>
  <si>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</si>
  <si>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</si>
  <si>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</si>
  <si>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</si>
  <si>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</si>
  <si>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</si>
  <si>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</si>
  <si>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</si>
  <si>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</si>
  <si>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</si>
  <si>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</si>
  <si>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</si>
  <si>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</si>
  <si>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</si>
  <si>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</si>
  <si>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</si>
  <si>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</si>
  <si>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</si>
  <si>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WBS'!L4022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</si>
  <si>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</si>
  <si>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</si>
  <si>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</si>
  <si>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WBS'!L4023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</si>
  <si>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</si>
  <si>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</si>
  <si>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TC-PML-2026-452,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</si>
  <si>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</si>
  <si>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</si>
  <si>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</si>
  <si>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</si>
  <si>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</si>
  <si>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</si>
  <si>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</si>
  <si>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</si>
  <si>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</si>
  <si>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</si>
  <si>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</si>
  <si>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WBS'!L4024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</si>
  <si>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</si>
  <si>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</si>
  <si>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</si>
  <si>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</si>
  <si>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</si>
  <si>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</si>
  <si>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</si>
  <si>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</si>
  <si>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</si>
  <si>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</si>
  <si>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</si>
  <si>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</si>
  <si>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</si>
  <si>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</si>
  <si>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</si>
  <si>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</si>
  <si>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</si>
  <si>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</si>
  <si>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</si>
  <si>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</si>
  <si>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WBS'!L4029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</si>
  <si>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</si>
  <si>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</si>
  <si>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</si>
  <si>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WBS'!L4030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</si>
  <si>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</si>
  <si>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</si>
  <si>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</si>
  <si>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WBS'!L4031</t>
    </r>
  </si>
  <si>
    <t xml:space="preserve">0.3</t>
  </si>
  <si>
    <t xml:space="preserve">หนังสือแจ้งขอดับไฟ</t>
  </si>
  <si>
    <t xml:space="preserve">TC-PML-2026-516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</si>
  <si>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</si>
  <si>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</si>
  <si>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</si>
  <si>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</si>
  <si>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</si>
  <si>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</si>
  <si>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</si>
  <si>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WBS'!L4032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</si>
  <si>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</si>
  <si>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</si>
  <si>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</si>
  <si>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WBS'!L4033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</si>
  <si>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</si>
  <si>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</si>
  <si>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</si>
  <si>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WBS'!L4034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</si>
  <si>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</si>
  <si>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</si>
  <si>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</si>
  <si>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</si>
  <si>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</si>
  <si>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</si>
  <si>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</si>
  <si>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</si>
  <si>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</si>
  <si>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WBS'!L4035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</si>
  <si>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</si>
  <si>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</si>
  <si>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</si>
  <si>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WBS'!L4036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</si>
  <si>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</si>
  <si>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</si>
  <si>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</si>
  <si>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WBS'!L4037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</si>
  <si>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</si>
  <si>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</si>
  <si>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</si>
  <si>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</si>
  <si>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</si>
  <si>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</si>
  <si>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</si>
  <si>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WBS'!L4038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</si>
  <si>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</si>
  <si>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</si>
  <si>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</si>
  <si>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WBS'!L4039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</si>
  <si>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</si>
  <si>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</si>
  <si>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</si>
  <si>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WBS'!L4040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</si>
  <si>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</si>
  <si>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</si>
  <si>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</si>
  <si>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WBS'!L4041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</si>
  <si>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</si>
  <si>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</si>
  <si>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</si>
  <si>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</si>
  <si>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</si>
  <si>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</si>
  <si>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</si>
  <si>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WBS'!L4042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</si>
  <si>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</si>
  <si>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</si>
  <si>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</si>
  <si>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WBS'!L4043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</si>
  <si>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</si>
  <si>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</si>
  <si>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</si>
  <si>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WBS'!L4044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</si>
  <si>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</si>
  <si>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</si>
  <si>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</si>
  <si>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</si>
  <si>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</si>
  <si>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</si>
  <si>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</si>
  <si>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</si>
  <si>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WBS'!L4045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</si>
  <si>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</si>
  <si>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</si>
  <si>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</si>
  <si>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WBS'!L4046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</si>
  <si>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</si>
  <si>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</si>
  <si>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</si>
  <si>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WBS'!L4047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</si>
  <si>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</si>
  <si>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</si>
  <si>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</si>
  <si>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</si>
  <si>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</si>
  <si>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</si>
  <si>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</si>
  <si>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</si>
  <si>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</si>
  <si>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</si>
  <si>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</si>
  <si>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</si>
  <si>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</si>
  <si>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</si>
  <si>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</si>
  <si>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</si>
  <si>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</si>
  <si>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</si>
  <si>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</si>
  <si>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</si>
  <si>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</si>
  <si>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</si>
  <si>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</si>
  <si>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</si>
  <si>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</si>
  <si>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</si>
  <si>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</si>
  <si>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</si>
  <si>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</si>
  <si>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</si>
  <si>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WBS'!L4049</t>
    </r>
  </si>
  <si>
    <t xml:space="preserve">1.7.1</t>
  </si>
  <si>
    <t xml:space="preserve">คำขอขนานไฟ PPIM (ชุด 11 ไฟล์)</t>
  </si>
  <si>
    <t xml:space="preserve">PPIM1A5072B2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</si>
  <si>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</si>
  <si>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</si>
  <si>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</si>
  <si>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</si>
  <si>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</si>
  <si>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</si>
  <si>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</si>
  <si>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</si>
  <si>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</si>
  <si>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</si>
  <si>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</si>
  <si>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</si>
  <si>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</si>
  <si>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</si>
  <si>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</si>
  <si>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</si>
  <si>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</si>
  <si>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</si>
  <si>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</si>
  <si>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</si>
  <si>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</si>
  <si>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</si>
  <si>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</si>
  <si>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</si>
  <si>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</si>
  <si>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</si>
  <si>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</si>
  <si>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</si>
  <si>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</si>
  <si>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</si>
  <si>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</si>
  <si>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</si>
  <si>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</si>
  <si>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</si>
  <si>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</si>
  <si>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</si>
  <si>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</si>
  <si>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</si>
  <si>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</si>
  <si>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</si>
  <si>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</si>
  <si>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</si>
  <si>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</si>
  <si>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</si>
  <si>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</si>
  <si>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</si>
  <si>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</si>
  <si>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</si>
  <si>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</si>
  <si>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</si>
  <si>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</si>
  <si>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</si>
  <si>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</si>
  <si>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</si>
  <si>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</si>
  <si>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</si>
  <si>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</si>
  <si>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</si>
  <si>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</si>
  <si>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</si>
  <si>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</si>
  <si>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</si>
  <si>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</si>
  <si>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</si>
  <si>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</si>
  <si>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</si>
  <si>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</si>
  <si>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</si>
  <si>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</si>
  <si>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</si>
  <si>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</si>
  <si>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</si>
  <si>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</si>
  <si>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</si>
  <si>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</si>
  <si>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</si>
  <si>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</si>
  <si>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</si>
  <si>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</si>
  <si>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</si>
  <si>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</si>
  <si>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</si>
  <si>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</si>
  <si>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</si>
  <si>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</si>
  <si>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</si>
  <si>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</si>
  <si>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</si>
  <si>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</si>
  <si>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</si>
  <si>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</si>
  <si>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</si>
  <si>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</si>
  <si>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</si>
  <si>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</si>
  <si>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</si>
  <si>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</si>
  <si>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</si>
  <si>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</si>
  <si>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</si>
  <si>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</si>
  <si>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</si>
  <si>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</si>
  <si>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</si>
  <si>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</si>
  <si>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</si>
  <si>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</si>
  <si>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</si>
  <si>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</si>
  <si>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</si>
  <si>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</si>
  <si>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</si>
  <si>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WBS'!L4068</t>
    </r>
  </si>
  <si>
    <t xml:space="preserve">2.5</t>
  </si>
  <si>
    <t xml:space="preserve">ติดตั้ง Inverter</t>
  </si>
  <si>
    <t xml:space="preserve">Inverter 165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</si>
  <si>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</si>
  <si>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</si>
  <si>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</si>
  <si>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</si>
  <si>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</si>
  <si>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</si>
  <si>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</si>
  <si>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</si>
  <si>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</si>
  <si>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</si>
  <si>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</si>
  <si>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</si>
  <si>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</si>
  <si>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</si>
  <si>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</si>
  <si>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</si>
  <si>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WBS'!L4072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</si>
  <si>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</si>
  <si>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</si>
  <si>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</si>
  <si>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</si>
  <si>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</si>
  <si>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</si>
  <si>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</si>
  <si>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</si>
  <si>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</si>
  <si>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</si>
  <si>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</si>
  <si>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</si>
  <si>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</si>
  <si>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</si>
  <si>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</si>
  <si>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</si>
  <si>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</si>
  <si>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</si>
  <si>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</si>
  <si>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</si>
  <si>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</si>
  <si>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</si>
  <si>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</si>
  <si>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</si>
  <si>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</si>
  <si>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</si>
  <si>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</si>
  <si>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</si>
  <si>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</si>
  <si>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</si>
  <si>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</si>
  <si>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</si>
  <si>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</si>
  <si>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</si>
  <si>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</si>
  <si>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</si>
  <si>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</si>
  <si>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</si>
  <si>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</si>
  <si>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WBS'!L4080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</si>
  <si>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</si>
  <si>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</si>
  <si>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</si>
  <si>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</si>
  <si>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</si>
  <si>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</si>
  <si>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</si>
  <si>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</si>
  <si>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</si>
  <si>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</si>
  <si>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WBS'!L4081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</si>
  <si>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</si>
  <si>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</si>
  <si>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</si>
  <si>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</si>
  <si>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</si>
  <si>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</si>
  <si>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</si>
  <si>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</si>
  <si>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</si>
  <si>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</si>
  <si>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</si>
  <si>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</si>
  <si>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</si>
  <si>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</si>
  <si>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</si>
  <si>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</si>
  <si>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</si>
  <si>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</si>
  <si>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</si>
  <si>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</si>
  <si>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</si>
  <si>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</si>
  <si>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</si>
  <si>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</si>
  <si>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</si>
  <si>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</si>
  <si>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</si>
  <si>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</si>
  <si>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</si>
  <si>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WBS'!L4087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</si>
  <si>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</si>
  <si>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</si>
  <si>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</si>
  <si>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</si>
  <si>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</si>
  <si>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</si>
  <si>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</si>
  <si>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</si>
  <si>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</si>
  <si>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</si>
  <si>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</si>
  <si>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</si>
  <si>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</si>
  <si>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</si>
  <si>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</si>
  <si>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</si>
  <si>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</si>
  <si>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</si>
  <si>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</si>
  <si>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</si>
  <si>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</si>
  <si>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</si>
  <si>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</si>
  <si>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</si>
  <si>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</si>
  <si>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</si>
  <si>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</si>
  <si>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</si>
  <si>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</si>
  <si>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</si>
  <si>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</si>
  <si>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</si>
  <si>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</si>
  <si>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</si>
  <si>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</si>
  <si>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</si>
  <si>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</si>
  <si>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</si>
  <si>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</si>
  <si>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</si>
  <si>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</si>
  <si>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</si>
  <si>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</si>
  <si>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</si>
  <si>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</si>
  <si>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</si>
  <si>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</si>
  <si>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</si>
  <si>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</si>
  <si>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</si>
  <si>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</si>
  <si>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</si>
  <si>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</si>
  <si>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</si>
  <si>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</si>
  <si>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</si>
  <si>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</si>
  <si>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</si>
  <si>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</si>
  <si>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</si>
  <si>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</si>
  <si>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</si>
  <si>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</si>
  <si>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</si>
  <si>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</si>
  <si>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</si>
  <si>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</si>
  <si>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</si>
  <si>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</si>
  <si>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</si>
  <si>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</si>
  <si>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</si>
  <si>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</si>
  <si>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</si>
  <si>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</si>
  <si>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</si>
  <si>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</si>
  <si>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</si>
  <si>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</si>
  <si>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</si>
  <si>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</si>
  <si>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</si>
  <si>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</si>
  <si>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</si>
  <si>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</si>
  <si>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</si>
  <si>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</si>
  <si>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</si>
  <si>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</si>
  <si>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</si>
  <si>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</si>
  <si>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</si>
  <si>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</si>
  <si>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</si>
  <si>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</si>
  <si>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</si>
  <si>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</si>
  <si>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</si>
  <si>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</si>
  <si>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</si>
  <si>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</si>
  <si>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</si>
  <si>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</si>
  <si>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</si>
  <si>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125+40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</si>
  <si>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</si>
  <si>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</si>
  <si>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</si>
  <si>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</si>
  <si>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</si>
  <si>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</si>
  <si>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</si>
  <si>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</si>
  <si>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</si>
  <si>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</si>
  <si>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</si>
  <si>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</si>
  <si>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</si>
  <si>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</si>
  <si>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</si>
  <si>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</si>
  <si>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</si>
  <si>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</si>
  <si>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สถานีแม่ข่ายชัยนาท การประปาส่วนภูมิภาคสาขาชัยนาท ขนาดกำลังผลิต </t>
    </r>
    <r>
      <rPr>
        <sz val="10"/>
        <rFont val="Tahoma"/>
        <family val="0"/>
        <charset val="1"/>
      </rPr>
      <t xml:space="preserve">174.42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</si>
  <si>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</si>
  <si>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</si>
  <si>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</si>
  <si>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P4-004,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</si>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</sst>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10.1667</c:v>
                </c:pt>
                <c:pt idx="11">
                  <c:v>16.8334</c:v>
                </c:pt>
                <c:pt idx="12">
                  <c:v>23.5001</c:v>
                </c:pt>
                <c:pt idx="13">
                  <c:v>92.2501</c:v>
                </c:pt>
                <c:pt idx="14">
                  <c:v>93.5001</c:v>
                </c:pt>
                <c:pt idx="15">
                  <c:v>93.5001</c:v>
                </c:pt>
                <c:pt idx="16">
                  <c:v>93.5001</c:v>
                </c:pt>
                <c:pt idx="17">
                  <c:v>93.7501</c:v>
                </c:pt>
                <c:pt idx="18">
                  <c:v>94.0001</c:v>
                </c:pt>
                <c:pt idx="19">
                  <c:v>94.2501</c:v>
                </c:pt>
                <c:pt idx="20">
                  <c:v>94.5001</c:v>
                </c:pt>
                <c:pt idx="21">
                  <c:v>94.7501</c:v>
                </c:pt>
                <c:pt idx="22">
                  <c:v>95.0001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0098115"/>
        <c:axId val="34973800"/>
      </c:lineChart>
      <c:catAx>
        <c:axId val="2009811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973800"/>
        <c:crosses val="autoZero"/>
        <c:auto val="1"/>
        <c:lblAlgn val="ctr"/>
        <c:lblOffset val="100"/>
        <c:noMultiLvlLbl val="0"/>
      </c:catAx>
      <c:valAx>
        <c:axId val="349738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981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46386</v>
      </c>
      <c r="G4" s="10"/>
      <c r="H4" s="10"/>
      <c r="J4" s="11" t="n">
        <v>0.95</v>
      </c>
      <c r="K4" s="11"/>
      <c r="L4" s="12" t="n">
        <v>60</v>
      </c>
      <c r="M4" s="12"/>
      <c r="N4" s="12" t="n">
        <v>81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46405</v>
      </c>
      <c r="P8" s="34" t="s">
        <v>75</v>
      </c>
      <c r="Q8" s="31" t="n">
        <v>83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46405</v>
      </c>
      <c r="P9" s="46" t="s">
        <v>75</v>
      </c>
      <c r="Q9" s="37" t="n">
        <v>83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46218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46218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46218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46228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46218</v>
      </c>
      <c r="O14" s="55" t="n">
        <v>46405</v>
      </c>
      <c r="P14" s="50" t="s">
        <v>75</v>
      </c>
      <c r="Q14" s="52" t="n">
        <v>83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46218</v>
      </c>
      <c r="O15" s="55" t="n">
        <v>46405</v>
      </c>
      <c r="P15" s="50" t="s">
        <v>75</v>
      </c>
      <c r="Q15" s="52" t="n">
        <v>83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46241</v>
      </c>
      <c r="M25" s="43"/>
      <c r="N25" s="44" t="n">
        <v>46241</v>
      </c>
      <c r="O25" s="45" t="n">
        <v>46241</v>
      </c>
      <c r="P25" s="46" t="s">
        <v>60</v>
      </c>
      <c r="Q25" s="37" t="n">
        <v>20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46241</v>
      </c>
      <c r="O26" s="55" t="n">
        <v>46241</v>
      </c>
      <c r="P26" s="50" t="s">
        <v>124</v>
      </c>
      <c r="Q26" s="52" t="n">
        <v>20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46241</v>
      </c>
      <c r="O27" s="55" t="n">
        <v>46241</v>
      </c>
      <c r="P27" s="50" t="s">
        <v>124</v>
      </c>
      <c r="Q27" s="52" t="n">
        <v>20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46241</v>
      </c>
      <c r="O28" s="55" t="n">
        <v>46241</v>
      </c>
      <c r="P28" s="50" t="s">
        <v>124</v>
      </c>
      <c r="Q28" s="52" t="n">
        <v>20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46386</v>
      </c>
      <c r="P29" s="34" t="s">
        <v>75</v>
      </c>
      <c r="Q29" s="31" t="n">
        <v>81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46227</v>
      </c>
      <c r="O39" s="45" t="n">
        <v>46227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46227</v>
      </c>
      <c r="O40" s="55" t="n">
        <v>46227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46227</v>
      </c>
      <c r="O41" s="55" t="n">
        <v>46227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46227</v>
      </c>
      <c r="O42" s="55" t="n">
        <v>46227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46280</v>
      </c>
      <c r="M55" s="43"/>
      <c r="N55" s="44" t="n">
        <v>46280</v>
      </c>
      <c r="O55" s="45" t="n">
        <v>46280</v>
      </c>
      <c r="P55" s="46" t="s">
        <v>60</v>
      </c>
      <c r="Q55" s="37" t="n">
        <v>20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46310</v>
      </c>
      <c r="M56" s="43"/>
      <c r="N56" s="44" t="n">
        <v>46310</v>
      </c>
      <c r="O56" s="45" t="n">
        <v>46310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46310</v>
      </c>
      <c r="L57" s="42"/>
      <c r="M57" s="43"/>
      <c r="N57" s="44" t="n">
        <v>46310</v>
      </c>
      <c r="O57" s="45" t="n">
        <v>46332</v>
      </c>
      <c r="P57" s="46" t="s">
        <v>75</v>
      </c>
      <c r="Q57" s="37" t="n">
        <v>51</v>
      </c>
      <c r="R57" s="39"/>
      <c r="S57" s="39" t="n">
        <v>1</v>
      </c>
      <c r="T57" s="39" t="s">
        <v>76</v>
      </c>
      <c r="U57" s="58" t="n">
        <v>46310.0057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46333</v>
      </c>
      <c r="O58" s="45" t="n">
        <v>46339</v>
      </c>
      <c r="P58" s="46" t="s">
        <v>285</v>
      </c>
      <c r="Q58" s="37" t="n">
        <v>51</v>
      </c>
      <c r="R58" s="39"/>
      <c r="S58" s="39" t="n">
        <v>1</v>
      </c>
      <c r="T58" s="39" t="s">
        <v>286</v>
      </c>
      <c r="U58" s="58" t="n">
        <v>46333.0058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46342</v>
      </c>
      <c r="O59" s="45" t="n">
        <v>46342</v>
      </c>
      <c r="P59" s="46" t="s">
        <v>285</v>
      </c>
      <c r="Q59" s="37" t="n">
        <v>53</v>
      </c>
      <c r="R59" s="39"/>
      <c r="S59" s="39" t="n">
        <v>1</v>
      </c>
      <c r="T59" s="39" t="s">
        <v>286</v>
      </c>
      <c r="U59" s="58" t="n">
        <v>46342.0059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46345</v>
      </c>
      <c r="O60" s="60" t="n">
        <v>46386</v>
      </c>
      <c r="P60" s="46" t="s">
        <v>285</v>
      </c>
      <c r="Q60" s="37" t="n">
        <v>81</v>
      </c>
      <c r="R60" s="39"/>
      <c r="S60" s="39" t="n">
        <v>1</v>
      </c>
      <c r="T60" s="39" t="s">
        <v>286</v>
      </c>
      <c r="U60" s="58" t="n">
        <v>46345.006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46231</v>
      </c>
      <c r="O61" s="33" t="n">
        <v>46265</v>
      </c>
      <c r="P61" s="34" t="s">
        <v>60</v>
      </c>
      <c r="Q61" s="31" t="n">
        <v>6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17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46231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305</v>
      </c>
      <c r="N63" s="55" t="n">
        <v>46231</v>
      </c>
      <c r="O63" s="55" t="n">
        <v>46233</v>
      </c>
      <c r="P63" s="50" t="s">
        <v>124</v>
      </c>
      <c r="Q63" s="52" t="n">
        <v>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309</v>
      </c>
      <c r="N64" s="55" t="n">
        <v>46231</v>
      </c>
      <c r="O64" s="55" t="n">
        <v>46234</v>
      </c>
      <c r="P64" s="50" t="s">
        <v>124</v>
      </c>
      <c r="Q64" s="52" t="n">
        <v>1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313</v>
      </c>
      <c r="N65" s="55" t="n">
        <v>46233</v>
      </c>
      <c r="O65" s="55" t="n">
        <v>46239</v>
      </c>
      <c r="P65" s="50" t="s">
        <v>124</v>
      </c>
      <c r="Q65" s="52" t="n">
        <v>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317</v>
      </c>
      <c r="N66" s="55" t="n">
        <v>46237</v>
      </c>
      <c r="O66" s="55" t="n">
        <v>46245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321</v>
      </c>
      <c r="N67" s="55" t="n">
        <v>46241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325</v>
      </c>
      <c r="N68" s="55" t="n">
        <v>46244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329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337</v>
      </c>
      <c r="N71" s="55" t="n">
        <v>46254</v>
      </c>
      <c r="O71" s="55" t="n">
        <v>46255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341</v>
      </c>
      <c r="N72" s="55" t="n">
        <v>46255</v>
      </c>
      <c r="O72" s="55" t="n">
        <v>46256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345</v>
      </c>
      <c r="N73" s="55" t="n">
        <v>46255</v>
      </c>
      <c r="O73" s="55" t="n">
        <v>46256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349</v>
      </c>
      <c r="N74" s="55" t="n">
        <v>46256</v>
      </c>
      <c r="O74" s="55" t="n">
        <v>46257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353</v>
      </c>
      <c r="N75" s="55" t="n">
        <v>46256</v>
      </c>
      <c r="O75" s="55" t="n">
        <v>46257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7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46251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361</v>
      </c>
      <c r="N77" s="55" t="n">
        <v>46251</v>
      </c>
      <c r="O77" s="55" t="n">
        <v>46253</v>
      </c>
      <c r="P77" s="50" t="s">
        <v>124</v>
      </c>
      <c r="Q77" s="52" t="n">
        <v>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365</v>
      </c>
      <c r="N78" s="55" t="n">
        <v>46252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369</v>
      </c>
      <c r="N79" s="55" t="n">
        <v>46253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373</v>
      </c>
      <c r="N80" s="55" t="n">
        <v>46256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377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385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389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397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401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405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409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418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422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426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430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434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441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445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449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460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467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471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475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482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486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490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46265</v>
      </c>
      <c r="M111" s="43"/>
      <c r="N111" s="44" t="n">
        <v>46265</v>
      </c>
      <c r="O111" s="45" t="n">
        <v>46265</v>
      </c>
      <c r="P111" s="46" t="s">
        <v>60</v>
      </c>
      <c r="Q111" s="37" t="n">
        <v>6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498</v>
      </c>
      <c r="N112" s="55" t="n">
        <v>46265</v>
      </c>
      <c r="O112" s="55" t="n">
        <v>46265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502</v>
      </c>
      <c r="N113" s="55" t="n">
        <v>46265</v>
      </c>
      <c r="O113" s="55" t="n">
        <v>46265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46405</v>
      </c>
      <c r="P114" s="34" t="s">
        <v>75</v>
      </c>
      <c r="Q114" s="31" t="n">
        <v>83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46322</v>
      </c>
      <c r="O115" s="45" t="n">
        <v>46322</v>
      </c>
      <c r="P115" s="46" t="s">
        <v>285</v>
      </c>
      <c r="Q115" s="37" t="n">
        <v>60</v>
      </c>
      <c r="R115" s="39"/>
      <c r="S115" s="39" t="n">
        <v>1</v>
      </c>
      <c r="T115" s="39" t="s">
        <v>286</v>
      </c>
      <c r="U115" s="58" t="n">
        <v>46322.0115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512</v>
      </c>
      <c r="N116" s="55" t="n">
        <v>46322</v>
      </c>
      <c r="O116" s="55" t="n">
        <v>46322</v>
      </c>
      <c r="P116" s="50" t="s">
        <v>285</v>
      </c>
      <c r="Q116" s="52" t="n">
        <v>62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516</v>
      </c>
      <c r="N117" s="55" t="n">
        <v>46322</v>
      </c>
      <c r="O117" s="55" t="n">
        <v>46322</v>
      </c>
      <c r="P117" s="50" t="s">
        <v>285</v>
      </c>
      <c r="Q117" s="52" t="n">
        <v>61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520</v>
      </c>
      <c r="N118" s="55" t="n">
        <v>46322</v>
      </c>
      <c r="O118" s="55" t="n">
        <v>46322</v>
      </c>
      <c r="P118" s="50" t="s">
        <v>285</v>
      </c>
      <c r="Q118" s="52" t="n">
        <v>61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524</v>
      </c>
      <c r="N119" s="55" t="n">
        <v>46322</v>
      </c>
      <c r="O119" s="55" t="n">
        <v>46322</v>
      </c>
      <c r="P119" s="50" t="s">
        <v>285</v>
      </c>
      <c r="Q119" s="52" t="n">
        <v>61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528</v>
      </c>
      <c r="N120" s="55" t="n">
        <v>46322</v>
      </c>
      <c r="O120" s="55" t="n">
        <v>46322</v>
      </c>
      <c r="P120" s="50" t="s">
        <v>285</v>
      </c>
      <c r="Q120" s="52" t="n">
        <v>60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532</v>
      </c>
      <c r="N121" s="55" t="n">
        <v>46322</v>
      </c>
      <c r="O121" s="55" t="n">
        <v>46322</v>
      </c>
      <c r="P121" s="50" t="s">
        <v>285</v>
      </c>
      <c r="Q121" s="52" t="n">
        <v>60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 t="n">
        <v>46277</v>
      </c>
      <c r="M122" s="43"/>
      <c r="N122" s="44" t="n">
        <v>46277</v>
      </c>
      <c r="O122" s="45" t="n">
        <v>46277</v>
      </c>
      <c r="P122" s="46" t="s">
        <v>60</v>
      </c>
      <c r="Q122" s="37" t="n">
        <v>15</v>
      </c>
      <c r="R122" s="39"/>
      <c r="S122" s="39" t="n">
        <v>1</v>
      </c>
      <c r="T122" s="39" t="s">
        <v>157</v>
      </c>
      <c r="U122" s="39"/>
      <c r="V122" s="47" t="n">
        <v>1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46268</v>
      </c>
      <c r="M123" s="43"/>
      <c r="N123" s="44" t="n">
        <v>46265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46392</v>
      </c>
      <c r="O124" s="45" t="n">
        <v>46405</v>
      </c>
      <c r="P124" s="46" t="s">
        <v>285</v>
      </c>
      <c r="Q124" s="37" t="n">
        <v>83</v>
      </c>
      <c r="R124" s="39"/>
      <c r="S124" s="39" t="n">
        <v>1</v>
      </c>
      <c r="T124" s="39" t="s">
        <v>286</v>
      </c>
      <c r="U124" s="58" t="n">
        <v>46392.0124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547</v>
      </c>
      <c r="N125" s="55" t="n">
        <v>46392</v>
      </c>
      <c r="O125" s="55" t="n">
        <v>46396</v>
      </c>
      <c r="P125" s="50" t="s">
        <v>285</v>
      </c>
      <c r="Q125" s="52" t="n">
        <v>83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551</v>
      </c>
      <c r="N126" s="55" t="n">
        <v>46395</v>
      </c>
      <c r="O126" s="55" t="n">
        <v>46402</v>
      </c>
      <c r="P126" s="50" t="s">
        <v>285</v>
      </c>
      <c r="Q126" s="52" t="n">
        <v>83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555</v>
      </c>
      <c r="N127" s="55" t="n">
        <v>46402</v>
      </c>
      <c r="O127" s="55" t="n">
        <v>46405</v>
      </c>
      <c r="P127" s="50" t="s">
        <v>285</v>
      </c>
      <c r="Q127" s="52" t="n">
        <v>83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46332</v>
      </c>
      <c r="O128" s="45" t="n">
        <v>46332</v>
      </c>
      <c r="P128" s="46" t="s">
        <v>285</v>
      </c>
      <c r="Q128" s="37" t="n">
        <v>60</v>
      </c>
      <c r="R128" s="39"/>
      <c r="S128" s="39" t="n">
        <v>1</v>
      </c>
      <c r="T128" s="39" t="s">
        <v>286</v>
      </c>
      <c r="U128" s="58" t="n">
        <v>46332.0128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 t="s">
        <v>561</v>
      </c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562</v>
      </c>
      <c r="B130" s="38" t="s">
        <v>563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46333</v>
      </c>
      <c r="O130" s="45" t="n">
        <v>46337</v>
      </c>
      <c r="P130" s="46" t="s">
        <v>285</v>
      </c>
      <c r="Q130" s="37" t="n">
        <v>65</v>
      </c>
      <c r="R130" s="39"/>
      <c r="S130" s="39" t="n">
        <v>1</v>
      </c>
      <c r="T130" s="39" t="s">
        <v>286</v>
      </c>
      <c r="U130" s="58" t="n">
        <v>46333.013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564</v>
      </c>
      <c r="B131" s="39" t="s">
        <v>565</v>
      </c>
      <c r="C131" s="39" t="s">
        <v>566</v>
      </c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46387</v>
      </c>
      <c r="O131" s="45" t="n">
        <v>46391</v>
      </c>
      <c r="P131" s="46" t="s">
        <v>285</v>
      </c>
      <c r="Q131" s="37" t="n">
        <v>83</v>
      </c>
      <c r="R131" s="39"/>
      <c r="S131" s="39" t="n">
        <v>1</v>
      </c>
      <c r="T131" s="39" t="s">
        <v>286</v>
      </c>
      <c r="U131" s="58" t="n">
        <v>46387.0131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567</v>
      </c>
      <c r="D134" s="6" t="s">
        <v>568</v>
      </c>
    </row>
    <row r="135" customFormat="false" ht="15" hidden="false" customHeight="true" outlineLevel="0" collapsed="false">
      <c r="B135" s="63" t="s">
        <v>569</v>
      </c>
      <c r="D135" s="63" t="s">
        <v>570</v>
      </c>
      <c r="E135" s="63" t="s">
        <v>571</v>
      </c>
      <c r="I135" s="64" t="s">
        <v>572</v>
      </c>
      <c r="J135" s="64" t="s">
        <v>573</v>
      </c>
      <c r="K135" s="64" t="s">
        <v>574</v>
      </c>
      <c r="L135" s="64" t="s">
        <v>575</v>
      </c>
      <c r="O135" s="63" t="s">
        <v>576</v>
      </c>
      <c r="P135" s="63" t="s">
        <v>577</v>
      </c>
    </row>
    <row r="136" customFormat="false" ht="15" hidden="false" customHeight="true" outlineLevel="0" collapsed="false">
      <c r="B136" s="65" t="s">
        <v>578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579</v>
      </c>
    </row>
    <row r="137" customFormat="false" ht="15" hidden="false" customHeight="true" outlineLevel="0" collapsed="false">
      <c r="B137" s="65" t="s">
        <v>580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581</v>
      </c>
    </row>
    <row r="138" customFormat="false" ht="15" hidden="false" customHeight="true" outlineLevel="0" collapsed="false">
      <c r="B138" s="65" t="s">
        <v>582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583</v>
      </c>
    </row>
    <row r="139" customFormat="false" ht="15" hidden="false" customHeight="true" outlineLevel="0" collapsed="false">
      <c r="B139" s="65" t="s">
        <v>584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585</v>
      </c>
    </row>
    <row r="140" customFormat="false" ht="15" hidden="false" customHeight="true" outlineLevel="0" collapsed="false">
      <c r="B140" s="65" t="s">
        <v>586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587</v>
      </c>
    </row>
    <row r="141" customFormat="false" ht="15" hidden="false" customHeight="true" outlineLevel="0" collapsed="false">
      <c r="B141" s="70" t="s">
        <v>588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589</v>
      </c>
    </row>
    <row r="142" customFormat="false" ht="15" hidden="false" customHeight="true" outlineLevel="0" collapsed="false">
      <c r="B142" s="72" t="s">
        <v>590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7" t="s">
        <v>592</v>
      </c>
    </row>
    <row r="146" customFormat="false" ht="15" hidden="false" customHeight="true" outlineLevel="0" collapsed="false">
      <c r="B146" s="17" t="s">
        <v>593</v>
      </c>
      <c r="D146" s="78" t="s">
        <v>594</v>
      </c>
      <c r="E146" s="78"/>
      <c r="F146" s="78"/>
      <c r="G146" s="78"/>
      <c r="H146" s="78"/>
      <c r="I146" s="78"/>
      <c r="J146" s="78"/>
      <c r="K146" s="19" t="s">
        <v>595</v>
      </c>
    </row>
    <row r="147" customFormat="false" ht="15" hidden="false" customHeight="true" outlineLevel="0" collapsed="false">
      <c r="B147" s="79" t="s">
        <v>596</v>
      </c>
      <c r="E147" s="80" t="s">
        <v>597</v>
      </c>
      <c r="I147" s="79" t="s">
        <v>598</v>
      </c>
    </row>
    <row r="148" customFormat="false" ht="24" hidden="false" customHeight="true" outlineLevel="0" collapsed="false">
      <c r="A148" s="81" t="s">
        <v>599</v>
      </c>
      <c r="B148" s="82" t="s">
        <v>600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601</v>
      </c>
      <c r="B149" s="82" t="s">
        <v>602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603</v>
      </c>
      <c r="B150" s="82" t="s">
        <v>604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605</v>
      </c>
      <c r="B151" s="82" t="s">
        <v>606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607</v>
      </c>
      <c r="B152" s="82" t="s">
        <v>608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609</v>
      </c>
      <c r="B153" s="82" t="s">
        <v>610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643</v>
      </c>
      <c r="C8" s="95" t="s">
        <v>644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646</v>
      </c>
      <c r="C10" s="95" t="s">
        <v>644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647</v>
      </c>
      <c r="C12" s="95" t="s">
        <v>644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46227</v>
      </c>
      <c r="F13" s="99" t="n">
        <v>46227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648</v>
      </c>
      <c r="C14" s="95" t="s">
        <v>644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46280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653</v>
      </c>
      <c r="C23" s="95" t="s">
        <v>644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46231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6.6667</v>
      </c>
      <c r="S24" s="101" t="n">
        <v>6.6667</v>
      </c>
      <c r="T24" s="101" t="n">
        <v>6.6667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654</v>
      </c>
      <c r="C25" s="95" t="s">
        <v>644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655</v>
      </c>
      <c r="C27" s="95" t="s">
        <v>644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46251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20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656</v>
      </c>
      <c r="C29" s="95" t="s">
        <v>644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657</v>
      </c>
      <c r="C31" s="95" t="s">
        <v>644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658</v>
      </c>
      <c r="C33" s="95" t="s">
        <v>644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663</v>
      </c>
      <c r="C42" s="95" t="s">
        <v>644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664</v>
      </c>
      <c r="C44" s="95" t="s">
        <v>644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6.6667</v>
      </c>
      <c r="S48" s="103" t="n">
        <f aca="false">SUMIF($C$7:$C$45,"Actual",S$7:S$45)</f>
        <v>6.6667</v>
      </c>
      <c r="T48" s="103" t="n">
        <f aca="false">SUMIF($C$7:$C$45,"Actual",T$7:T$45)</f>
        <v>6.6667</v>
      </c>
      <c r="U48" s="103" t="n">
        <f aca="false">SUMIF($C$7:$C$45,"Actual",U$7:U$45)</f>
        <v>68.75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</v>
      </c>
      <c r="Q50" s="105" t="n">
        <f aca="false">IF(Q$6&gt;46314,"",P50+Q48)</f>
        <v>3.5</v>
      </c>
      <c r="R50" s="105" t="n">
        <f aca="false">IF(R$6&gt;46314,"",Q50+R48)</f>
        <v>10.1667</v>
      </c>
      <c r="S50" s="105" t="n">
        <f aca="false">IF(S$6&gt;46314,"",R50+S48)</f>
        <v>16.8334</v>
      </c>
      <c r="T50" s="105" t="n">
        <f aca="false">IF(T$6&gt;46314,"",S50+T48)</f>
        <v>23.5001</v>
      </c>
      <c r="U50" s="105" t="n">
        <f aca="false">IF(U$6&gt;46314,"",T50+U48)</f>
        <v>92.2501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93.5001</v>
      </c>
      <c r="Y50" s="105" t="n">
        <f aca="false">IF(Y$6&gt;46314,"",X50+Y48)</f>
        <v>93.7501</v>
      </c>
      <c r="Z50" s="105" t="n">
        <f aca="false">IF(Z$6&gt;46314,"",Y50+Z48)</f>
        <v>94.0001</v>
      </c>
      <c r="AA50" s="105" t="n">
        <f aca="false">IF(AA$6&gt;46314,"",Z50+AA48)</f>
        <v>94.2501</v>
      </c>
      <c r="AB50" s="105" t="n">
        <f aca="false">IF(AB$6&gt;46314,"",AA50+AB48)</f>
        <v>94.5001</v>
      </c>
      <c r="AC50" s="105" t="n">
        <f aca="false">IF(AC$6&gt;46314,"",AB50+AC48)</f>
        <v>94.7501</v>
      </c>
      <c r="AD50" s="105" t="n">
        <f aca="false">IF(AD$6&gt;46314,"",AC50+AD48)</f>
        <v>95.0001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2026-10-26T04:42:32Z</dcterms:created>
  <dc:creator>openpyxl</dc:creator>
  <dc:description/>
  <dc:language>en-US</dc:language>
  <cp:lastModifiedBy/>
  <dcterms:modified xsi:type="dcterms:W3CDTF">2026-10-26T11:46:31Z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