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<sst xmlns="http://schemas.openxmlformats.org/spreadsheetml/2006/main" count="1292" uniqueCount="669">
  <si>
    <t xml:space="preserve">แผนโครงการ P3-019 – โรงกรองน้ำพระกลางทุ่ง 120.84 kWp</t>
  </si>
  <si>
    <t xml:space="preserve">กปภ.สาขาธาตุพนม, ภาคอีสาน, กฟภ. เขต ฉ.1, Inverter 125 kW (ไม่ต้อง พค.2), Zero export HV, คำขอ PPIM1A506509, วิศวกร น็อต, Admin ฝ้าย, ผรม. C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</si>
  <si>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</si>
  <si>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</si>
  <si>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</si>
  <si>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</si>
  <si>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</si>
  <si>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</si>
  <si>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</si>
  <si>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</si>
  <si>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</si>
  <si>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</si>
  <si>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</si>
  <si>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</si>
  <si>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</si>
  <si>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</si>
  <si>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</si>
  <si>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</si>
  <si>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</si>
  <si>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</si>
  <si>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</si>
  <si>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</si>
  <si>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</si>
  <si>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(1)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</si>
  <si>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</si>
  <si>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</si>
  <si>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</si>
  <si>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</si>
  <si>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ตรวจรับตามนัด (กปภ. / กฟภ.)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</si>
  <si>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</si>
  <si>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</si>
  <si>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</si>
  <si>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</si>
  <si>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</si>
  <si>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</si>
  <si>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</si>
  <si>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</si>
  <si>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</si>
  <si>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</si>
  <si>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</si>
  <si>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</si>
  <si>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</si>
  <si>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</si>
  <si>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</si>
  <si>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</si>
  <si>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</si>
  <si>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</si>
  <si>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</si>
  <si>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</si>
  <si>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</si>
  <si>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</si>
  <si>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</si>
  <si>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</si>
  <si>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</si>
  <si>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</si>
  <si>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</si>
  <si>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</si>
  <si>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</si>
  <si>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</si>
  <si>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</si>
  <si>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</si>
  <si>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</si>
  <si>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</si>
  <si>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</si>
  <si>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</si>
  <si>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</si>
  <si>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</si>
  <si>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</si>
  <si>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</si>
  <si>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</si>
  <si>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</si>
  <si>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</si>
  <si>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</si>
  <si>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</si>
  <si>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</si>
  <si>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</si>
  <si>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</si>
  <si>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</si>
  <si>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</si>
  <si>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</si>
  <si>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</si>
  <si>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</si>
  <si>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</si>
  <si>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</si>
  <si>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</si>
  <si>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</si>
  <si>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</si>
  <si>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</si>
  <si>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</si>
  <si>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</si>
  <si>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</si>
  <si>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</si>
  <si>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</si>
  <si>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</si>
  <si>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</si>
  <si>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</si>
  <si>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</si>
  <si>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</si>
  <si>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</si>
  <si>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</si>
  <si>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</si>
  <si>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</si>
  <si>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</si>
  <si>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</si>
  <si>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WBS'!L1475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</si>
  <si>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</si>
  <si>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</si>
  <si>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</si>
  <si>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</si>
  <si>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</si>
  <si>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</si>
  <si>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</si>
  <si>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</si>
  <si>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</si>
  <si>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</si>
  <si>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</si>
  <si>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</si>
  <si>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</si>
  <si>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</si>
  <si>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</si>
  <si>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</si>
  <si>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</si>
  <si>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</si>
  <si>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WBS'!L1477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</si>
  <si>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</si>
  <si>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</si>
  <si>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</si>
  <si>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</si>
  <si>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</si>
  <si>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</si>
  <si>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</si>
  <si>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</si>
  <si>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</si>
  <si>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</si>
  <si>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</si>
  <si>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</si>
  <si>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</si>
  <si>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</si>
  <si>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</si>
  <si>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</si>
  <si>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</si>
  <si>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</si>
  <si>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</si>
  <si>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</si>
  <si>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WBS'!L1482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</si>
  <si>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</si>
  <si>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</si>
  <si>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</si>
  <si>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WBS'!L1483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</si>
  <si>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</si>
  <si>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</si>
  <si>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</si>
  <si>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WBS'!L1484</t>
    </r>
  </si>
  <si>
    <t xml:space="preserve">0.3</t>
  </si>
  <si>
    <t xml:space="preserve">หนังสือแจ้งขอดับไฟ</t>
  </si>
  <si>
    <t xml:space="preserve">TC-PML-2026-430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</si>
  <si>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</si>
  <si>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</si>
  <si>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</si>
  <si>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</si>
  <si>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</si>
  <si>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</si>
  <si>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</si>
  <si>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</si>
  <si>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</si>
  <si>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</si>
  <si>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</si>
  <si>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</si>
  <si>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</si>
  <si>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</si>
  <si>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</si>
  <si>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</si>
  <si>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</si>
  <si>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</si>
  <si>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</si>
  <si>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</si>
  <si>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</si>
  <si>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</si>
  <si>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</si>
  <si>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</si>
  <si>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</si>
  <si>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</si>
  <si>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</si>
  <si>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</si>
  <si>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</si>
  <si>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</si>
  <si>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</si>
  <si>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</si>
  <si>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</si>
  <si>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</si>
  <si>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</si>
  <si>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</si>
  <si>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</si>
  <si>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</si>
  <si>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</si>
  <si>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</si>
  <si>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</si>
  <si>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</si>
  <si>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</si>
  <si>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</si>
  <si>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</si>
  <si>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</si>
  <si>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</si>
  <si>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</si>
  <si>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</si>
  <si>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</si>
  <si>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</si>
  <si>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</si>
  <si>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</si>
  <si>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</si>
  <si>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</si>
  <si>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</si>
  <si>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</si>
  <si>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</si>
  <si>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</si>
  <si>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</si>
  <si>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</si>
  <si>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</si>
  <si>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</si>
  <si>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</si>
  <si>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</si>
  <si>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</si>
  <si>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</si>
  <si>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</si>
  <si>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</si>
  <si>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</si>
  <si>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</si>
  <si>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</si>
  <si>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</si>
  <si>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</si>
  <si>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</si>
  <si>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</si>
  <si>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</si>
  <si>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</si>
  <si>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</si>
  <si>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</si>
  <si>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</si>
  <si>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</si>
  <si>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</si>
  <si>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</si>
  <si>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</si>
  <si>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</si>
  <si>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</si>
  <si>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</si>
  <si>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</si>
  <si>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</si>
  <si>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</si>
  <si>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</si>
  <si>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</si>
  <si>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</si>
  <si>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</si>
  <si>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</si>
  <si>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</si>
  <si>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</si>
  <si>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</si>
  <si>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</si>
  <si>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</si>
  <si>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</si>
  <si>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</si>
  <si>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</si>
  <si>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</si>
  <si>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</si>
  <si>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</si>
  <si>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</si>
  <si>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</si>
  <si>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</si>
  <si>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</si>
  <si>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</si>
  <si>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</si>
  <si>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</si>
  <si>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</si>
  <si>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</si>
  <si>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</si>
  <si>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WBS'!L1502</t>
    </r>
  </si>
  <si>
    <t xml:space="preserve">1.7.1</t>
  </si>
  <si>
    <t xml:space="preserve">คำขอขนานไฟ PPIM (ชุด 11 ไฟล์)</t>
  </si>
  <si>
    <t xml:space="preserve">PPIM1A506509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</si>
  <si>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</si>
  <si>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</si>
  <si>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</si>
  <si>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</si>
  <si>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</si>
  <si>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รอผู้ยื่นคำขอแก้ไขข้อมูล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</si>
  <si>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</si>
  <si>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</si>
  <si>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</si>
  <si>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</si>
  <si>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</si>
  <si>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</si>
  <si>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</si>
  <si>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</si>
  <si>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</si>
  <si>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</si>
  <si>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</si>
  <si>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</si>
  <si>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</si>
  <si>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</si>
  <si>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</si>
  <si>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</si>
  <si>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</si>
  <si>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</si>
  <si>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</si>
  <si>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</si>
  <si>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</si>
  <si>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</si>
  <si>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</si>
  <si>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</si>
  <si>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</si>
  <si>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</si>
  <si>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</si>
  <si>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</si>
  <si>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</si>
  <si>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</si>
  <si>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</si>
  <si>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</si>
  <si>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</si>
  <si>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</si>
  <si>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</si>
  <si>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</si>
  <si>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</si>
  <si>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</si>
  <si>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</si>
  <si>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</si>
  <si>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</si>
  <si>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</si>
  <si>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</si>
  <si>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</si>
  <si>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</si>
  <si>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</si>
  <si>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</si>
  <si>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</si>
  <si>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</si>
  <si>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</si>
  <si>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</si>
  <si>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</si>
  <si>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</si>
  <si>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</si>
  <si>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</si>
  <si>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</si>
  <si>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</si>
  <si>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</si>
  <si>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</si>
  <si>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</si>
  <si>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</si>
  <si>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</si>
  <si>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</si>
  <si>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</si>
  <si>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</si>
  <si>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</si>
  <si>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</si>
  <si>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</si>
  <si>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</si>
  <si>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</si>
  <si>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</si>
  <si>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</si>
  <si>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</si>
  <si>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</si>
  <si>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</si>
  <si>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</si>
  <si>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</si>
  <si>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</si>
  <si>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</si>
  <si>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</si>
  <si>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</si>
  <si>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</si>
  <si>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</si>
  <si>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</si>
  <si>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</si>
  <si>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</si>
  <si>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</si>
  <si>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</si>
  <si>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</si>
  <si>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</si>
  <si>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</si>
  <si>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</si>
  <si>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</si>
  <si>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</si>
  <si>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</si>
  <si>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</si>
  <si>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</si>
  <si>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</si>
  <si>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</si>
  <si>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</si>
  <si>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</si>
  <si>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</si>
  <si>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</si>
  <si>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</si>
  <si>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</si>
  <si>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</si>
  <si>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</si>
  <si>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</si>
  <si>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WBS'!L1521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</si>
  <si>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</si>
  <si>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</si>
  <si>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</si>
  <si>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</si>
  <si>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</si>
  <si>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</si>
  <si>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</si>
  <si>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</si>
  <si>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</si>
  <si>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</si>
  <si>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</si>
  <si>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</si>
  <si>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</si>
  <si>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</si>
  <si>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</si>
  <si>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</si>
  <si>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</si>
  <si>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</si>
  <si>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</si>
  <si>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WBS'!L1525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</si>
  <si>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</si>
  <si>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</si>
  <si>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</si>
  <si>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</si>
  <si>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</si>
  <si>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</si>
  <si>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</si>
  <si>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</si>
  <si>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</si>
  <si>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</si>
  <si>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</si>
  <si>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</si>
  <si>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</si>
  <si>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</si>
  <si>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</si>
  <si>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</si>
  <si>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</si>
  <si>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</si>
  <si>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</si>
  <si>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</si>
  <si>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</si>
  <si>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</si>
  <si>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</si>
  <si>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</si>
  <si>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</si>
  <si>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</si>
  <si>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</si>
  <si>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</si>
  <si>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</si>
  <si>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</si>
  <si>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</si>
  <si>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</si>
  <si>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</si>
  <si>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</si>
  <si>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</si>
  <si>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</si>
  <si>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</si>
  <si>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</si>
  <si>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WBS'!L1533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</si>
  <si>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</si>
  <si>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</si>
  <si>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</si>
  <si>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</si>
  <si>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</si>
  <si>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</si>
  <si>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</si>
  <si>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</si>
  <si>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</si>
  <si>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</si>
  <si>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WBS'!L1534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</si>
  <si>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</si>
  <si>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</si>
  <si>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</si>
  <si>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</si>
  <si>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</si>
  <si>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</si>
  <si>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</si>
  <si>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</si>
  <si>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</si>
  <si>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</si>
  <si>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</si>
  <si>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</si>
  <si>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</si>
  <si>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</si>
  <si>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</si>
  <si>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</si>
  <si>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</si>
  <si>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</si>
  <si>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</si>
  <si>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</si>
  <si>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</si>
  <si>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</si>
  <si>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</si>
  <si>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</si>
  <si>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</si>
  <si>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</si>
  <si>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</si>
  <si>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</si>
  <si>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</si>
  <si>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</si>
  <si>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</si>
  <si>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</si>
  <si>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13/8/69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</si>
  <si>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</si>
  <si>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</si>
  <si>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</si>
  <si>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</si>
  <si>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</si>
  <si>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</si>
  <si>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</si>
  <si>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</si>
  <si>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</si>
  <si>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</si>
  <si>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</si>
  <si>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</si>
  <si>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</si>
  <si>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</si>
  <si>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</si>
  <si>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</si>
  <si>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</si>
  <si>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</si>
  <si>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</si>
  <si>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</si>
  <si>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</si>
  <si>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</si>
  <si>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</si>
  <si>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</si>
  <si>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</si>
  <si>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</si>
  <si>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</si>
  <si>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</si>
  <si>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</si>
  <si>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</si>
  <si>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</si>
  <si>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</si>
  <si>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</si>
  <si>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</si>
  <si>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</si>
  <si>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</si>
  <si>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</si>
  <si>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</si>
  <si>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</si>
  <si>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WBS'!L1548</t>
    </r>
  </si>
  <si>
    <t xml:space="preserve">3.1.7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</si>
  <si>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</si>
  <si>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</si>
  <si>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</si>
  <si>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</si>
  <si>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</si>
  <si>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</si>
  <si>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</si>
  <si>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</si>
  <si>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</si>
  <si>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</si>
  <si>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</si>
  <si>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</si>
  <si>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</si>
  <si>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</si>
  <si>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</si>
  <si>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</si>
  <si>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</si>
  <si>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</si>
  <si>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</si>
  <si>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</si>
  <si>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</si>
  <si>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</si>
  <si>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</si>
  <si>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</si>
  <si>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</si>
  <si>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</si>
  <si>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</si>
  <si>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</si>
  <si>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</si>
  <si>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</si>
  <si>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</si>
  <si>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</si>
  <si>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</si>
  <si>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</si>
  <si>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</si>
  <si>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</si>
  <si>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</si>
  <si>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</si>
  <si>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</si>
  <si>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</si>
  <si>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</si>
  <si>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</si>
  <si>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</si>
  <si>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</si>
  <si>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</si>
  <si>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</si>
  <si>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</si>
  <si>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</si>
  <si>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</si>
  <si>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</si>
  <si>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</si>
  <si>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</si>
  <si>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</si>
  <si>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</si>
  <si>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</si>
  <si>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</si>
  <si>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</si>
  <si>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</si>
  <si>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</si>
  <si>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</si>
  <si>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</si>
  <si>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</si>
  <si>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</si>
  <si>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</si>
  <si>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</si>
  <si>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</si>
  <si>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</si>
  <si>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</si>
  <si>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</si>
  <si>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</si>
  <si>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</si>
  <si>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</si>
  <si>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</si>
  <si>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</si>
  <si>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</si>
  <si>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</si>
  <si>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</si>
  <si>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</si>
  <si>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โรงกรองน้ำพระกลางทุ่ง การประปาส่วนภูมิภาคสาขาธาตุพนม ขนาดกำลังผลิต </t>
    </r>
    <r>
      <rPr>
        <sz val="10"/>
        <rFont val="Tahoma"/>
        <family val="0"/>
        <charset val="1"/>
      </rPr>
      <t xml:space="preserve">120.84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</si>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</sst>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3.5</c:v>
                </c:pt>
                <c:pt idx="9">
                  <c:v>13.5</c:v>
                </c:pt>
                <c:pt idx="10">
                  <c:v>23.5</c:v>
                </c:pt>
                <c:pt idx="11">
                  <c:v>73.5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329929"/>
        <c:axId val="83763641"/>
      </c:lineChart>
      <c:catAx>
        <c:axId val="7832992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63641"/>
        <c:crosses val="autoZero"/>
        <c:auto val="1"/>
        <c:lblAlgn val="ctr"/>
        <c:lblOffset val="100"/>
        <c:noMultiLvlLbl val="0"/>
      </c:catAx>
      <c:valAx>
        <c:axId val="83763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29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93</v>
      </c>
      <c r="M4" s="12"/>
      <c r="N4" s="12" t="n">
        <v>103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1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46412</v>
      </c>
      <c r="P8" s="34" t="s">
        <v>75</v>
      </c>
      <c r="Q8" s="31" t="n">
        <v>103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46412</v>
      </c>
      <c r="P9" s="46" t="s">
        <v>75</v>
      </c>
      <c r="Q9" s="37" t="n">
        <v>103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46207</v>
      </c>
      <c r="P10" s="50" t="s">
        <v>75</v>
      </c>
      <c r="Q10" s="52" t="n">
        <v>11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46207</v>
      </c>
      <c r="P11" s="50" t="s">
        <v>75</v>
      </c>
      <c r="Q11" s="52" t="n">
        <v>11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46207</v>
      </c>
      <c r="P12" s="50" t="s">
        <v>75</v>
      </c>
      <c r="Q12" s="52" t="n">
        <v>11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46218</v>
      </c>
      <c r="P13" s="50" t="s">
        <v>75</v>
      </c>
      <c r="Q13" s="52" t="n">
        <v>15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46207</v>
      </c>
      <c r="O14" s="55" t="n">
        <v>46412</v>
      </c>
      <c r="P14" s="50" t="s">
        <v>75</v>
      </c>
      <c r="Q14" s="52" t="n">
        <v>103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46207</v>
      </c>
      <c r="O15" s="55" t="n">
        <v>46412</v>
      </c>
      <c r="P15" s="50" t="s">
        <v>75</v>
      </c>
      <c r="Q15" s="52" t="n">
        <v>103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15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15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15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15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46395</v>
      </c>
      <c r="P29" s="34" t="s">
        <v>75</v>
      </c>
      <c r="Q29" s="31" t="n">
        <v>103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46212</v>
      </c>
      <c r="O39" s="45" t="n">
        <v>46212</v>
      </c>
      <c r="P39" s="46" t="s">
        <v>115</v>
      </c>
      <c r="Q39" s="37" t="n">
        <v>-2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46212</v>
      </c>
      <c r="O40" s="55" t="n">
        <v>46212</v>
      </c>
      <c r="P40" s="50" t="s">
        <v>124</v>
      </c>
      <c r="Q40" s="52" t="n">
        <v>-2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46212</v>
      </c>
      <c r="O41" s="55" t="n">
        <v>46212</v>
      </c>
      <c r="P41" s="50" t="s">
        <v>124</v>
      </c>
      <c r="Q41" s="52" t="n">
        <v>-2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46212</v>
      </c>
      <c r="O42" s="55" t="n">
        <v>46212</v>
      </c>
      <c r="P42" s="50" t="s">
        <v>124</v>
      </c>
      <c r="Q42" s="52" t="n">
        <v>-2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12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46349</v>
      </c>
      <c r="O59" s="45" t="n">
        <v>46349</v>
      </c>
      <c r="P59" s="46" t="s">
        <v>290</v>
      </c>
      <c r="Q59" s="37" t="n">
        <v>73</v>
      </c>
      <c r="R59" s="39"/>
      <c r="S59" s="39" t="n">
        <v>1</v>
      </c>
      <c r="T59" s="39" t="s">
        <v>291</v>
      </c>
      <c r="U59" s="58" t="n">
        <v>46349.0059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46354</v>
      </c>
      <c r="O60" s="60" t="n">
        <v>46395</v>
      </c>
      <c r="P60" s="46" t="s">
        <v>290</v>
      </c>
      <c r="Q60" s="37" t="n">
        <v>103</v>
      </c>
      <c r="R60" s="39"/>
      <c r="S60" s="39" t="n">
        <v>1</v>
      </c>
      <c r="T60" s="39" t="s">
        <v>291</v>
      </c>
      <c r="U60" s="58" t="n">
        <v>46354.006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46223</v>
      </c>
      <c r="O61" s="33" t="n">
        <v>46247</v>
      </c>
      <c r="P61" s="34" t="s">
        <v>60</v>
      </c>
      <c r="Q61" s="31" t="n">
        <v>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12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46223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46223</v>
      </c>
      <c r="O63" s="55" t="n">
        <v>46224</v>
      </c>
      <c r="P63" s="50" t="s">
        <v>124</v>
      </c>
      <c r="Q63" s="52" t="n">
        <v>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46223</v>
      </c>
      <c r="O64" s="55" t="n">
        <v>46225</v>
      </c>
      <c r="P64" s="50" t="s">
        <v>124</v>
      </c>
      <c r="Q64" s="52" t="n">
        <v>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46224</v>
      </c>
      <c r="O65" s="55" t="n">
        <v>46229</v>
      </c>
      <c r="P65" s="50" t="s">
        <v>124</v>
      </c>
      <c r="Q65" s="52" t="n">
        <v>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46227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46230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46232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46241</v>
      </c>
      <c r="O71" s="55" t="n">
        <v>46242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46242</v>
      </c>
      <c r="O72" s="55" t="n">
        <v>46243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46242</v>
      </c>
      <c r="O73" s="55" t="n">
        <v>46243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46243</v>
      </c>
      <c r="O74" s="55" t="n">
        <v>46244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46243</v>
      </c>
      <c r="O75" s="55" t="n">
        <v>46244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5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46240</v>
      </c>
      <c r="O76" s="45" t="n">
        <v>46244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46240</v>
      </c>
      <c r="O77" s="55" t="n">
        <v>46241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46240</v>
      </c>
      <c r="O78" s="55" t="n">
        <v>46243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46242</v>
      </c>
      <c r="O79" s="55" t="n">
        <v>46244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46243</v>
      </c>
      <c r="O80" s="55" t="n">
        <v>46244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46244</v>
      </c>
      <c r="O81" s="55" t="n">
        <v>46244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419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423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427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431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435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442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446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450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46242</v>
      </c>
      <c r="O101" s="55" t="n">
        <v>46242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461</v>
      </c>
      <c r="N102" s="55" t="n">
        <v>46242</v>
      </c>
      <c r="O102" s="55" t="n">
        <v>46243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468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472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476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483</v>
      </c>
      <c r="N108" s="55" t="n">
        <v>46244</v>
      </c>
      <c r="O108" s="55" t="n">
        <v>46245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487</v>
      </c>
      <c r="N109" s="55" t="n">
        <v>46245</v>
      </c>
      <c r="O109" s="55" t="n">
        <v>46245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491</v>
      </c>
      <c r="N110" s="55" t="n">
        <v>46244</v>
      </c>
      <c r="O110" s="55" t="n">
        <v>46245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46247</v>
      </c>
      <c r="M111" s="43"/>
      <c r="N111" s="44" t="n">
        <v>46247</v>
      </c>
      <c r="O111" s="45" t="n">
        <v>46247</v>
      </c>
      <c r="P111" s="46" t="s">
        <v>60</v>
      </c>
      <c r="Q111" s="37" t="n">
        <v>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500</v>
      </c>
      <c r="N112" s="55" t="n">
        <v>46247</v>
      </c>
      <c r="O112" s="55" t="n">
        <v>46247</v>
      </c>
      <c r="P112" s="50" t="s">
        <v>124</v>
      </c>
      <c r="Q112" s="52" t="n">
        <v>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504</v>
      </c>
      <c r="N113" s="55" t="n">
        <v>46247</v>
      </c>
      <c r="O113" s="55" t="n">
        <v>46247</v>
      </c>
      <c r="P113" s="50" t="s">
        <v>124</v>
      </c>
      <c r="Q113" s="52" t="n">
        <v>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46251</v>
      </c>
      <c r="O114" s="33" t="n">
        <v>46412</v>
      </c>
      <c r="P114" s="34" t="s">
        <v>75</v>
      </c>
      <c r="Q114" s="31" t="n">
        <v>103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46345</v>
      </c>
      <c r="O115" s="45" t="n">
        <v>46345</v>
      </c>
      <c r="P115" s="46" t="s">
        <v>290</v>
      </c>
      <c r="Q115" s="37" t="n">
        <v>96</v>
      </c>
      <c r="R115" s="39"/>
      <c r="S115" s="39" t="n">
        <v>1</v>
      </c>
      <c r="T115" s="39" t="s">
        <v>291</v>
      </c>
      <c r="U115" s="58" t="n">
        <v>46345.0115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514</v>
      </c>
      <c r="N116" s="55" t="n">
        <v>46345</v>
      </c>
      <c r="O116" s="55" t="n">
        <v>46345</v>
      </c>
      <c r="P116" s="50" t="s">
        <v>290</v>
      </c>
      <c r="Q116" s="52" t="n">
        <v>98</v>
      </c>
      <c r="R116" s="52"/>
      <c r="S116" s="52" t="n">
        <v>2</v>
      </c>
      <c r="T116" s="52" t="s">
        <v>291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518</v>
      </c>
      <c r="N117" s="55" t="n">
        <v>46345</v>
      </c>
      <c r="O117" s="55" t="n">
        <v>46345</v>
      </c>
      <c r="P117" s="50" t="s">
        <v>290</v>
      </c>
      <c r="Q117" s="52" t="n">
        <v>97</v>
      </c>
      <c r="R117" s="52"/>
      <c r="S117" s="52" t="n">
        <v>2</v>
      </c>
      <c r="T117" s="52" t="s">
        <v>291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522</v>
      </c>
      <c r="N118" s="55" t="n">
        <v>46345</v>
      </c>
      <c r="O118" s="55" t="n">
        <v>46345</v>
      </c>
      <c r="P118" s="50" t="s">
        <v>290</v>
      </c>
      <c r="Q118" s="52" t="n">
        <v>97</v>
      </c>
      <c r="R118" s="52"/>
      <c r="S118" s="52" t="n">
        <v>2</v>
      </c>
      <c r="T118" s="52" t="s">
        <v>291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526</v>
      </c>
      <c r="N119" s="55" t="n">
        <v>46345</v>
      </c>
      <c r="O119" s="55" t="n">
        <v>46345</v>
      </c>
      <c r="P119" s="50" t="s">
        <v>290</v>
      </c>
      <c r="Q119" s="52" t="n">
        <v>97</v>
      </c>
      <c r="R119" s="52"/>
      <c r="S119" s="52" t="n">
        <v>2</v>
      </c>
      <c r="T119" s="52" t="s">
        <v>291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530</v>
      </c>
      <c r="N120" s="55" t="n">
        <v>46345</v>
      </c>
      <c r="O120" s="55" t="n">
        <v>46345</v>
      </c>
      <c r="P120" s="50" t="s">
        <v>290</v>
      </c>
      <c r="Q120" s="52" t="n">
        <v>96</v>
      </c>
      <c r="R120" s="52"/>
      <c r="S120" s="52" t="n">
        <v>2</v>
      </c>
      <c r="T120" s="52" t="s">
        <v>291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534</v>
      </c>
      <c r="N121" s="55" t="n">
        <v>46345</v>
      </c>
      <c r="O121" s="55" t="n">
        <v>46345</v>
      </c>
      <c r="P121" s="50" t="s">
        <v>290</v>
      </c>
      <c r="Q121" s="52" t="n">
        <v>96</v>
      </c>
      <c r="R121" s="52"/>
      <c r="S121" s="52" t="n">
        <v>2</v>
      </c>
      <c r="T121" s="52" t="s">
        <v>291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28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46328</v>
      </c>
      <c r="O122" s="45" t="n">
        <v>46328</v>
      </c>
      <c r="P122" s="46" t="s">
        <v>290</v>
      </c>
      <c r="Q122" s="37" t="n">
        <v>79</v>
      </c>
      <c r="R122" s="39"/>
      <c r="S122" s="39" t="n">
        <v>1</v>
      </c>
      <c r="T122" s="39" t="s">
        <v>291</v>
      </c>
      <c r="U122" s="58" t="n">
        <v>46328.0122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46251</v>
      </c>
      <c r="L123" s="42" t="n">
        <v>46253</v>
      </c>
      <c r="M123" s="43"/>
      <c r="N123" s="44" t="n">
        <v>46251</v>
      </c>
      <c r="O123" s="45" t="n">
        <v>46253</v>
      </c>
      <c r="P123" s="46" t="s">
        <v>60</v>
      </c>
      <c r="Q123" s="37" t="n">
        <v>2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46399</v>
      </c>
      <c r="O124" s="45" t="n">
        <v>46412</v>
      </c>
      <c r="P124" s="46" t="s">
        <v>290</v>
      </c>
      <c r="Q124" s="37" t="n">
        <v>103</v>
      </c>
      <c r="R124" s="39"/>
      <c r="S124" s="39" t="n">
        <v>1</v>
      </c>
      <c r="T124" s="39" t="s">
        <v>291</v>
      </c>
      <c r="U124" s="58" t="n">
        <v>46399.0124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548</v>
      </c>
      <c r="N125" s="55" t="n">
        <v>46399</v>
      </c>
      <c r="O125" s="55" t="n">
        <v>46403</v>
      </c>
      <c r="P125" s="50" t="s">
        <v>290</v>
      </c>
      <c r="Q125" s="52" t="n">
        <v>103</v>
      </c>
      <c r="R125" s="52"/>
      <c r="S125" s="52" t="n">
        <v>2</v>
      </c>
      <c r="T125" s="52" t="s">
        <v>291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552</v>
      </c>
      <c r="N126" s="55" t="n">
        <v>46402</v>
      </c>
      <c r="O126" s="55" t="n">
        <v>46409</v>
      </c>
      <c r="P126" s="50" t="s">
        <v>290</v>
      </c>
      <c r="Q126" s="52" t="n">
        <v>103</v>
      </c>
      <c r="R126" s="52"/>
      <c r="S126" s="52" t="n">
        <v>2</v>
      </c>
      <c r="T126" s="52" t="s">
        <v>291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556</v>
      </c>
      <c r="N127" s="55" t="n">
        <v>46409</v>
      </c>
      <c r="O127" s="55" t="n">
        <v>46412</v>
      </c>
      <c r="P127" s="50" t="s">
        <v>290</v>
      </c>
      <c r="Q127" s="52" t="n">
        <v>103</v>
      </c>
      <c r="R127" s="52"/>
      <c r="S127" s="52" t="n">
        <v>2</v>
      </c>
      <c r="T127" s="52" t="s">
        <v>291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46352</v>
      </c>
      <c r="O128" s="45" t="n">
        <v>46352</v>
      </c>
      <c r="P128" s="46" t="s">
        <v>290</v>
      </c>
      <c r="Q128" s="37" t="n">
        <v>93</v>
      </c>
      <c r="R128" s="39"/>
      <c r="S128" s="39" t="n">
        <v>1</v>
      </c>
      <c r="T128" s="39" t="s">
        <v>291</v>
      </c>
      <c r="U128" s="58" t="n">
        <v>46352.0128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 t="s">
        <v>562</v>
      </c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46353</v>
      </c>
      <c r="O130" s="45" t="n">
        <v>46357</v>
      </c>
      <c r="P130" s="46" t="s">
        <v>290</v>
      </c>
      <c r="Q130" s="37" t="n">
        <v>98</v>
      </c>
      <c r="R130" s="39"/>
      <c r="S130" s="39" t="n">
        <v>1</v>
      </c>
      <c r="T130" s="39" t="s">
        <v>291</v>
      </c>
      <c r="U130" s="58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46396</v>
      </c>
      <c r="O131" s="45" t="n">
        <v>46398</v>
      </c>
      <c r="P131" s="46" t="s">
        <v>290</v>
      </c>
      <c r="Q131" s="37" t="n">
        <v>103</v>
      </c>
      <c r="R131" s="39"/>
      <c r="S131" s="39" t="n">
        <v>1</v>
      </c>
      <c r="T131" s="39" t="s">
        <v>291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46212</v>
      </c>
      <c r="F13" s="99" t="n">
        <v>46212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653</v>
      </c>
      <c r="C23" s="95" t="s">
        <v>644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46223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10</v>
      </c>
      <c r="R24" s="101" t="n">
        <v>10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654</v>
      </c>
      <c r="C25" s="95" t="s">
        <v>644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655</v>
      </c>
      <c r="C27" s="95" t="s">
        <v>644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46240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656</v>
      </c>
      <c r="C29" s="95" t="s">
        <v>644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657</v>
      </c>
      <c r="C31" s="95" t="s">
        <v>644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658</v>
      </c>
      <c r="C33" s="95" t="s">
        <v>644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659</v>
      </c>
      <c r="C35" s="95" t="s">
        <v>644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660</v>
      </c>
      <c r="C37" s="95" t="s">
        <v>644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661</v>
      </c>
      <c r="C39" s="95" t="s">
        <v>644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663</v>
      </c>
      <c r="C42" s="95" t="s">
        <v>644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0</v>
      </c>
      <c r="Q48" s="103" t="n">
        <f aca="false">SUMIF($C$7:$C$45,"Actual",Q$7:Q$45)</f>
        <v>10</v>
      </c>
      <c r="R48" s="103" t="n">
        <f aca="false">SUMIF($C$7:$C$45,"Actual",R$7:R$45)</f>
        <v>10</v>
      </c>
      <c r="S48" s="103" t="n">
        <f aca="false">SUMIF($C$7:$C$45,"Actual",S$7:S$45)</f>
        <v>50</v>
      </c>
      <c r="T48" s="103" t="n">
        <f aca="false">SUMIF($C$7:$C$45,"Actual",T$7:T$45)</f>
        <v>20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3.5</v>
      </c>
      <c r="Q50" s="105" t="n">
        <f aca="false">IF(Q$6&gt;46314,"",P50+Q48)</f>
        <v>13.5</v>
      </c>
      <c r="R50" s="105" t="n">
        <f aca="false">IF(R$6&gt;46314,"",Q50+R48)</f>
        <v>23.5</v>
      </c>
      <c r="S50" s="105" t="n">
        <f aca="false">IF(S$6&gt;46314,"",R50+S48)</f>
        <v>73.5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2026-10-26T04:41:05Z</dcterms:created>
  <dc:creator>openpyxl</dc:creator>
  <dc:description/>
  <dc:language>en-US</dc:language>
  <cp:lastModifiedBy/>
  <dcterms:modified xsi:type="dcterms:W3CDTF">2026-10-26T11:45:44Z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