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<sst xmlns="http://schemas.openxmlformats.org/spreadsheetml/2006/main" count="1320" uniqueCount="676">
  <si>
    <t xml:space="preserve">แผนโครงการ P3-032 – สถานีผลิตน้ำปะโค (อุดร) 852.15 kWp</t>
  </si>
  <si>
    <t xml:space="preserve">กปภ.สาขาอุดรธานี, ภาคอีสาน, กฟภ. เขต ฉ.1, Inverter 750 kW (ต้องยื่น พค.2), Zero export HV, คำขอ PPIM1A5072D8, วิศวกร น็อต, Admin ฝ้าย,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</si>
  <si>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</si>
  <si>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</si>
  <si>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</si>
  <si>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</si>
  <si>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</si>
  <si>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</si>
  <si>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</si>
  <si>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</si>
  <si>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</si>
  <si>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</si>
  <si>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</si>
  <si>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</si>
  <si>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</si>
  <si>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</si>
  <si>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</si>
  <si>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</si>
  <si>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</si>
  <si>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</si>
  <si>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</si>
  <si>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</si>
  <si>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</si>
  <si>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</si>
  <si>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</si>
  <si>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</si>
  <si>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</si>
  <si>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</si>
  <si>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</si>
  <si>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</si>
  <si>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</si>
  <si>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</si>
  <si>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</si>
  <si>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</si>
  <si>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</si>
  <si>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</si>
  <si>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</si>
  <si>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</si>
  <si>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</si>
  <si>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</si>
  <si>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</si>
  <si>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</si>
  <si>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</si>
  <si>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</si>
  <si>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</si>
  <si>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</si>
  <si>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</si>
  <si>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</si>
  <si>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</si>
  <si>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</si>
  <si>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</si>
  <si>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</si>
  <si>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</si>
  <si>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</si>
  <si>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</si>
  <si>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</si>
  <si>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</si>
  <si>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</si>
  <si>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</si>
  <si>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</si>
  <si>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</si>
  <si>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</si>
  <si>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</si>
  <si>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</si>
  <si>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</si>
  <si>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</si>
  <si>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</si>
  <si>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</si>
  <si>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</si>
  <si>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</si>
  <si>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</si>
  <si>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</si>
  <si>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</si>
  <si>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</si>
  <si>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</si>
  <si>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</si>
  <si>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</si>
  <si>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</si>
  <si>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</si>
  <si>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</si>
  <si>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</si>
  <si>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</si>
  <si>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</si>
  <si>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</si>
  <si>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</si>
  <si>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</si>
  <si>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</si>
  <si>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</si>
  <si>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</si>
  <si>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</si>
  <si>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</si>
  <si>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</si>
  <si>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</si>
  <si>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</si>
  <si>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</si>
  <si>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</si>
  <si>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</si>
  <si>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</si>
  <si>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</si>
  <si>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</si>
  <si>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</si>
  <si>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</si>
  <si>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</si>
  <si>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</si>
  <si>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</si>
  <si>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</si>
  <si>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</si>
  <si>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</si>
  <si>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</si>
  <si>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</si>
  <si>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</si>
  <si>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TC-PML-2026-176,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</si>
  <si>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</si>
  <si>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</si>
  <si>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</si>
  <si>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</si>
  <si>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</si>
  <si>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</si>
  <si>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</si>
  <si>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</si>
  <si>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</si>
  <si>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</si>
  <si>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</si>
  <si>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</si>
  <si>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</si>
  <si>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</si>
  <si>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</si>
  <si>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</si>
  <si>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</si>
  <si>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</si>
  <si>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</si>
  <si>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</si>
  <si>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</si>
  <si>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</si>
  <si>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</si>
  <si>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</si>
  <si>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</si>
  <si>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</si>
  <si>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</si>
  <si>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</si>
  <si>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</si>
  <si>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</si>
  <si>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</si>
  <si>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</si>
  <si>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</si>
  <si>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</si>
  <si>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</si>
  <si>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</si>
  <si>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</si>
  <si>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</si>
  <si>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</si>
  <si>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</si>
  <si>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WBS'!L3448</t>
    </r>
  </si>
  <si>
    <t xml:space="preserve">0.3</t>
  </si>
  <si>
    <t xml:space="preserve">หนังสือแจ้งขอดับไฟ</t>
  </si>
  <si>
    <t xml:space="preserve">TC-PML-2026-518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</si>
  <si>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</si>
  <si>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</si>
  <si>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</si>
  <si>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</si>
  <si>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</si>
  <si>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</si>
  <si>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</si>
  <si>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</si>
  <si>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</si>
  <si>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</si>
  <si>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</si>
  <si>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</si>
  <si>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</si>
  <si>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</si>
  <si>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</si>
  <si>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</si>
  <si>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</si>
  <si>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</si>
  <si>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</si>
  <si>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</si>
  <si>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</si>
  <si>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</si>
  <si>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</si>
  <si>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</si>
  <si>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</si>
  <si>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</si>
  <si>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</si>
  <si>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</si>
  <si>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</si>
  <si>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</si>
  <si>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</si>
  <si>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</si>
  <si>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</si>
  <si>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</si>
  <si>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</si>
  <si>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</si>
  <si>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</si>
  <si>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</si>
  <si>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</si>
  <si>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</si>
  <si>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</si>
  <si>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</si>
  <si>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</si>
  <si>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</si>
  <si>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</si>
  <si>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</si>
  <si>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</si>
  <si>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</si>
  <si>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</si>
  <si>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</si>
  <si>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</si>
  <si>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</si>
  <si>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</si>
  <si>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</si>
  <si>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</si>
  <si>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</si>
  <si>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</si>
  <si>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</si>
  <si>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</si>
  <si>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</si>
  <si>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</si>
  <si>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</si>
  <si>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</si>
  <si>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</si>
  <si>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</si>
  <si>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</si>
  <si>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</si>
  <si>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</si>
  <si>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</si>
  <si>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</si>
  <si>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</si>
  <si>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</si>
  <si>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</si>
  <si>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</si>
  <si>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</si>
  <si>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</si>
  <si>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</si>
  <si>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</si>
  <si>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</si>
  <si>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</si>
  <si>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</si>
  <si>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</si>
  <si>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</si>
  <si>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</si>
  <si>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</si>
  <si>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</si>
  <si>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WBS'!L3464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</si>
  <si>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</si>
  <si>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</si>
  <si>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</si>
  <si>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</si>
  <si>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</si>
  <si>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</si>
  <si>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</si>
  <si>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</si>
  <si>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WBS'!L3465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</si>
  <si>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</si>
  <si>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</si>
  <si>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</si>
  <si>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WBS'!L3466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</si>
  <si>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</si>
  <si>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</si>
  <si>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</si>
  <si>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</si>
  <si>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</si>
  <si>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WBS'!L3467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</si>
  <si>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</si>
  <si>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</si>
  <si>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</si>
  <si>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</si>
  <si>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</si>
  <si>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</si>
  <si>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</si>
  <si>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</si>
  <si>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</si>
  <si>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</si>
  <si>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</si>
  <si>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</si>
  <si>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WBS'!L3469</t>
    </r>
  </si>
  <si>
    <t xml:space="preserve">1.7.1</t>
  </si>
  <si>
    <t xml:space="preserve">คำขอขนานไฟ PPIM (ชุด 11 ไฟล์)</t>
  </si>
  <si>
    <t xml:space="preserve">PPIM1A5072D8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</si>
  <si>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</si>
  <si>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</si>
  <si>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</si>
  <si>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</si>
  <si>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</si>
  <si>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</si>
  <si>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</si>
  <si>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</si>
  <si>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</si>
  <si>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</si>
  <si>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</si>
  <si>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</si>
  <si>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</si>
  <si>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</si>
  <si>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</si>
  <si>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</si>
  <si>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</si>
  <si>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</si>
  <si>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</si>
  <si>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</si>
  <si>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</si>
  <si>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</si>
  <si>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</si>
  <si>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</si>
  <si>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(36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</si>
  <si>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</si>
  <si>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</si>
  <si>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</si>
  <si>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</si>
  <si>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</si>
  <si>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</si>
  <si>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</si>
  <si>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</si>
  <si>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</si>
  <si>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</si>
  <si>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</si>
  <si>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</si>
  <si>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</si>
  <si>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</si>
  <si>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</si>
  <si>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</si>
  <si>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</si>
  <si>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</si>
  <si>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</si>
  <si>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</si>
  <si>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</si>
  <si>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</si>
  <si>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</si>
  <si>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</si>
  <si>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</si>
  <si>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</si>
  <si>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</si>
  <si>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</si>
  <si>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</si>
  <si>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</si>
  <si>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</si>
  <si>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</si>
  <si>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</si>
  <si>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</si>
  <si>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</si>
  <si>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</si>
  <si>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</si>
  <si>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</si>
  <si>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</si>
  <si>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</si>
  <si>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</si>
  <si>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</si>
  <si>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</si>
  <si>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</si>
  <si>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</si>
  <si>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</si>
  <si>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</si>
  <si>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</si>
  <si>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</si>
  <si>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</si>
  <si>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</si>
  <si>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</si>
  <si>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</si>
  <si>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</si>
  <si>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</si>
  <si>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</si>
  <si>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</si>
  <si>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</si>
  <si>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</si>
  <si>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</si>
  <si>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</si>
  <si>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</si>
  <si>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</si>
  <si>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</si>
  <si>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</si>
  <si>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</si>
  <si>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</si>
  <si>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</si>
  <si>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</si>
  <si>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</si>
  <si>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</si>
  <si>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</si>
  <si>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</si>
  <si>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</si>
  <si>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</si>
  <si>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</si>
  <si>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</si>
  <si>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</si>
  <si>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</si>
  <si>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</si>
  <si>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</si>
  <si>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</si>
  <si>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</si>
  <si>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</si>
  <si>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</si>
  <si>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</si>
  <si>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</si>
  <si>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</si>
  <si>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</si>
  <si>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WBS'!L3488</t>
    </r>
  </si>
  <si>
    <t xml:space="preserve">2.5</t>
  </si>
  <si>
    <t xml:space="preserve">ติดตั้ง Inverter</t>
  </si>
  <si>
    <t xml:space="preserve">Inverter 750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</si>
  <si>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</si>
  <si>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</si>
  <si>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</si>
  <si>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</si>
  <si>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</si>
  <si>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</si>
  <si>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</si>
  <si>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</si>
  <si>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</si>
  <si>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</si>
  <si>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</si>
  <si>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</si>
  <si>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</si>
  <si>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</si>
  <si>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</si>
  <si>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</si>
  <si>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</si>
  <si>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</si>
  <si>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</si>
  <si>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</si>
  <si>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</si>
  <si>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</si>
  <si>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</si>
  <si>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</si>
  <si>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</si>
  <si>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</si>
  <si>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</si>
  <si>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</si>
  <si>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</si>
  <si>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</si>
  <si>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</si>
  <si>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</si>
  <si>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</si>
  <si>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</si>
  <si>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</si>
  <si>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</si>
  <si>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</si>
  <si>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</si>
  <si>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</si>
  <si>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</si>
  <si>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</si>
  <si>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</si>
  <si>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</si>
  <si>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</si>
  <si>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</si>
  <si>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</si>
  <si>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</si>
  <si>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</si>
  <si>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</si>
  <si>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</si>
  <si>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</si>
  <si>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</si>
  <si>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</si>
  <si>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</si>
  <si>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</si>
  <si>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</si>
  <si>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</si>
  <si>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</si>
  <si>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</si>
  <si>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</si>
  <si>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</si>
  <si>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</si>
  <si>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</si>
  <si>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</si>
  <si>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</si>
  <si>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</si>
  <si>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</si>
  <si>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</si>
  <si>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</si>
  <si>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</si>
  <si>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</si>
  <si>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</si>
  <si>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</si>
  <si>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</si>
  <si>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</si>
  <si>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</si>
  <si>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</si>
  <si>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</si>
  <si>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</si>
  <si>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</si>
  <si>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</si>
  <si>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</si>
  <si>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</si>
  <si>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</si>
  <si>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</si>
  <si>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</si>
  <si>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</si>
  <si>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</si>
  <si>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</si>
  <si>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</si>
  <si>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</si>
  <si>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</si>
  <si>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</si>
  <si>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</si>
  <si>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</si>
  <si>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</si>
  <si>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</si>
  <si>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</si>
  <si>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</si>
  <si>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WBS'!L3507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</si>
  <si>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</si>
  <si>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</si>
  <si>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</si>
  <si>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</si>
  <si>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</si>
  <si>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</si>
  <si>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</si>
  <si>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</si>
  <si>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</si>
  <si>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</si>
  <si>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</si>
  <si>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</si>
  <si>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</si>
  <si>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</si>
  <si>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</si>
  <si>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</si>
  <si>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</si>
  <si>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</si>
  <si>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</si>
  <si>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</si>
  <si>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</si>
  <si>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</si>
  <si>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</si>
  <si>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</si>
  <si>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</si>
  <si>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</si>
  <si>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</si>
  <si>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</si>
  <si>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</si>
  <si>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</si>
  <si>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</si>
  <si>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</si>
  <si>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</si>
  <si>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</si>
  <si>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</si>
  <si>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</si>
  <si>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</si>
  <si>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</si>
  <si>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</si>
  <si>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</si>
  <si>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</si>
  <si>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</si>
  <si>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</si>
  <si>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</si>
  <si>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</si>
  <si>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</si>
  <si>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</si>
  <si>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</si>
  <si>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</si>
  <si>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</si>
  <si>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</si>
  <si>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</si>
  <si>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</si>
  <si>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</si>
  <si>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</si>
  <si>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</si>
  <si>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</si>
  <si>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</si>
  <si>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</si>
  <si>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</si>
  <si>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</si>
  <si>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</si>
  <si>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</si>
  <si>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</si>
  <si>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</si>
  <si>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</si>
  <si>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</si>
  <si>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</si>
  <si>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</si>
  <si>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</si>
  <si>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</si>
  <si>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</si>
  <si>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</si>
  <si>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</si>
  <si>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</si>
  <si>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</si>
  <si>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</si>
  <si>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</si>
  <si>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</si>
  <si>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</si>
  <si>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</si>
  <si>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</si>
  <si>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</si>
  <si>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</si>
  <si>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</si>
  <si>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</si>
  <si>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</si>
  <si>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</si>
  <si>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</si>
  <si>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</si>
  <si>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</si>
  <si>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</si>
  <si>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</si>
  <si>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</si>
  <si>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</si>
  <si>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</si>
  <si>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</si>
  <si>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</si>
  <si>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</si>
  <si>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</si>
  <si>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</si>
  <si>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</si>
  <si>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</si>
  <si>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</si>
  <si>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</si>
  <si>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</si>
  <si>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125+125+125+125+125+125 kW, โรงเรือน 11.50 × 4.00 ม. (Rack 2 ด้าน),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</si>
  <si>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</si>
  <si>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</si>
  <si>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</si>
  <si>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</si>
  <si>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</si>
  <si>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</si>
  <si>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</si>
  <si>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</si>
  <si>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</si>
  <si>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</si>
  <si>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</si>
  <si>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</si>
  <si>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</si>
  <si>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</si>
  <si>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</si>
  <si>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</si>
  <si>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</si>
  <si>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</si>
  <si>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สถานีผลิตน้ำปะโค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อุดร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การประปาส่วนภูมิภาคสาขาอุดรธานี ขนาดกำลังผลิต </t>
    </r>
    <r>
      <rPr>
        <sz val="10"/>
        <rFont val="Tahoma"/>
        <family val="0"/>
        <charset val="1"/>
      </rPr>
      <t xml:space="preserve">852.15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</si>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</sst>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2.2222</c:v>
                </c:pt>
                <c:pt idx="1">
                  <c:v>4.4444</c:v>
                </c:pt>
                <c:pt idx="2">
                  <c:v>6.6666</c:v>
                </c:pt>
                <c:pt idx="3">
                  <c:v>8.8888</c:v>
                </c:pt>
                <c:pt idx="4">
                  <c:v>11.111</c:v>
                </c:pt>
                <c:pt idx="5">
                  <c:v>13.8332</c:v>
                </c:pt>
                <c:pt idx="6">
                  <c:v>16.8887</c:v>
                </c:pt>
                <c:pt idx="7">
                  <c:v>19.9442</c:v>
                </c:pt>
                <c:pt idx="8">
                  <c:v>22.4997</c:v>
                </c:pt>
                <c:pt idx="9">
                  <c:v>26.9997</c:v>
                </c:pt>
                <c:pt idx="10">
                  <c:v>30.9997</c:v>
                </c:pt>
                <c:pt idx="11">
                  <c:v>34.9997</c:v>
                </c:pt>
                <c:pt idx="12">
                  <c:v>38.9997</c:v>
                </c:pt>
                <c:pt idx="13">
                  <c:v>92.9997</c:v>
                </c:pt>
                <c:pt idx="14">
                  <c:v>92.9997</c:v>
                </c:pt>
                <c:pt idx="15">
                  <c:v>92.9997</c:v>
                </c:pt>
                <c:pt idx="16">
                  <c:v>92.9997</c:v>
                </c:pt>
                <c:pt idx="17">
                  <c:v>93.1664</c:v>
                </c:pt>
                <c:pt idx="18">
                  <c:v>94.3331</c:v>
                </c:pt>
                <c:pt idx="19">
                  <c:v>94.4998</c:v>
                </c:pt>
                <c:pt idx="20">
                  <c:v>94.6665</c:v>
                </c:pt>
                <c:pt idx="21">
                  <c:v>94.8332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027810"/>
        <c:axId val="61963851"/>
      </c:lineChart>
      <c:catAx>
        <c:axId val="8902781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63851"/>
        <c:crosses val="autoZero"/>
        <c:auto val="1"/>
        <c:lblAlgn val="ctr"/>
        <c:lblOffset val="100"/>
        <c:noMultiLvlLbl val="0"/>
      </c:catAx>
      <c:valAx>
        <c:axId val="61963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278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45</v>
      </c>
      <c r="M4" s="12"/>
      <c r="N4" s="12" t="n">
        <v>95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46219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46219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46219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46230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46219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46219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46244</v>
      </c>
      <c r="M25" s="43"/>
      <c r="N25" s="44" t="n">
        <v>46244</v>
      </c>
      <c r="O25" s="45" t="n">
        <v>46244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46244</v>
      </c>
      <c r="O26" s="55" t="n">
        <v>46244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46244</v>
      </c>
      <c r="O27" s="55" t="n">
        <v>46244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46244</v>
      </c>
      <c r="O28" s="55" t="n">
        <v>46244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46400</v>
      </c>
      <c r="P29" s="34" t="s">
        <v>75</v>
      </c>
      <c r="Q29" s="31" t="n">
        <v>95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46223</v>
      </c>
      <c r="O39" s="45" t="n">
        <v>46223</v>
      </c>
      <c r="P39" s="46" t="s">
        <v>115</v>
      </c>
      <c r="Q39" s="37" t="n">
        <v>-4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46223</v>
      </c>
      <c r="O40" s="55" t="n">
        <v>46223</v>
      </c>
      <c r="P40" s="50" t="s">
        <v>124</v>
      </c>
      <c r="Q40" s="52" t="n">
        <v>-4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46223</v>
      </c>
      <c r="O41" s="55" t="n">
        <v>46223</v>
      </c>
      <c r="P41" s="50" t="s">
        <v>124</v>
      </c>
      <c r="Q41" s="52" t="n">
        <v>-4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46223</v>
      </c>
      <c r="O42" s="55" t="n">
        <v>46223</v>
      </c>
      <c r="P42" s="50" t="s">
        <v>124</v>
      </c>
      <c r="Q42" s="52" t="n">
        <v>-4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46286</v>
      </c>
      <c r="M47" s="43"/>
      <c r="N47" s="44" t="n">
        <v>46286</v>
      </c>
      <c r="O47" s="45" t="n">
        <v>46286</v>
      </c>
      <c r="P47" s="46" t="s">
        <v>60</v>
      </c>
      <c r="Q47" s="37" t="n">
        <v>26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46286</v>
      </c>
      <c r="O48" s="55" t="n">
        <v>46286</v>
      </c>
      <c r="P48" s="50" t="s">
        <v>124</v>
      </c>
      <c r="Q48" s="52" t="n">
        <v>26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46286</v>
      </c>
      <c r="O49" s="55" t="n">
        <v>46286</v>
      </c>
      <c r="P49" s="50" t="s">
        <v>124</v>
      </c>
      <c r="Q49" s="52" t="n">
        <v>26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46286</v>
      </c>
      <c r="O51" s="55" t="n">
        <v>46286</v>
      </c>
      <c r="P51" s="50" t="s">
        <v>124</v>
      </c>
      <c r="Q51" s="52" t="n">
        <v>26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46281</v>
      </c>
      <c r="M55" s="43"/>
      <c r="N55" s="44" t="n">
        <v>46281</v>
      </c>
      <c r="O55" s="45" t="n">
        <v>46281</v>
      </c>
      <c r="P55" s="46" t="s">
        <v>60</v>
      </c>
      <c r="Q55" s="37" t="n">
        <v>21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46281</v>
      </c>
      <c r="L57" s="42"/>
      <c r="M57" s="43" t="s">
        <v>114</v>
      </c>
      <c r="N57" s="44" t="n">
        <v>46281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46352</v>
      </c>
      <c r="O59" s="45" t="n">
        <v>46352</v>
      </c>
      <c r="P59" s="46" t="s">
        <v>291</v>
      </c>
      <c r="Q59" s="37" t="n">
        <v>63</v>
      </c>
      <c r="R59" s="39"/>
      <c r="S59" s="39" t="n">
        <v>1</v>
      </c>
      <c r="T59" s="39" t="s">
        <v>292</v>
      </c>
      <c r="U59" s="58" t="n">
        <v>46352.0059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46359</v>
      </c>
      <c r="O60" s="60" t="n">
        <v>46400</v>
      </c>
      <c r="P60" s="46" t="s">
        <v>291</v>
      </c>
      <c r="Q60" s="37" t="n">
        <v>95</v>
      </c>
      <c r="R60" s="39"/>
      <c r="S60" s="39" t="n">
        <v>1</v>
      </c>
      <c r="T60" s="39" t="s">
        <v>292</v>
      </c>
      <c r="U60" s="58" t="n">
        <v>46359.006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46138</v>
      </c>
      <c r="O61" s="33" t="n">
        <v>46258</v>
      </c>
      <c r="P61" s="34" t="s">
        <v>60</v>
      </c>
      <c r="Q61" s="31" t="n">
        <v>-1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85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46138</v>
      </c>
      <c r="O62" s="45" t="n">
        <v>46222</v>
      </c>
      <c r="P62" s="46" t="s">
        <v>115</v>
      </c>
      <c r="Q62" s="37" t="n">
        <v>-25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46138</v>
      </c>
      <c r="O63" s="55" t="n">
        <v>46146</v>
      </c>
      <c r="P63" s="50" t="s">
        <v>124</v>
      </c>
      <c r="Q63" s="52" t="n">
        <v>-86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46138</v>
      </c>
      <c r="O64" s="55" t="n">
        <v>46155</v>
      </c>
      <c r="P64" s="50" t="s">
        <v>124</v>
      </c>
      <c r="Q64" s="52" t="n">
        <v>-78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46146</v>
      </c>
      <c r="O65" s="55" t="n">
        <v>46180</v>
      </c>
      <c r="P65" s="50" t="s">
        <v>124</v>
      </c>
      <c r="Q65" s="52" t="n">
        <v>-58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46172</v>
      </c>
      <c r="O66" s="55" t="n">
        <v>46209</v>
      </c>
      <c r="P66" s="50" t="s">
        <v>124</v>
      </c>
      <c r="Q66" s="52" t="n">
        <v>-35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46188</v>
      </c>
      <c r="O67" s="55" t="n">
        <v>46218</v>
      </c>
      <c r="P67" s="50" t="s">
        <v>124</v>
      </c>
      <c r="Q67" s="52" t="n">
        <v>-28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46205</v>
      </c>
      <c r="O68" s="55" t="n">
        <v>46222</v>
      </c>
      <c r="P68" s="50" t="s">
        <v>124</v>
      </c>
      <c r="Q68" s="52" t="n">
        <v>-25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46218</v>
      </c>
      <c r="O69" s="55" t="n">
        <v>46222</v>
      </c>
      <c r="P69" s="50" t="s">
        <v>124</v>
      </c>
      <c r="Q69" s="52" t="n">
        <v>-25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46252</v>
      </c>
      <c r="O70" s="45" t="n">
        <v>46255</v>
      </c>
      <c r="P70" s="46" t="s">
        <v>115</v>
      </c>
      <c r="Q70" s="37" t="n">
        <v>-2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46252</v>
      </c>
      <c r="O71" s="55" t="n">
        <v>46253</v>
      </c>
      <c r="P71" s="50" t="s">
        <v>124</v>
      </c>
      <c r="Q71" s="52" t="n">
        <v>1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46253</v>
      </c>
      <c r="O72" s="55" t="n">
        <v>46254</v>
      </c>
      <c r="P72" s="50" t="s">
        <v>124</v>
      </c>
      <c r="Q72" s="52" t="n">
        <v>-1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46253</v>
      </c>
      <c r="O73" s="55" t="n">
        <v>46254</v>
      </c>
      <c r="P73" s="50" t="s">
        <v>124</v>
      </c>
      <c r="Q73" s="52" t="n">
        <v>-1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46254</v>
      </c>
      <c r="O74" s="55" t="n">
        <v>46255</v>
      </c>
      <c r="P74" s="50" t="s">
        <v>124</v>
      </c>
      <c r="Q74" s="52" t="n">
        <v>-2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46254</v>
      </c>
      <c r="O75" s="55" t="n">
        <v>46255</v>
      </c>
      <c r="P75" s="50" t="s">
        <v>124</v>
      </c>
      <c r="Q75" s="52" t="n">
        <v>-2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34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46223</v>
      </c>
      <c r="O76" s="45" t="n">
        <v>46256</v>
      </c>
      <c r="P76" s="46" t="s">
        <v>115</v>
      </c>
      <c r="Q76" s="37" t="n">
        <v>-1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46223</v>
      </c>
      <c r="O77" s="55" t="n">
        <v>46233</v>
      </c>
      <c r="P77" s="50" t="s">
        <v>124</v>
      </c>
      <c r="Q77" s="52" t="n">
        <v>-18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46226</v>
      </c>
      <c r="O78" s="55" t="n">
        <v>46251</v>
      </c>
      <c r="P78" s="50" t="s">
        <v>124</v>
      </c>
      <c r="Q78" s="52" t="n">
        <v>-5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46236</v>
      </c>
      <c r="O79" s="55" t="n">
        <v>46254</v>
      </c>
      <c r="P79" s="50" t="s">
        <v>124</v>
      </c>
      <c r="Q79" s="52" t="n">
        <v>-3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46249</v>
      </c>
      <c r="O80" s="55" t="n">
        <v>46256</v>
      </c>
      <c r="P80" s="50" t="s">
        <v>124</v>
      </c>
      <c r="Q80" s="52" t="n">
        <v>-1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46254</v>
      </c>
      <c r="O81" s="55" t="n">
        <v>46256</v>
      </c>
      <c r="P81" s="50" t="s">
        <v>124</v>
      </c>
      <c r="Q81" s="52" t="n">
        <v>-1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46256</v>
      </c>
      <c r="O107" s="45" t="n">
        <v>46257</v>
      </c>
      <c r="P107" s="46" t="s">
        <v>115</v>
      </c>
      <c r="Q107" s="37" t="n">
        <v>-1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46256</v>
      </c>
      <c r="O108" s="55" t="n">
        <v>46257</v>
      </c>
      <c r="P108" s="50" t="s">
        <v>124</v>
      </c>
      <c r="Q108" s="52" t="n">
        <v>0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46257</v>
      </c>
      <c r="O109" s="55" t="n">
        <v>46257</v>
      </c>
      <c r="P109" s="50" t="s">
        <v>124</v>
      </c>
      <c r="Q109" s="52" t="n">
        <v>-1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46256</v>
      </c>
      <c r="O110" s="55" t="n">
        <v>46257</v>
      </c>
      <c r="P110" s="50" t="s">
        <v>124</v>
      </c>
      <c r="Q110" s="52" t="n">
        <v>0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46258</v>
      </c>
      <c r="M111" s="43"/>
      <c r="N111" s="44" t="n">
        <v>46258</v>
      </c>
      <c r="O111" s="45" t="n">
        <v>46258</v>
      </c>
      <c r="P111" s="46" t="s">
        <v>60</v>
      </c>
      <c r="Q111" s="37" t="n">
        <v>-1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503</v>
      </c>
      <c r="N112" s="55" t="n">
        <v>46258</v>
      </c>
      <c r="O112" s="55" t="n">
        <v>46258</v>
      </c>
      <c r="P112" s="50" t="s">
        <v>124</v>
      </c>
      <c r="Q112" s="52" t="n">
        <v>-1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507</v>
      </c>
      <c r="N113" s="55" t="n">
        <v>46258</v>
      </c>
      <c r="O113" s="55" t="n">
        <v>46258</v>
      </c>
      <c r="P113" s="50" t="s">
        <v>124</v>
      </c>
      <c r="Q113" s="52" t="n">
        <v>-1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46267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46317</v>
      </c>
      <c r="M115" s="43"/>
      <c r="N115" s="44" t="n">
        <v>46317</v>
      </c>
      <c r="O115" s="45" t="n">
        <v>46317</v>
      </c>
      <c r="P115" s="46" t="s">
        <v>512</v>
      </c>
      <c r="Q115" s="37" t="n">
        <v>55</v>
      </c>
      <c r="R115" s="39"/>
      <c r="S115" s="39" t="n">
        <v>1</v>
      </c>
      <c r="T115" s="39" t="s">
        <v>513</v>
      </c>
      <c r="U115" s="58" t="n">
        <v>46317.0115</v>
      </c>
      <c r="V115" s="47" t="n">
        <v>0</v>
      </c>
      <c r="W115" s="39" t="s">
        <v>86</v>
      </c>
      <c r="X115" s="39" t="s">
        <v>514</v>
      </c>
      <c r="Y115" s="38" t="s">
        <v>515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516</v>
      </c>
      <c r="B116" s="52" t="s">
        <v>517</v>
      </c>
      <c r="C116" s="52" t="s">
        <v>518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519</v>
      </c>
      <c r="N116" s="55" t="n">
        <v>46317</v>
      </c>
      <c r="O116" s="55" t="n">
        <v>46317</v>
      </c>
      <c r="P116" s="50" t="s">
        <v>291</v>
      </c>
      <c r="Q116" s="52" t="n">
        <v>57</v>
      </c>
      <c r="R116" s="52"/>
      <c r="S116" s="52" t="n">
        <v>2</v>
      </c>
      <c r="T116" s="52" t="s">
        <v>292</v>
      </c>
      <c r="U116" s="52"/>
      <c r="V116" s="56" t="n">
        <v>0</v>
      </c>
      <c r="W116" s="52" t="s">
        <v>80</v>
      </c>
      <c r="X116" s="52"/>
      <c r="Y116" s="52" t="s">
        <v>515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520</v>
      </c>
      <c r="B117" s="50" t="s">
        <v>521</v>
      </c>
      <c r="C117" s="50" t="s">
        <v>522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523</v>
      </c>
      <c r="N117" s="55" t="n">
        <v>46317</v>
      </c>
      <c r="O117" s="55" t="n">
        <v>46317</v>
      </c>
      <c r="P117" s="50" t="s">
        <v>291</v>
      </c>
      <c r="Q117" s="52" t="n">
        <v>56</v>
      </c>
      <c r="R117" s="52"/>
      <c r="S117" s="52" t="n">
        <v>2</v>
      </c>
      <c r="T117" s="52" t="s">
        <v>292</v>
      </c>
      <c r="U117" s="52"/>
      <c r="V117" s="56" t="n">
        <v>0</v>
      </c>
      <c r="W117" s="50" t="s">
        <v>86</v>
      </c>
      <c r="X117" s="52"/>
      <c r="Y117" s="52" t="s">
        <v>515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524</v>
      </c>
      <c r="B118" s="50" t="s">
        <v>525</v>
      </c>
      <c r="C118" s="50" t="s">
        <v>526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527</v>
      </c>
      <c r="N118" s="55" t="n">
        <v>46317</v>
      </c>
      <c r="O118" s="55" t="n">
        <v>46317</v>
      </c>
      <c r="P118" s="50" t="s">
        <v>291</v>
      </c>
      <c r="Q118" s="52" t="n">
        <v>56</v>
      </c>
      <c r="R118" s="52"/>
      <c r="S118" s="52" t="n">
        <v>2</v>
      </c>
      <c r="T118" s="52" t="s">
        <v>292</v>
      </c>
      <c r="U118" s="52"/>
      <c r="V118" s="56" t="n">
        <v>0</v>
      </c>
      <c r="W118" s="50" t="s">
        <v>86</v>
      </c>
      <c r="X118" s="52"/>
      <c r="Y118" s="52" t="s">
        <v>515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528</v>
      </c>
      <c r="B119" s="50" t="s">
        <v>529</v>
      </c>
      <c r="C119" s="50" t="s">
        <v>530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531</v>
      </c>
      <c r="N119" s="55" t="n">
        <v>46317</v>
      </c>
      <c r="O119" s="55" t="n">
        <v>46317</v>
      </c>
      <c r="P119" s="50" t="s">
        <v>291</v>
      </c>
      <c r="Q119" s="52" t="n">
        <v>56</v>
      </c>
      <c r="R119" s="52"/>
      <c r="S119" s="52" t="n">
        <v>2</v>
      </c>
      <c r="T119" s="52" t="s">
        <v>292</v>
      </c>
      <c r="U119" s="52"/>
      <c r="V119" s="56" t="n">
        <v>0</v>
      </c>
      <c r="W119" s="50" t="s">
        <v>86</v>
      </c>
      <c r="X119" s="52"/>
      <c r="Y119" s="52" t="s">
        <v>515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532</v>
      </c>
      <c r="B120" s="50" t="s">
        <v>533</v>
      </c>
      <c r="C120" s="50" t="s">
        <v>534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535</v>
      </c>
      <c r="N120" s="55" t="n">
        <v>46317</v>
      </c>
      <c r="O120" s="55" t="n">
        <v>46317</v>
      </c>
      <c r="P120" s="50" t="s">
        <v>291</v>
      </c>
      <c r="Q120" s="52" t="n">
        <v>55</v>
      </c>
      <c r="R120" s="52"/>
      <c r="S120" s="52" t="n">
        <v>2</v>
      </c>
      <c r="T120" s="52" t="s">
        <v>292</v>
      </c>
      <c r="U120" s="52"/>
      <c r="V120" s="56" t="n">
        <v>0</v>
      </c>
      <c r="W120" s="50" t="s">
        <v>86</v>
      </c>
      <c r="X120" s="52"/>
      <c r="Y120" s="52" t="s">
        <v>515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536</v>
      </c>
      <c r="B121" s="50" t="s">
        <v>537</v>
      </c>
      <c r="C121" s="50" t="s">
        <v>538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539</v>
      </c>
      <c r="N121" s="55" t="n">
        <v>46317</v>
      </c>
      <c r="O121" s="55" t="n">
        <v>46317</v>
      </c>
      <c r="P121" s="50" t="s">
        <v>291</v>
      </c>
      <c r="Q121" s="52" t="n">
        <v>55</v>
      </c>
      <c r="R121" s="52"/>
      <c r="S121" s="52" t="n">
        <v>2</v>
      </c>
      <c r="T121" s="52" t="s">
        <v>292</v>
      </c>
      <c r="U121" s="52"/>
      <c r="V121" s="56" t="n">
        <v>0</v>
      </c>
      <c r="W121" s="50" t="s">
        <v>86</v>
      </c>
      <c r="X121" s="52"/>
      <c r="Y121" s="52" t="s">
        <v>515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540</v>
      </c>
      <c r="B122" s="39" t="s">
        <v>541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46349</v>
      </c>
      <c r="O122" s="45" t="n">
        <v>46349</v>
      </c>
      <c r="P122" s="46" t="s">
        <v>291</v>
      </c>
      <c r="Q122" s="37" t="n">
        <v>87</v>
      </c>
      <c r="R122" s="39"/>
      <c r="S122" s="39" t="n">
        <v>1</v>
      </c>
      <c r="T122" s="39" t="s">
        <v>292</v>
      </c>
      <c r="U122" s="58" t="n">
        <v>46349.0122</v>
      </c>
      <c r="V122" s="47" t="n">
        <v>0</v>
      </c>
      <c r="W122" s="38" t="s">
        <v>80</v>
      </c>
      <c r="X122" s="39"/>
      <c r="Y122" s="38" t="s">
        <v>542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543</v>
      </c>
      <c r="B123" s="39" t="s">
        <v>544</v>
      </c>
      <c r="C123" s="38" t="s">
        <v>545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9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547</v>
      </c>
      <c r="B124" s="39" t="s">
        <v>548</v>
      </c>
      <c r="C124" s="39"/>
      <c r="D124" s="39" t="s">
        <v>79</v>
      </c>
      <c r="E124" s="40" t="n">
        <v>2.5</v>
      </c>
      <c r="F124" s="38" t="s">
        <v>549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291</v>
      </c>
      <c r="Q124" s="37" t="n">
        <v>97</v>
      </c>
      <c r="R124" s="39"/>
      <c r="S124" s="39" t="n">
        <v>1</v>
      </c>
      <c r="T124" s="39" t="s">
        <v>292</v>
      </c>
      <c r="U124" s="58" t="n">
        <v>46406.0124</v>
      </c>
      <c r="V124" s="47" t="n">
        <v>0</v>
      </c>
      <c r="W124" s="38" t="s">
        <v>80</v>
      </c>
      <c r="X124" s="39" t="s">
        <v>550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551</v>
      </c>
      <c r="B125" s="50" t="s">
        <v>552</v>
      </c>
      <c r="C125" s="50" t="s">
        <v>553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554</v>
      </c>
      <c r="N125" s="55" t="n">
        <v>46406</v>
      </c>
      <c r="O125" s="55" t="n">
        <v>46410</v>
      </c>
      <c r="P125" s="50" t="s">
        <v>291</v>
      </c>
      <c r="Q125" s="52" t="n">
        <v>97</v>
      </c>
      <c r="R125" s="52"/>
      <c r="S125" s="52" t="n">
        <v>2</v>
      </c>
      <c r="T125" s="52" t="s">
        <v>292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555</v>
      </c>
      <c r="B126" s="50" t="s">
        <v>556</v>
      </c>
      <c r="C126" s="52" t="s">
        <v>557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558</v>
      </c>
      <c r="N126" s="55" t="n">
        <v>46409</v>
      </c>
      <c r="O126" s="55" t="n">
        <v>46416</v>
      </c>
      <c r="P126" s="50" t="s">
        <v>291</v>
      </c>
      <c r="Q126" s="52" t="n">
        <v>97</v>
      </c>
      <c r="R126" s="52"/>
      <c r="S126" s="52" t="n">
        <v>2</v>
      </c>
      <c r="T126" s="52" t="s">
        <v>292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559</v>
      </c>
      <c r="B127" s="52" t="s">
        <v>560</v>
      </c>
      <c r="C127" s="52" t="s">
        <v>561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562</v>
      </c>
      <c r="N127" s="55" t="n">
        <v>46416</v>
      </c>
      <c r="O127" s="55" t="n">
        <v>46419</v>
      </c>
      <c r="P127" s="50" t="s">
        <v>291</v>
      </c>
      <c r="Q127" s="52" t="n">
        <v>97</v>
      </c>
      <c r="R127" s="52"/>
      <c r="S127" s="52" t="n">
        <v>2</v>
      </c>
      <c r="T127" s="52" t="s">
        <v>292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563</v>
      </c>
      <c r="B128" s="39" t="s">
        <v>564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46317</v>
      </c>
      <c r="M128" s="43"/>
      <c r="N128" s="44" t="n">
        <v>46317</v>
      </c>
      <c r="O128" s="45" t="n">
        <v>46317</v>
      </c>
      <c r="P128" s="46" t="s">
        <v>512</v>
      </c>
      <c r="Q128" s="37" t="n">
        <v>45</v>
      </c>
      <c r="R128" s="39"/>
      <c r="S128" s="39" t="n">
        <v>1</v>
      </c>
      <c r="T128" s="39" t="s">
        <v>513</v>
      </c>
      <c r="U128" s="58" t="n">
        <v>46317.0128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 t="s">
        <v>568</v>
      </c>
      <c r="D129" s="39" t="s">
        <v>112</v>
      </c>
      <c r="E129" s="40" t="n">
        <v>0</v>
      </c>
      <c r="F129" s="38" t="s">
        <v>563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563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46318</v>
      </c>
      <c r="O130" s="45" t="n">
        <v>46322</v>
      </c>
      <c r="P130" s="46" t="s">
        <v>291</v>
      </c>
      <c r="Q130" s="37" t="n">
        <v>50</v>
      </c>
      <c r="R130" s="39"/>
      <c r="S130" s="39" t="n">
        <v>1</v>
      </c>
      <c r="T130" s="39" t="s">
        <v>292</v>
      </c>
      <c r="U130" s="58" t="n">
        <v>46318.013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 t="s">
        <v>573</v>
      </c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46401</v>
      </c>
      <c r="O131" s="45" t="n">
        <v>46405</v>
      </c>
      <c r="P131" s="46" t="s">
        <v>291</v>
      </c>
      <c r="Q131" s="37" t="n">
        <v>97</v>
      </c>
      <c r="R131" s="39"/>
      <c r="S131" s="39" t="n">
        <v>1</v>
      </c>
      <c r="T131" s="39" t="s">
        <v>292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574</v>
      </c>
      <c r="D134" s="6" t="s">
        <v>575</v>
      </c>
    </row>
    <row r="135" customFormat="false" ht="15" hidden="false" customHeight="true" outlineLevel="0" collapsed="false">
      <c r="B135" s="63" t="s">
        <v>576</v>
      </c>
      <c r="D135" s="63" t="s">
        <v>577</v>
      </c>
      <c r="E135" s="63" t="s">
        <v>578</v>
      </c>
      <c r="I135" s="64" t="s">
        <v>579</v>
      </c>
      <c r="J135" s="64" t="s">
        <v>580</v>
      </c>
      <c r="K135" s="64" t="s">
        <v>581</v>
      </c>
      <c r="L135" s="64" t="s">
        <v>582</v>
      </c>
      <c r="O135" s="63" t="s">
        <v>583</v>
      </c>
      <c r="P135" s="63" t="s">
        <v>584</v>
      </c>
    </row>
    <row r="136" customFormat="false" ht="15" hidden="false" customHeight="true" outlineLevel="0" collapsed="false">
      <c r="B136" s="65" t="s">
        <v>585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586</v>
      </c>
    </row>
    <row r="137" customFormat="false" ht="15" hidden="false" customHeight="true" outlineLevel="0" collapsed="false">
      <c r="B137" s="65" t="s">
        <v>587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588</v>
      </c>
    </row>
    <row r="138" customFormat="false" ht="15" hidden="false" customHeight="true" outlineLevel="0" collapsed="false">
      <c r="B138" s="65" t="s">
        <v>589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590</v>
      </c>
    </row>
    <row r="139" customFormat="false" ht="15" hidden="false" customHeight="true" outlineLevel="0" collapsed="false">
      <c r="B139" s="65" t="s">
        <v>591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592</v>
      </c>
    </row>
    <row r="140" customFormat="false" ht="15" hidden="false" customHeight="true" outlineLevel="0" collapsed="false">
      <c r="B140" s="65" t="s">
        <v>593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594</v>
      </c>
    </row>
    <row r="141" customFormat="false" ht="15" hidden="false" customHeight="true" outlineLevel="0" collapsed="false">
      <c r="B141" s="70" t="s">
        <v>595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596</v>
      </c>
    </row>
    <row r="142" customFormat="false" ht="15" hidden="false" customHeight="true" outlineLevel="0" collapsed="false">
      <c r="B142" s="72" t="s">
        <v>597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598</v>
      </c>
    </row>
    <row r="145" customFormat="false" ht="15.75" hidden="false" customHeight="true" outlineLevel="0" collapsed="false">
      <c r="A145" s="77" t="s">
        <v>599</v>
      </c>
    </row>
    <row r="146" customFormat="false" ht="15" hidden="false" customHeight="true" outlineLevel="0" collapsed="false">
      <c r="B146" s="17" t="s">
        <v>600</v>
      </c>
      <c r="D146" s="78" t="s">
        <v>601</v>
      </c>
      <c r="E146" s="78"/>
      <c r="F146" s="78"/>
      <c r="G146" s="78"/>
      <c r="H146" s="78"/>
      <c r="I146" s="78"/>
      <c r="J146" s="78"/>
      <c r="K146" s="19" t="s">
        <v>602</v>
      </c>
    </row>
    <row r="147" customFormat="false" ht="15" hidden="false" customHeight="true" outlineLevel="0" collapsed="false">
      <c r="B147" s="79" t="s">
        <v>603</v>
      </c>
      <c r="E147" s="80" t="s">
        <v>604</v>
      </c>
      <c r="I147" s="79" t="s">
        <v>605</v>
      </c>
    </row>
    <row r="148" customFormat="false" ht="24" hidden="false" customHeight="true" outlineLevel="0" collapsed="false">
      <c r="A148" s="81" t="s">
        <v>606</v>
      </c>
      <c r="B148" s="82" t="s">
        <v>607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608</v>
      </c>
      <c r="B149" s="82" t="s">
        <v>609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610</v>
      </c>
      <c r="B150" s="82" t="s">
        <v>611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612</v>
      </c>
      <c r="B151" s="82" t="s">
        <v>613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614</v>
      </c>
      <c r="B152" s="82" t="s">
        <v>615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616</v>
      </c>
      <c r="B153" s="82" t="s">
        <v>617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619</v>
      </c>
    </row>
    <row r="2" customFormat="false" ht="15" hidden="false" customHeight="false" outlineLevel="0" collapsed="false">
      <c r="B2" s="87" t="s">
        <v>620</v>
      </c>
      <c r="C2" s="88" t="s">
        <v>621</v>
      </c>
    </row>
    <row r="3" customFormat="false" ht="15" hidden="false" customHeight="false" outlineLevel="0" collapsed="false">
      <c r="B3" s="87" t="s">
        <v>622</v>
      </c>
      <c r="C3" s="88" t="s">
        <v>623</v>
      </c>
    </row>
    <row r="4" customFormat="false" ht="15" hidden="false" customHeight="false" outlineLevel="0" collapsed="false">
      <c r="B4" s="89" t="s">
        <v>624</v>
      </c>
      <c r="C4" s="88" t="s">
        <v>625</v>
      </c>
    </row>
    <row r="5" customFormat="false" ht="15" hidden="false" customHeight="false" outlineLevel="0" collapsed="false">
      <c r="H5" s="90" t="s">
        <v>626</v>
      </c>
      <c r="I5" s="90"/>
      <c r="J5" s="90" t="s">
        <v>627</v>
      </c>
      <c r="K5" s="90"/>
      <c r="L5" s="90"/>
      <c r="M5" s="90"/>
      <c r="N5" s="90"/>
      <c r="O5" s="90" t="s">
        <v>628</v>
      </c>
      <c r="P5" s="90"/>
      <c r="Q5" s="90"/>
      <c r="R5" s="90"/>
      <c r="S5" s="90" t="s">
        <v>629</v>
      </c>
      <c r="T5" s="90"/>
      <c r="U5" s="90"/>
      <c r="V5" s="90"/>
      <c r="W5" s="90"/>
      <c r="X5" s="90" t="s">
        <v>630</v>
      </c>
      <c r="Y5" s="90"/>
      <c r="Z5" s="90"/>
      <c r="AA5" s="90"/>
      <c r="AB5" s="90" t="s">
        <v>631</v>
      </c>
      <c r="AC5" s="90"/>
      <c r="AD5" s="90"/>
      <c r="AE5" s="90"/>
      <c r="AF5" s="90" t="s">
        <v>632</v>
      </c>
      <c r="AG5" s="90"/>
      <c r="AH5" s="90"/>
      <c r="AI5" s="90"/>
      <c r="AJ5" s="90"/>
      <c r="AK5" s="90" t="s">
        <v>633</v>
      </c>
      <c r="AL5" s="90"/>
      <c r="AM5" s="90"/>
      <c r="AN5" s="90"/>
      <c r="AO5" s="90" t="s">
        <v>634</v>
      </c>
      <c r="AP5" s="90"/>
      <c r="AQ5" s="90"/>
      <c r="AR5" s="90"/>
      <c r="AS5" s="90" t="s">
        <v>635</v>
      </c>
      <c r="AT5" s="90"/>
      <c r="AU5" s="90"/>
      <c r="AV5" s="90"/>
      <c r="AW5" s="90" t="s">
        <v>636</v>
      </c>
      <c r="AX5" s="90"/>
      <c r="AY5" s="90"/>
      <c r="AZ5" s="90"/>
      <c r="BA5" s="90"/>
      <c r="BB5" s="90" t="s">
        <v>637</v>
      </c>
      <c r="BC5" s="90"/>
      <c r="BD5" s="90"/>
      <c r="BE5" s="90"/>
      <c r="BF5" s="90" t="s">
        <v>638</v>
      </c>
      <c r="BG5" s="90"/>
      <c r="BH5" s="90"/>
      <c r="BI5" s="90"/>
      <c r="BJ5" s="90"/>
      <c r="BK5" s="90" t="s">
        <v>639</v>
      </c>
      <c r="BL5" s="90"/>
      <c r="BM5" s="90"/>
      <c r="BN5" s="90"/>
      <c r="BO5" s="90" t="s">
        <v>640</v>
      </c>
      <c r="BP5" s="90"/>
      <c r="BQ5" s="90"/>
      <c r="BR5" s="90"/>
      <c r="BS5" s="90" t="s">
        <v>641</v>
      </c>
      <c r="BT5" s="90"/>
      <c r="BU5" s="90"/>
      <c r="BV5" s="90"/>
      <c r="BW5" s="90"/>
      <c r="BX5" s="90" t="s">
        <v>642</v>
      </c>
      <c r="BY5" s="90"/>
    </row>
    <row r="6" customFormat="false" ht="43.5" hidden="false" customHeight="true" outlineLevel="0" collapsed="false">
      <c r="A6" s="91" t="s">
        <v>643</v>
      </c>
      <c r="B6" s="91" t="s">
        <v>644</v>
      </c>
      <c r="C6" s="91" t="s">
        <v>645</v>
      </c>
      <c r="D6" s="91" t="s">
        <v>646</v>
      </c>
      <c r="E6" s="91" t="s">
        <v>647</v>
      </c>
      <c r="F6" s="91" t="s">
        <v>648</v>
      </c>
      <c r="G6" s="91" t="s">
        <v>649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650</v>
      </c>
      <c r="C8" s="95" t="s">
        <v>651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652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653</v>
      </c>
      <c r="C10" s="95" t="s">
        <v>651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652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654</v>
      </c>
      <c r="C12" s="95" t="s">
        <v>651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652</v>
      </c>
      <c r="D13" s="96"/>
      <c r="E13" s="99" t="n">
        <v>46223</v>
      </c>
      <c r="F13" s="99" t="n">
        <v>46223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655</v>
      </c>
      <c r="C14" s="95" t="s">
        <v>651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652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656</v>
      </c>
      <c r="C16" s="95" t="s">
        <v>651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652</v>
      </c>
      <c r="D17" s="96"/>
      <c r="E17" s="99" t="n">
        <v>46286</v>
      </c>
      <c r="F17" s="99" t="n">
        <v>46286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657</v>
      </c>
      <c r="C18" s="95" t="s">
        <v>651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658</v>
      </c>
      <c r="B20" s="95" t="s">
        <v>659</v>
      </c>
      <c r="C20" s="95" t="s">
        <v>651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652</v>
      </c>
      <c r="D21" s="96"/>
      <c r="E21" s="99" t="n">
        <v>46281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660</v>
      </c>
      <c r="C23" s="95" t="s">
        <v>651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652</v>
      </c>
      <c r="D24" s="96"/>
      <c r="E24" s="99" t="n">
        <v>46138</v>
      </c>
      <c r="F24" s="99" t="n">
        <v>46222</v>
      </c>
      <c r="G24" s="100"/>
      <c r="H24" s="101" t="n">
        <v>2.2222</v>
      </c>
      <c r="I24" s="101" t="n">
        <v>2.2222</v>
      </c>
      <c r="J24" s="101" t="n">
        <v>2.2222</v>
      </c>
      <c r="K24" s="101" t="n">
        <v>2.2222</v>
      </c>
      <c r="L24" s="101" t="n">
        <v>2.2222</v>
      </c>
      <c r="M24" s="101" t="n">
        <v>2.2222</v>
      </c>
      <c r="N24" s="101" t="n">
        <v>2.2222</v>
      </c>
      <c r="O24" s="101" t="n">
        <v>2.2222</v>
      </c>
      <c r="P24" s="101" t="n">
        <v>2.2222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661</v>
      </c>
      <c r="C25" s="95" t="s">
        <v>651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652</v>
      </c>
      <c r="D26" s="96"/>
      <c r="E26" s="99" t="n">
        <v>46252</v>
      </c>
      <c r="F26" s="99" t="n">
        <v>46255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662</v>
      </c>
      <c r="C27" s="95" t="s">
        <v>651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652</v>
      </c>
      <c r="D28" s="96"/>
      <c r="E28" s="99" t="n">
        <v>46223</v>
      </c>
      <c r="F28" s="99" t="n">
        <v>46256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4</v>
      </c>
      <c r="R28" s="101" t="n">
        <v>4</v>
      </c>
      <c r="S28" s="101" t="n">
        <v>4</v>
      </c>
      <c r="T28" s="101" t="n">
        <v>4</v>
      </c>
      <c r="U28" s="101" t="n">
        <v>4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663</v>
      </c>
      <c r="C29" s="95" t="s">
        <v>651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652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664</v>
      </c>
      <c r="C31" s="95" t="s">
        <v>651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652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665</v>
      </c>
      <c r="C33" s="95" t="s">
        <v>651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652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666</v>
      </c>
      <c r="C35" s="95" t="s">
        <v>651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652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667</v>
      </c>
      <c r="C37" s="95" t="s">
        <v>651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652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668</v>
      </c>
      <c r="C39" s="95" t="s">
        <v>651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652</v>
      </c>
      <c r="D40" s="96"/>
      <c r="E40" s="99" t="n">
        <v>46256</v>
      </c>
      <c r="F40" s="99" t="n">
        <v>46257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670</v>
      </c>
      <c r="C42" s="95" t="s">
        <v>651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547</v>
      </c>
      <c r="B44" s="95" t="s">
        <v>671</v>
      </c>
      <c r="C44" s="95" t="s">
        <v>651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673</v>
      </c>
      <c r="H48" s="103" t="n">
        <f aca="false">SUMIF($C$7:$C$45,"Actual",H$7:H$45)</f>
        <v>2.2222</v>
      </c>
      <c r="I48" s="103" t="n">
        <f aca="false">SUMIF($C$7:$C$45,"Actual",I$7:I$45)</f>
        <v>2.2222</v>
      </c>
      <c r="J48" s="103" t="n">
        <f aca="false">SUMIF($C$7:$C$45,"Actual",J$7:J$45)</f>
        <v>2.2222</v>
      </c>
      <c r="K48" s="103" t="n">
        <f aca="false">SUMIF($C$7:$C$45,"Actual",K$7:K$45)</f>
        <v>2.2222</v>
      </c>
      <c r="L48" s="103" t="n">
        <f aca="false">SUMIF($C$7:$C$45,"Actual",L$7:L$45)</f>
        <v>2.2222</v>
      </c>
      <c r="M48" s="103" t="n">
        <f aca="false">SUMIF($C$7:$C$45,"Actual",M$7:M$45)</f>
        <v>2.7222</v>
      </c>
      <c r="N48" s="103" t="n">
        <f aca="false">SUMIF($C$7:$C$45,"Actual",N$7:N$45)</f>
        <v>3.0555</v>
      </c>
      <c r="O48" s="103" t="n">
        <f aca="false">SUMIF($C$7:$C$45,"Actual",O$7:O$45)</f>
        <v>3.0555</v>
      </c>
      <c r="P48" s="103" t="n">
        <f aca="false">SUMIF($C$7:$C$45,"Actual",P$7:P$45)</f>
        <v>2.5555</v>
      </c>
      <c r="Q48" s="103" t="n">
        <f aca="false">SUMIF($C$7:$C$45,"Actual",Q$7:Q$45)</f>
        <v>4.5</v>
      </c>
      <c r="R48" s="103" t="n">
        <f aca="false">SUMIF($C$7:$C$45,"Actual",R$7:R$45)</f>
        <v>4</v>
      </c>
      <c r="S48" s="103" t="n">
        <f aca="false">SUMIF($C$7:$C$45,"Actual",S$7:S$45)</f>
        <v>4</v>
      </c>
      <c r="T48" s="103" t="n">
        <f aca="false">SUMIF($C$7:$C$45,"Actual",T$7:T$45)</f>
        <v>4</v>
      </c>
      <c r="U48" s="103" t="n">
        <f aca="false">SUMIF($C$7:$C$45,"Actual",U$7:U$45)</f>
        <v>54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0.1667</v>
      </c>
      <c r="Z48" s="103" t="n">
        <f aca="false">SUMIF($C$7:$C$45,"Actual",Z$7:Z$45)</f>
        <v>1.1667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675</v>
      </c>
      <c r="H50" s="105" t="n">
        <f aca="false">H48</f>
        <v>2.2222</v>
      </c>
      <c r="I50" s="105" t="n">
        <f aca="false">IF(I$6&gt;46314,"",H50+I48)</f>
        <v>4.4444</v>
      </c>
      <c r="J50" s="105" t="n">
        <f aca="false">IF(J$6&gt;46314,"",I50+J48)</f>
        <v>6.6666</v>
      </c>
      <c r="K50" s="105" t="n">
        <f aca="false">IF(K$6&gt;46314,"",J50+K48)</f>
        <v>8.8888</v>
      </c>
      <c r="L50" s="105" t="n">
        <f aca="false">IF(L$6&gt;46314,"",K50+L48)</f>
        <v>11.111</v>
      </c>
      <c r="M50" s="105" t="n">
        <f aca="false">IF(M$6&gt;46314,"",L50+M48)</f>
        <v>13.8332</v>
      </c>
      <c r="N50" s="105" t="n">
        <f aca="false">IF(N$6&gt;46314,"",M50+N48)</f>
        <v>16.8887</v>
      </c>
      <c r="O50" s="105" t="n">
        <f aca="false">IF(O$6&gt;46314,"",N50+O48)</f>
        <v>19.9442</v>
      </c>
      <c r="P50" s="105" t="n">
        <f aca="false">IF(P$6&gt;46314,"",O50+P48)</f>
        <v>22.4997</v>
      </c>
      <c r="Q50" s="105" t="n">
        <f aca="false">IF(Q$6&gt;46314,"",P50+Q48)</f>
        <v>26.9997</v>
      </c>
      <c r="R50" s="105" t="n">
        <f aca="false">IF(R$6&gt;46314,"",Q50+R48)</f>
        <v>30.9997</v>
      </c>
      <c r="S50" s="105" t="n">
        <f aca="false">IF(S$6&gt;46314,"",R50+S48)</f>
        <v>34.9997</v>
      </c>
      <c r="T50" s="105" t="n">
        <f aca="false">IF(T$6&gt;46314,"",S50+T48)</f>
        <v>38.9997</v>
      </c>
      <c r="U50" s="105" t="n">
        <f aca="false">IF(U$6&gt;46314,"",T50+U48)</f>
        <v>92.9997</v>
      </c>
      <c r="V50" s="105" t="n">
        <f aca="false">IF(V$6&gt;46314,"",U50+V48)</f>
        <v>92.9997</v>
      </c>
      <c r="W50" s="105" t="n">
        <f aca="false">IF(W$6&gt;46314,"",V50+W48)</f>
        <v>92.9997</v>
      </c>
      <c r="X50" s="105" t="n">
        <f aca="false">IF(X$6&gt;46314,"",W50+X48)</f>
        <v>92.9997</v>
      </c>
      <c r="Y50" s="105" t="n">
        <f aca="false">IF(Y$6&gt;46314,"",X50+Y48)</f>
        <v>93.1664</v>
      </c>
      <c r="Z50" s="105" t="n">
        <f aca="false">IF(Z$6&gt;46314,"",Y50+Z48)</f>
        <v>94.3331</v>
      </c>
      <c r="AA50" s="105" t="n">
        <f aca="false">IF(AA$6&gt;46314,"",Z50+AA48)</f>
        <v>94.4998</v>
      </c>
      <c r="AB50" s="105" t="n">
        <f aca="false">IF(AB$6&gt;46314,"",AA50+AB48)</f>
        <v>94.6665</v>
      </c>
      <c r="AC50" s="105" t="n">
        <f aca="false">IF(AC$6&gt;46314,"",AB50+AC48)</f>
        <v>94.8332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2026-10-26T04:41:43Z</dcterms:created>
  <dc:creator>openpyxl</dc:creator>
  <dc:description/>
  <dc:language>en-US</dc:language>
  <cp:lastModifiedBy/>
  <dcterms:modified xsi:type="dcterms:W3CDTF">2026-10-26T11:46:04Z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