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<sst xmlns="http://schemas.openxmlformats.org/spreadsheetml/2006/main" count="1295" uniqueCount="670">
  <si>
    <t xml:space="preserve">แผนโครงการ P3-040 – สถานีผลิตน้ำคลองกะทะ 265.62 kWp</t>
  </si>
  <si>
    <t xml:space="preserve">กปภ.สาขาภูเก็ต, ภาคใต้, กฟภ. เขต ต.2, Inverter 265 kW (ต้องยื่น พค.2), Zero export HV, คำขอ -, วิศวกร โดม, Admin ลูกแก้ว, ผรม. S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</si>
  <si>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</si>
  <si>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</si>
  <si>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</si>
  <si>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</si>
  <si>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</si>
  <si>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</si>
  <si>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</si>
  <si>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</si>
  <si>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</si>
  <si>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</si>
  <si>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</si>
  <si>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</si>
  <si>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</si>
  <si>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</si>
  <si>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</si>
  <si>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</si>
  <si>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</si>
  <si>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1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</si>
  <si>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</si>
  <si>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</si>
  <si>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</si>
  <si>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</si>
  <si>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</si>
  <si>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</si>
  <si>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</si>
  <si>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</si>
  <si>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Kick Off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</si>
  <si>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P3-040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</si>
  <si>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</si>
  <si>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</si>
  <si>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</si>
  <si>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</si>
  <si>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</si>
  <si>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</si>
  <si>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</si>
  <si>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</si>
  <si>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</si>
  <si>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</si>
  <si>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</si>
  <si>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</si>
  <si>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</si>
  <si>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</si>
  <si>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</si>
  <si>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</si>
  <si>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</si>
  <si>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</si>
  <si>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</si>
  <si>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</si>
  <si>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</si>
  <si>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</si>
  <si>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</si>
  <si>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</si>
  <si>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</si>
  <si>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</si>
  <si>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</si>
  <si>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</si>
  <si>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</si>
  <si>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</si>
  <si>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</si>
  <si>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</si>
  <si>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</si>
  <si>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</si>
  <si>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</si>
  <si>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</si>
  <si>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</si>
  <si>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</si>
  <si>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</si>
  <si>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</si>
  <si>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</si>
  <si>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</si>
  <si>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</si>
  <si>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</si>
  <si>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</si>
  <si>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</si>
  <si>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</si>
  <si>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</si>
  <si>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</si>
  <si>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</si>
  <si>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</si>
  <si>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</si>
  <si>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</si>
  <si>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</si>
  <si>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</si>
  <si>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</si>
  <si>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</si>
  <si>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WBS'!L7531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</si>
  <si>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</si>
  <si>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</si>
  <si>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</si>
  <si>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</si>
  <si>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WBS'!L7532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</si>
  <si>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</si>
  <si>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</si>
  <si>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</si>
  <si>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WBS'!L7533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</si>
  <si>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</si>
  <si>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</si>
  <si>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</si>
  <si>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WBS'!L7534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</si>
  <si>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</si>
  <si>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</si>
  <si>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</si>
  <si>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WBS'!L7535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</si>
  <si>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</si>
  <si>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</si>
  <si>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</si>
  <si>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</si>
  <si>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</si>
  <si>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WBS'!L7536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</si>
  <si>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</si>
  <si>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</si>
  <si>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TC-PML-2026-655,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</si>
  <si>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</si>
  <si>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</si>
  <si>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DN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</si>
  <si>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</si>
  <si>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</si>
  <si>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</si>
  <si>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</si>
  <si>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</si>
  <si>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</si>
  <si>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WBS'!L7537</t>
    </r>
  </si>
  <si>
    <t xml:space="preserve">เสร็จ*</t>
  </si>
  <si>
    <t xml:space="preserve">DY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</si>
  <si>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</si>
  <si>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</si>
  <si>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</si>
  <si>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WBS'!L7538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</si>
  <si>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</si>
  <si>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</si>
  <si>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</si>
  <si>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WBS'!L7539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</si>
  <si>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</si>
  <si>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</si>
  <si>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</si>
  <si>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WBS'!L7540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</si>
  <si>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</si>
  <si>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</si>
  <si>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</si>
  <si>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WBS'!L7541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</si>
  <si>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</si>
  <si>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</si>
  <si>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</si>
  <si>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WBS'!L7542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</si>
  <si>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</si>
  <si>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</si>
  <si>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</si>
  <si>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WBS'!L7543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</si>
  <si>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</si>
  <si>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</si>
  <si>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</si>
  <si>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WBS'!L7544</t>
    </r>
  </si>
  <si>
    <t xml:space="preserve">0.3</t>
  </si>
  <si>
    <t xml:space="preserve">หนังสือแจ้งขอดับไฟ</t>
  </si>
  <si>
    <t xml:space="preserve">TC-PML-2026-596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</si>
  <si>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</si>
  <si>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</si>
  <si>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</si>
  <si>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</si>
  <si>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</si>
  <si>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</si>
  <si>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WBS'!L7545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</si>
  <si>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</si>
  <si>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</si>
  <si>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</si>
  <si>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</si>
  <si>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</si>
  <si>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</si>
  <si>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</si>
  <si>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WBS'!L7547</t>
    </r>
  </si>
  <si>
    <t xml:space="preserve">1</t>
  </si>
  <si>
    <t xml:space="preserve">Part PERMIT</t>
  </si>
  <si>
    <t xml:space="preserve">1.1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</si>
  <si>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</si>
  <si>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</si>
  <si>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</si>
  <si>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</si>
  <si>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</si>
  <si>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</si>
  <si>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</si>
  <si>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</si>
  <si>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</si>
  <si>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WBS'!L7549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</si>
  <si>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</si>
  <si>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</si>
  <si>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</si>
  <si>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</si>
  <si>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</si>
  <si>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</si>
  <si>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</si>
  <si>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</si>
  <si>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</si>
  <si>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</si>
  <si>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</si>
  <si>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</si>
  <si>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</si>
  <si>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</si>
  <si>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</si>
  <si>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</si>
  <si>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</si>
  <si>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</si>
  <si>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</si>
  <si>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</si>
  <si>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</si>
  <si>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</si>
  <si>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</si>
  <si>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</si>
  <si>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</si>
  <si>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</si>
  <si>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</si>
  <si>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</si>
  <si>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</si>
  <si>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</si>
  <si>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</si>
  <si>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</si>
  <si>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</si>
  <si>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</si>
  <si>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</si>
  <si>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</si>
  <si>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</si>
  <si>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</si>
  <si>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</si>
  <si>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</si>
  <si>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</si>
  <si>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</si>
  <si>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</si>
  <si>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</si>
  <si>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</si>
  <si>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</si>
  <si>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</si>
  <si>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</si>
  <si>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</si>
  <si>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</si>
  <si>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</si>
  <si>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</si>
  <si>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</si>
  <si>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</si>
  <si>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WBS'!L7559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</si>
  <si>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</si>
  <si>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</si>
  <si>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</si>
  <si>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WBS'!L7560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</si>
  <si>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</si>
  <si>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</si>
  <si>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</si>
  <si>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</si>
  <si>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</si>
  <si>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</si>
  <si>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</si>
  <si>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</si>
  <si>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WBS'!L7561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</si>
  <si>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</si>
  <si>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</si>
  <si>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</si>
  <si>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WBS'!L7562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</si>
  <si>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</si>
  <si>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</si>
  <si>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</si>
  <si>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</si>
  <si>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</si>
  <si>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</si>
  <si>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WBS'!L7563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</si>
  <si>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</si>
  <si>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</si>
  <si>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</si>
  <si>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</si>
  <si>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</si>
  <si>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</si>
  <si>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</si>
  <si>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</si>
  <si>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</si>
  <si>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</si>
  <si>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</si>
  <si>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</si>
  <si>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WBS'!L7565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</si>
  <si>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</si>
  <si>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</si>
  <si>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</si>
  <si>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</si>
  <si>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</si>
  <si>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</si>
  <si>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</si>
  <si>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</si>
  <si>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</si>
  <si>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</si>
  <si>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</si>
  <si>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</si>
  <si>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</si>
  <si>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</si>
  <si>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</si>
  <si>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</si>
  <si>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</si>
  <si>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</si>
  <si>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</si>
  <si>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</si>
  <si>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</si>
  <si>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</si>
  <si>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</si>
  <si>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</si>
  <si>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</si>
  <si>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</si>
  <si>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</si>
  <si>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</si>
  <si>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</si>
  <si>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</si>
  <si>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</si>
  <si>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</si>
  <si>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</si>
  <si>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</si>
  <si>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</si>
  <si>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</si>
  <si>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</si>
  <si>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</si>
  <si>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</si>
  <si>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</si>
  <si>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WBS'!L7569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</si>
  <si>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</si>
  <si>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</si>
  <si>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</si>
  <si>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</si>
  <si>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</si>
  <si>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</si>
  <si>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</si>
  <si>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</si>
  <si>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</si>
  <si>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</si>
  <si>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</si>
  <si>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</si>
  <si>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</si>
  <si>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</si>
  <si>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</si>
  <si>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</si>
  <si>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</si>
  <si>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</si>
  <si>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</si>
  <si>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</si>
  <si>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</si>
  <si>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</si>
  <si>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</si>
  <si>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</si>
  <si>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</si>
  <si>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</si>
  <si>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</si>
  <si>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</si>
  <si>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</si>
  <si>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</si>
  <si>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</si>
  <si>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</si>
  <si>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</si>
  <si>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</si>
  <si>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</si>
  <si>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</si>
  <si>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</si>
  <si>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</si>
  <si>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</si>
  <si>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</si>
  <si>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</si>
  <si>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</si>
  <si>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</si>
  <si>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</si>
  <si>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</si>
  <si>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</si>
  <si>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</si>
  <si>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WBS'!L7579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</si>
  <si>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</si>
  <si>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</si>
  <si>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</si>
  <si>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</si>
  <si>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</si>
  <si>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</si>
  <si>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</si>
  <si>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</si>
  <si>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</si>
  <si>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</si>
  <si>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</si>
  <si>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</si>
  <si>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</si>
  <si>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</si>
  <si>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</si>
  <si>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</si>
  <si>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</si>
  <si>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</si>
  <si>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</si>
  <si>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</si>
  <si>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</si>
  <si>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</si>
  <si>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</si>
  <si>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WBS'!L7584</t>
    </r>
  </si>
  <si>
    <t xml:space="preserve">2.5</t>
  </si>
  <si>
    <t xml:space="preserve">ติดตั้ง Inverter</t>
  </si>
  <si>
    <t xml:space="preserve">Inverter 265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</si>
  <si>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</si>
  <si>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</si>
  <si>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</si>
  <si>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</si>
  <si>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</si>
  <si>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</si>
  <si>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</si>
  <si>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</si>
  <si>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</si>
  <si>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</si>
  <si>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</si>
  <si>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</si>
  <si>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</si>
  <si>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</si>
  <si>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</si>
  <si>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</si>
  <si>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WBS'!L7588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</si>
  <si>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</si>
  <si>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</si>
  <si>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</si>
  <si>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</si>
  <si>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</si>
  <si>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</si>
  <si>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</si>
  <si>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</si>
  <si>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WBS'!L7589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</si>
  <si>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</si>
  <si>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</si>
  <si>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</si>
  <si>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</si>
  <si>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</si>
  <si>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</si>
  <si>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</si>
  <si>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</si>
  <si>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</si>
  <si>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</si>
  <si>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</si>
  <si>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</si>
  <si>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</si>
  <si>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</si>
  <si>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</si>
  <si>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</si>
  <si>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</si>
  <si>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</si>
  <si>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</si>
  <si>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</si>
  <si>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</si>
  <si>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</si>
  <si>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</si>
  <si>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</si>
  <si>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</si>
  <si>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</si>
  <si>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</si>
  <si>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</si>
  <si>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</si>
  <si>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</si>
  <si>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WBS'!L7596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</si>
  <si>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</si>
  <si>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</si>
  <si>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</si>
  <si>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</si>
  <si>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</si>
  <si>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</si>
  <si>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</si>
  <si>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</si>
  <si>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</si>
  <si>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</si>
  <si>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WBS'!L7597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</si>
  <si>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</si>
  <si>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</si>
  <si>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</si>
  <si>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</si>
  <si>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</si>
  <si>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</si>
  <si>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</si>
  <si>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</si>
  <si>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</si>
  <si>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</si>
  <si>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</si>
  <si>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</si>
  <si>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WBS'!L7599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</si>
  <si>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</si>
  <si>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</si>
  <si>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</si>
  <si>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</si>
  <si>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</si>
  <si>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</si>
  <si>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</si>
  <si>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</si>
  <si>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</si>
  <si>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</si>
  <si>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</si>
  <si>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</si>
  <si>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</si>
  <si>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</si>
  <si>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</si>
  <si>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</si>
  <si>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</si>
  <si>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</si>
  <si>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WBS'!L7603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</si>
  <si>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</si>
  <si>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</si>
  <si>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</si>
  <si>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</si>
  <si>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</si>
  <si>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</si>
  <si>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</si>
  <si>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</si>
  <si>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</si>
  <si>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</si>
  <si>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</si>
  <si>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</si>
  <si>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</si>
  <si>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</si>
  <si>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</si>
  <si>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</si>
  <si>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</si>
  <si>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</si>
  <si>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</si>
  <si>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</si>
  <si>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</si>
  <si>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</si>
  <si>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</si>
  <si>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</si>
  <si>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</si>
  <si>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</si>
  <si>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</si>
  <si>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</si>
  <si>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</si>
  <si>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</si>
  <si>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</si>
  <si>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</si>
  <si>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</si>
  <si>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WBS'!L7609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</si>
  <si>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</si>
  <si>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</si>
  <si>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</si>
  <si>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</si>
  <si>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</si>
  <si>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</si>
  <si>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</si>
  <si>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</si>
  <si>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</si>
  <si>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</si>
  <si>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</si>
  <si>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</si>
  <si>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</si>
  <si>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</si>
  <si>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</si>
  <si>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</si>
  <si>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</si>
  <si>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</si>
  <si>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</si>
  <si>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</si>
  <si>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</si>
  <si>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</si>
  <si>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</si>
  <si>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</si>
  <si>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</si>
  <si>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</si>
  <si>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</si>
  <si>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</si>
  <si>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</si>
  <si>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</si>
  <si>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WBS'!L7614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</si>
  <si>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</si>
  <si>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</si>
  <si>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</si>
  <si>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</si>
  <si>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</si>
  <si>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</si>
  <si>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</si>
  <si>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</si>
  <si>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</si>
  <si>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</si>
  <si>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</si>
  <si>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</si>
  <si>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</si>
  <si>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</si>
  <si>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</si>
  <si>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</si>
  <si>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</si>
  <si>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</si>
  <si>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</si>
  <si>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</si>
  <si>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</si>
  <si>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</si>
  <si>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</si>
  <si>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</si>
  <si>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</si>
  <si>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</si>
  <si>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</si>
  <si>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</si>
  <si>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</si>
  <si>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</si>
  <si>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</si>
  <si>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</si>
  <si>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</si>
  <si>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</si>
  <si>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</si>
  <si>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</si>
  <si>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</si>
  <si>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</si>
  <si>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125+80+60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</si>
  <si>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</si>
  <si>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</si>
  <si>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</si>
  <si>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</si>
  <si>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</si>
  <si>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</si>
  <si>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</si>
  <si>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</si>
  <si>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</si>
  <si>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</si>
  <si>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</si>
  <si>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</si>
  <si>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</si>
  <si>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</si>
  <si>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</si>
  <si>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</si>
  <si>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</si>
  <si>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</si>
  <si>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สถานีผลิตน้ำคลองกะทะ การประปาส่วนภูมิภาคสาขาภูเก็ต ขนาดกำลังผลิต </t>
    </r>
    <r>
      <rPr>
        <sz val="10"/>
        <rFont val="Tahoma"/>
        <family val="0"/>
        <charset val="1"/>
      </rPr>
      <t xml:space="preserve">265.62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</si>
  <si>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</si>
  <si>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</si>
  <si>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</si>
  <si>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P3-040,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</si>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</sst>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0.842857142857143</c:v>
                </c:pt>
                <c:pt idx="9">
                  <c:v>2.04285714285714</c:v>
                </c:pt>
                <c:pt idx="10">
                  <c:v>2.5</c:v>
                </c:pt>
                <c:pt idx="11">
                  <c:v>2.5</c:v>
                </c:pt>
                <c:pt idx="12">
                  <c:v>7.44444444444445</c:v>
                </c:pt>
                <c:pt idx="13">
                  <c:v>15.2222222222222</c:v>
                </c:pt>
                <c:pt idx="14">
                  <c:v>25.6666666666667</c:v>
                </c:pt>
                <c:pt idx="15">
                  <c:v>74.4047619047619</c:v>
                </c:pt>
                <c:pt idx="16">
                  <c:v>95.7101449275362</c:v>
                </c:pt>
                <c:pt idx="17">
                  <c:v>96.695652173913</c:v>
                </c:pt>
                <c:pt idx="18">
                  <c:v>96.8478260869565</c:v>
                </c:pt>
                <c:pt idx="19">
                  <c:v>97</c:v>
                </c:pt>
                <c:pt idx="20">
                  <c:v>97.1521739130435</c:v>
                </c:pt>
                <c:pt idx="21">
                  <c:v>97.304347826087</c:v>
                </c:pt>
                <c:pt idx="22">
                  <c:v>97.4565217391305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0.3333</c:v>
                </c:pt>
                <c:pt idx="9">
                  <c:v>0.6666</c:v>
                </c:pt>
                <c:pt idx="10">
                  <c:v>0.9999</c:v>
                </c:pt>
                <c:pt idx="11">
                  <c:v>0.9999</c:v>
                </c:pt>
                <c:pt idx="12">
                  <c:v>0.9999</c:v>
                </c:pt>
                <c:pt idx="13">
                  <c:v>0.9999</c:v>
                </c:pt>
                <c:pt idx="14">
                  <c:v>0.9999</c:v>
                </c:pt>
                <c:pt idx="15">
                  <c:v>0.9999</c:v>
                </c:pt>
                <c:pt idx="16">
                  <c:v>0.9999</c:v>
                </c:pt>
                <c:pt idx="17">
                  <c:v>0.9999</c:v>
                </c:pt>
                <c:pt idx="18">
                  <c:v>0.9999</c:v>
                </c:pt>
                <c:pt idx="19">
                  <c:v>1.9999</c:v>
                </c:pt>
                <c:pt idx="20">
                  <c:v>1.9999</c:v>
                </c:pt>
                <c:pt idx="21">
                  <c:v>1.9999</c:v>
                </c:pt>
                <c:pt idx="22">
                  <c:v>1.9999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969750"/>
        <c:axId val="46701562"/>
      </c:lineChart>
      <c:catAx>
        <c:axId val="7796975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01562"/>
        <c:crosses val="autoZero"/>
        <c:auto val="1"/>
        <c:lblAlgn val="ctr"/>
        <c:lblOffset val="100"/>
        <c:noMultiLvlLbl val="0"/>
      </c:catAx>
      <c:valAx>
        <c:axId val="46701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697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46493</v>
      </c>
      <c r="G4" s="10"/>
      <c r="H4" s="10"/>
      <c r="J4" s="11" t="n">
        <v>0.02</v>
      </c>
      <c r="K4" s="11"/>
      <c r="L4" s="12" t="n">
        <v>165</v>
      </c>
      <c r="M4" s="12"/>
      <c r="N4" s="12" t="n">
        <v>171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46265</v>
      </c>
      <c r="O8" s="33" t="n">
        <v>46512</v>
      </c>
      <c r="P8" s="34" t="s">
        <v>75</v>
      </c>
      <c r="Q8" s="31" t="n">
        <v>173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46314</v>
      </c>
      <c r="O9" s="45" t="n">
        <v>46512</v>
      </c>
      <c r="P9" s="46" t="s">
        <v>75</v>
      </c>
      <c r="Q9" s="37" t="n">
        <v>173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46314</v>
      </c>
      <c r="O10" s="55" t="n">
        <v>46334</v>
      </c>
      <c r="P10" s="50" t="s">
        <v>75</v>
      </c>
      <c r="Q10" s="52" t="n">
        <v>108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46314</v>
      </c>
      <c r="O11" s="55" t="n">
        <v>46334</v>
      </c>
      <c r="P11" s="50" t="s">
        <v>75</v>
      </c>
      <c r="Q11" s="52" t="n">
        <v>108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46314</v>
      </c>
      <c r="O12" s="55" t="n">
        <v>46334</v>
      </c>
      <c r="P12" s="50" t="s">
        <v>75</v>
      </c>
      <c r="Q12" s="52" t="n">
        <v>108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46314</v>
      </c>
      <c r="O13" s="55" t="n">
        <v>46344</v>
      </c>
      <c r="P13" s="50" t="s">
        <v>75</v>
      </c>
      <c r="Q13" s="52" t="n">
        <v>111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46334</v>
      </c>
      <c r="O14" s="55" t="n">
        <v>46512</v>
      </c>
      <c r="P14" s="50" t="s">
        <v>105</v>
      </c>
      <c r="Q14" s="52" t="n">
        <v>173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110</v>
      </c>
      <c r="N15" s="55" t="n">
        <v>46334</v>
      </c>
      <c r="O15" s="55" t="n">
        <v>46512</v>
      </c>
      <c r="P15" s="50" t="s">
        <v>105</v>
      </c>
      <c r="Q15" s="52" t="n">
        <v>173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112</v>
      </c>
      <c r="C16" s="38" t="s">
        <v>113</v>
      </c>
      <c r="D16" s="39" t="s">
        <v>114</v>
      </c>
      <c r="E16" s="40" t="n">
        <v>0</v>
      </c>
      <c r="F16" s="39" t="s">
        <v>115</v>
      </c>
      <c r="G16" s="37"/>
      <c r="H16" s="37" t="n">
        <v>10</v>
      </c>
      <c r="I16" s="41" t="n">
        <v>46233</v>
      </c>
      <c r="J16" s="41" t="n">
        <v>46244</v>
      </c>
      <c r="K16" s="42"/>
      <c r="L16" s="42" t="n">
        <v>46274</v>
      </c>
      <c r="M16" s="43"/>
      <c r="N16" s="44" t="n">
        <v>46265</v>
      </c>
      <c r="O16" s="45" t="n">
        <v>46274</v>
      </c>
      <c r="P16" s="46" t="s">
        <v>60</v>
      </c>
      <c r="Q16" s="37" t="n">
        <v>30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46265</v>
      </c>
      <c r="O17" s="55" t="n">
        <v>46267</v>
      </c>
      <c r="P17" s="50" t="s">
        <v>124</v>
      </c>
      <c r="Q17" s="52" t="n">
        <v>32</v>
      </c>
      <c r="R17" s="52"/>
      <c r="S17" s="52" t="n">
        <v>2</v>
      </c>
      <c r="T17" s="52" t="s">
        <v>125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126</v>
      </c>
      <c r="B18" s="50" t="s">
        <v>127</v>
      </c>
      <c r="C18" s="50" t="s">
        <v>128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129</v>
      </c>
      <c r="N18" s="55" t="n">
        <v>46266</v>
      </c>
      <c r="O18" s="55" t="n">
        <v>46269</v>
      </c>
      <c r="P18" s="50" t="s">
        <v>124</v>
      </c>
      <c r="Q18" s="52" t="n">
        <v>32</v>
      </c>
      <c r="R18" s="52"/>
      <c r="S18" s="52" t="n">
        <v>2</v>
      </c>
      <c r="T18" s="52" t="s">
        <v>125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130</v>
      </c>
      <c r="B19" s="50" t="s">
        <v>131</v>
      </c>
      <c r="C19" s="50" t="s">
        <v>132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133</v>
      </c>
      <c r="N19" s="55" t="n">
        <v>46268</v>
      </c>
      <c r="O19" s="55" t="n">
        <v>46271</v>
      </c>
      <c r="P19" s="50" t="s">
        <v>124</v>
      </c>
      <c r="Q19" s="52" t="n">
        <v>30</v>
      </c>
      <c r="R19" s="52"/>
      <c r="S19" s="52" t="n">
        <v>2</v>
      </c>
      <c r="T19" s="52" t="s">
        <v>125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134</v>
      </c>
      <c r="B20" s="50" t="s">
        <v>135</v>
      </c>
      <c r="C20" s="50" t="s">
        <v>136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137</v>
      </c>
      <c r="N20" s="55" t="n">
        <v>46268</v>
      </c>
      <c r="O20" s="55" t="n">
        <v>46271</v>
      </c>
      <c r="P20" s="50" t="s">
        <v>124</v>
      </c>
      <c r="Q20" s="52" t="n">
        <v>30</v>
      </c>
      <c r="R20" s="52"/>
      <c r="S20" s="52" t="n">
        <v>2</v>
      </c>
      <c r="T20" s="52" t="s">
        <v>125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138</v>
      </c>
      <c r="B21" s="50" t="s">
        <v>139</v>
      </c>
      <c r="C21" s="50" t="s">
        <v>140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141</v>
      </c>
      <c r="N21" s="55" t="n">
        <v>46269</v>
      </c>
      <c r="O21" s="55" t="n">
        <v>46272</v>
      </c>
      <c r="P21" s="50" t="s">
        <v>124</v>
      </c>
      <c r="Q21" s="52" t="n">
        <v>30</v>
      </c>
      <c r="R21" s="52"/>
      <c r="S21" s="52" t="n">
        <v>2</v>
      </c>
      <c r="T21" s="52" t="s">
        <v>125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142</v>
      </c>
      <c r="B22" s="50" t="s">
        <v>143</v>
      </c>
      <c r="C22" s="50" t="s">
        <v>144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145</v>
      </c>
      <c r="N22" s="55" t="n">
        <v>46270</v>
      </c>
      <c r="O22" s="55" t="n">
        <v>46273</v>
      </c>
      <c r="P22" s="50" t="s">
        <v>124</v>
      </c>
      <c r="Q22" s="52" t="n">
        <v>30</v>
      </c>
      <c r="R22" s="52"/>
      <c r="S22" s="52" t="n">
        <v>2</v>
      </c>
      <c r="T22" s="52" t="s">
        <v>125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146</v>
      </c>
      <c r="B23" s="50" t="s">
        <v>147</v>
      </c>
      <c r="C23" s="50" t="s">
        <v>148</v>
      </c>
      <c r="D23" s="50" t="s">
        <v>91</v>
      </c>
      <c r="E23" s="51" t="n">
        <v>0</v>
      </c>
      <c r="F23" s="52"/>
      <c r="G23" s="52"/>
      <c r="H23" s="52"/>
      <c r="I23" s="53" t="n">
        <v>46239</v>
      </c>
      <c r="J23" s="53" t="n">
        <v>46244</v>
      </c>
      <c r="K23" s="52"/>
      <c r="L23" s="52"/>
      <c r="M23" s="54" t="s">
        <v>149</v>
      </c>
      <c r="N23" s="55" t="n">
        <v>46270</v>
      </c>
      <c r="O23" s="55" t="n">
        <v>46274</v>
      </c>
      <c r="P23" s="50" t="s">
        <v>124</v>
      </c>
      <c r="Q23" s="52" t="n">
        <v>30</v>
      </c>
      <c r="R23" s="52"/>
      <c r="S23" s="52" t="n">
        <v>2</v>
      </c>
      <c r="T23" s="52" t="s">
        <v>125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153</v>
      </c>
      <c r="N24" s="55" t="n">
        <v>46270</v>
      </c>
      <c r="O24" s="55" t="n">
        <v>46274</v>
      </c>
      <c r="P24" s="50" t="s">
        <v>124</v>
      </c>
      <c r="Q24" s="52" t="n">
        <v>30</v>
      </c>
      <c r="R24" s="52"/>
      <c r="S24" s="52" t="n">
        <v>2</v>
      </c>
      <c r="T24" s="52" t="s">
        <v>125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114</v>
      </c>
      <c r="E25" s="40" t="n">
        <v>0</v>
      </c>
      <c r="F25" s="39" t="s">
        <v>157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28</v>
      </c>
      <c r="R25" s="39"/>
      <c r="S25" s="39" t="n">
        <v>1</v>
      </c>
      <c r="T25" s="39" t="s">
        <v>116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163</v>
      </c>
      <c r="N26" s="55" t="n">
        <v>46266</v>
      </c>
      <c r="O26" s="55" t="n">
        <v>46266</v>
      </c>
      <c r="P26" s="50" t="s">
        <v>124</v>
      </c>
      <c r="Q26" s="52" t="n">
        <v>28</v>
      </c>
      <c r="R26" s="52"/>
      <c r="S26" s="52" t="n">
        <v>2</v>
      </c>
      <c r="T26" s="52" t="s">
        <v>125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167</v>
      </c>
      <c r="N27" s="55" t="n">
        <v>46266</v>
      </c>
      <c r="O27" s="55" t="n">
        <v>46266</v>
      </c>
      <c r="P27" s="50" t="s">
        <v>124</v>
      </c>
      <c r="Q27" s="52" t="n">
        <v>28</v>
      </c>
      <c r="R27" s="52"/>
      <c r="S27" s="52" t="n">
        <v>2</v>
      </c>
      <c r="T27" s="52" t="s">
        <v>125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171</v>
      </c>
      <c r="N28" s="55" t="n">
        <v>46266</v>
      </c>
      <c r="O28" s="55" t="n">
        <v>46266</v>
      </c>
      <c r="P28" s="50" t="s">
        <v>124</v>
      </c>
      <c r="Q28" s="52" t="n">
        <v>28</v>
      </c>
      <c r="R28" s="52"/>
      <c r="S28" s="52" t="n">
        <v>2</v>
      </c>
      <c r="T28" s="52" t="s">
        <v>125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46221</v>
      </c>
      <c r="O29" s="33" t="n">
        <v>46493</v>
      </c>
      <c r="P29" s="34" t="s">
        <v>75</v>
      </c>
      <c r="Q29" s="31" t="n">
        <v>171</v>
      </c>
      <c r="R29" s="31"/>
      <c r="S29" s="31" t="n">
        <v>0</v>
      </c>
      <c r="T29" s="31" t="s">
        <v>76</v>
      </c>
      <c r="U29" s="31"/>
      <c r="V29" s="35" t="n">
        <v>0.4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28</v>
      </c>
      <c r="C30" s="39"/>
      <c r="D30" s="39" t="s">
        <v>79</v>
      </c>
      <c r="E30" s="40" t="n">
        <v>0.5</v>
      </c>
      <c r="F30" s="39" t="s">
        <v>175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100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176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177</v>
      </c>
      <c r="B31" s="50" t="s">
        <v>178</v>
      </c>
      <c r="C31" s="50" t="s">
        <v>179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180</v>
      </c>
      <c r="N31" s="55" t="n">
        <v>46314</v>
      </c>
      <c r="O31" s="55" t="n">
        <v>46314</v>
      </c>
      <c r="P31" s="50" t="s">
        <v>75</v>
      </c>
      <c r="Q31" s="52" t="n">
        <v>100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181</v>
      </c>
      <c r="B32" s="50" t="s">
        <v>182</v>
      </c>
      <c r="C32" s="50" t="s">
        <v>183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184</v>
      </c>
      <c r="N32" s="55" t="n">
        <v>46314</v>
      </c>
      <c r="O32" s="55" t="n">
        <v>46314</v>
      </c>
      <c r="P32" s="50" t="s">
        <v>75</v>
      </c>
      <c r="Q32" s="52" t="n">
        <v>100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185</v>
      </c>
      <c r="B33" s="50" t="s">
        <v>186</v>
      </c>
      <c r="C33" s="50" t="s">
        <v>187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188</v>
      </c>
      <c r="N33" s="55" t="n">
        <v>46314</v>
      </c>
      <c r="O33" s="55" t="n">
        <v>46314</v>
      </c>
      <c r="P33" s="50" t="s">
        <v>75</v>
      </c>
      <c r="Q33" s="52" t="n">
        <v>100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189</v>
      </c>
      <c r="B34" s="38" t="s">
        <v>190</v>
      </c>
      <c r="C34" s="39"/>
      <c r="D34" s="39" t="s">
        <v>79</v>
      </c>
      <c r="E34" s="40" t="n">
        <v>1</v>
      </c>
      <c r="F34" s="39" t="s">
        <v>191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/>
      <c r="N34" s="44" t="n">
        <v>46314</v>
      </c>
      <c r="O34" s="45" t="n">
        <v>46319</v>
      </c>
      <c r="P34" s="46" t="s">
        <v>75</v>
      </c>
      <c r="Q34" s="37" t="n">
        <v>89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192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193</v>
      </c>
      <c r="B35" s="52" t="s">
        <v>194</v>
      </c>
      <c r="C35" s="52" t="s">
        <v>195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196</v>
      </c>
      <c r="N35" s="55" t="n">
        <v>46314</v>
      </c>
      <c r="O35" s="55" t="n">
        <v>46317</v>
      </c>
      <c r="P35" s="50" t="s">
        <v>75</v>
      </c>
      <c r="Q35" s="52" t="n">
        <v>92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197</v>
      </c>
      <c r="B36" s="50" t="s">
        <v>198</v>
      </c>
      <c r="C36" s="50" t="s">
        <v>199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200</v>
      </c>
      <c r="N36" s="55" t="n">
        <v>46314</v>
      </c>
      <c r="O36" s="55" t="n">
        <v>46317</v>
      </c>
      <c r="P36" s="50" t="s">
        <v>75</v>
      </c>
      <c r="Q36" s="52" t="n">
        <v>91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201</v>
      </c>
      <c r="B37" s="50" t="s">
        <v>202</v>
      </c>
      <c r="C37" s="50" t="s">
        <v>203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204</v>
      </c>
      <c r="N37" s="55" t="n">
        <v>46316</v>
      </c>
      <c r="O37" s="55" t="n">
        <v>46318</v>
      </c>
      <c r="P37" s="50" t="s">
        <v>105</v>
      </c>
      <c r="Q37" s="52" t="n">
        <v>91</v>
      </c>
      <c r="R37" s="52"/>
      <c r="S37" s="52" t="n">
        <v>2</v>
      </c>
      <c r="T37" s="52" t="s">
        <v>106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205</v>
      </c>
      <c r="B38" s="50" t="s">
        <v>206</v>
      </c>
      <c r="C38" s="50" t="s">
        <v>207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208</v>
      </c>
      <c r="N38" s="55" t="n">
        <v>46317</v>
      </c>
      <c r="O38" s="55" t="n">
        <v>46319</v>
      </c>
      <c r="P38" s="50" t="s">
        <v>105</v>
      </c>
      <c r="Q38" s="52" t="n">
        <v>89</v>
      </c>
      <c r="R38" s="52"/>
      <c r="S38" s="52" t="n">
        <v>2</v>
      </c>
      <c r="T38" s="52" t="s">
        <v>106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209</v>
      </c>
      <c r="B39" s="39" t="s">
        <v>210</v>
      </c>
      <c r="C39" s="39"/>
      <c r="D39" s="39" t="s">
        <v>79</v>
      </c>
      <c r="E39" s="40" t="n">
        <v>0.5</v>
      </c>
      <c r="F39" s="39" t="s">
        <v>211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/>
      <c r="N39" s="44" t="n">
        <v>46329</v>
      </c>
      <c r="O39" s="45" t="n">
        <v>46329</v>
      </c>
      <c r="P39" s="46" t="s">
        <v>105</v>
      </c>
      <c r="Q39" s="37" t="n">
        <v>85</v>
      </c>
      <c r="R39" s="39"/>
      <c r="S39" s="39" t="n">
        <v>1</v>
      </c>
      <c r="T39" s="39" t="s">
        <v>106</v>
      </c>
      <c r="U39" s="57" t="n">
        <v>46329.0039</v>
      </c>
      <c r="V39" s="47" t="n">
        <v>0</v>
      </c>
      <c r="W39" s="38" t="s">
        <v>80</v>
      </c>
      <c r="X39" s="39" t="s">
        <v>212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213</v>
      </c>
      <c r="B40" s="50" t="s">
        <v>214</v>
      </c>
      <c r="C40" s="50" t="s">
        <v>215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216</v>
      </c>
      <c r="N40" s="55" t="n">
        <v>46329</v>
      </c>
      <c r="O40" s="55" t="n">
        <v>46329</v>
      </c>
      <c r="P40" s="50" t="s">
        <v>105</v>
      </c>
      <c r="Q40" s="52" t="n">
        <v>85</v>
      </c>
      <c r="R40" s="52"/>
      <c r="S40" s="52" t="n">
        <v>2</v>
      </c>
      <c r="T40" s="52" t="s">
        <v>106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217</v>
      </c>
      <c r="B41" s="50" t="s">
        <v>218</v>
      </c>
      <c r="C41" s="52" t="s">
        <v>219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220</v>
      </c>
      <c r="N41" s="55" t="n">
        <v>46329</v>
      </c>
      <c r="O41" s="55" t="n">
        <v>46329</v>
      </c>
      <c r="P41" s="50" t="s">
        <v>105</v>
      </c>
      <c r="Q41" s="52" t="n">
        <v>85</v>
      </c>
      <c r="R41" s="52"/>
      <c r="S41" s="52" t="n">
        <v>2</v>
      </c>
      <c r="T41" s="52" t="s">
        <v>106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221</v>
      </c>
      <c r="B42" s="50" t="s">
        <v>222</v>
      </c>
      <c r="C42" s="52" t="s">
        <v>223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224</v>
      </c>
      <c r="N42" s="55" t="n">
        <v>46329</v>
      </c>
      <c r="O42" s="55" t="n">
        <v>46329</v>
      </c>
      <c r="P42" s="50" t="s">
        <v>105</v>
      </c>
      <c r="Q42" s="52" t="n">
        <v>85</v>
      </c>
      <c r="R42" s="52"/>
      <c r="S42" s="52" t="n">
        <v>2</v>
      </c>
      <c r="T42" s="52" t="s">
        <v>106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225</v>
      </c>
      <c r="B43" s="39" t="s">
        <v>226</v>
      </c>
      <c r="C43" s="39" t="s">
        <v>227</v>
      </c>
      <c r="D43" s="39" t="s">
        <v>114</v>
      </c>
      <c r="E43" s="40" t="n">
        <v>1</v>
      </c>
      <c r="F43" s="39" t="s">
        <v>228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229</v>
      </c>
      <c r="N43" s="44" t="n">
        <v>46221</v>
      </c>
      <c r="O43" s="45" t="n">
        <v>46234</v>
      </c>
      <c r="P43" s="46" t="s">
        <v>230</v>
      </c>
      <c r="Q43" s="37" t="n">
        <v>0</v>
      </c>
      <c r="R43" s="39"/>
      <c r="S43" s="39" t="n">
        <v>1</v>
      </c>
      <c r="T43" s="39" t="s">
        <v>125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0.2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235</v>
      </c>
      <c r="N44" s="55" t="n">
        <v>46221</v>
      </c>
      <c r="O44" s="55" t="n">
        <v>46224</v>
      </c>
      <c r="P44" s="50" t="s">
        <v>124</v>
      </c>
      <c r="Q44" s="52" t="n">
        <v>0</v>
      </c>
      <c r="R44" s="52"/>
      <c r="S44" s="52" t="n">
        <v>2</v>
      </c>
      <c r="T44" s="52" t="s">
        <v>125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0.4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239</v>
      </c>
      <c r="N45" s="55" t="n">
        <v>46222</v>
      </c>
      <c r="O45" s="55" t="n">
        <v>46228</v>
      </c>
      <c r="P45" s="50" t="s">
        <v>124</v>
      </c>
      <c r="Q45" s="52" t="n">
        <v>1</v>
      </c>
      <c r="R45" s="52"/>
      <c r="S45" s="52" t="n">
        <v>2</v>
      </c>
      <c r="T45" s="52" t="s">
        <v>125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0.4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243</v>
      </c>
      <c r="N46" s="55" t="n">
        <v>46228</v>
      </c>
      <c r="O46" s="55" t="n">
        <v>46234</v>
      </c>
      <c r="P46" s="50" t="s">
        <v>124</v>
      </c>
      <c r="Q46" s="52" t="n">
        <v>0</v>
      </c>
      <c r="R46" s="52"/>
      <c r="S46" s="52" t="n">
        <v>2</v>
      </c>
      <c r="T46" s="52" t="s">
        <v>125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114</v>
      </c>
      <c r="E47" s="40" t="n">
        <v>1</v>
      </c>
      <c r="F47" s="38" t="s">
        <v>246</v>
      </c>
      <c r="G47" s="37"/>
      <c r="H47" s="37" t="n">
        <v>1</v>
      </c>
      <c r="I47" s="41" t="n">
        <v>46277</v>
      </c>
      <c r="J47" s="41" t="n">
        <v>46277</v>
      </c>
      <c r="K47" s="42"/>
      <c r="L47" s="42" t="n">
        <v>46297</v>
      </c>
      <c r="M47" s="43"/>
      <c r="N47" s="44" t="n">
        <v>46297</v>
      </c>
      <c r="O47" s="45" t="n">
        <v>46297</v>
      </c>
      <c r="P47" s="46" t="s">
        <v>60</v>
      </c>
      <c r="Q47" s="37" t="n">
        <v>20</v>
      </c>
      <c r="R47" s="39"/>
      <c r="S47" s="39" t="n">
        <v>1</v>
      </c>
      <c r="T47" s="39" t="s">
        <v>116</v>
      </c>
      <c r="U47" s="39"/>
      <c r="V47" s="47" t="n">
        <v>1</v>
      </c>
      <c r="W47" s="38" t="s">
        <v>80</v>
      </c>
      <c r="X47" s="39" t="s">
        <v>247</v>
      </c>
      <c r="Y47" s="38" t="s">
        <v>248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0.2</v>
      </c>
      <c r="F48" s="52"/>
      <c r="G48" s="52"/>
      <c r="H48" s="52"/>
      <c r="I48" s="53" t="n">
        <v>46277</v>
      </c>
      <c r="J48" s="53" t="n">
        <v>46277</v>
      </c>
      <c r="K48" s="52"/>
      <c r="L48" s="52"/>
      <c r="M48" s="54" t="s">
        <v>252</v>
      </c>
      <c r="N48" s="55" t="n">
        <v>46297</v>
      </c>
      <c r="O48" s="55" t="n">
        <v>46297</v>
      </c>
      <c r="P48" s="50" t="s">
        <v>124</v>
      </c>
      <c r="Q48" s="52" t="n">
        <v>20</v>
      </c>
      <c r="R48" s="52"/>
      <c r="S48" s="52" t="n">
        <v>2</v>
      </c>
      <c r="T48" s="52" t="s">
        <v>125</v>
      </c>
      <c r="U48" s="52"/>
      <c r="V48" s="56" t="n">
        <v>1</v>
      </c>
      <c r="W48" s="50" t="s">
        <v>86</v>
      </c>
      <c r="X48" s="52"/>
      <c r="Y48" s="52" t="s">
        <v>248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122</v>
      </c>
      <c r="E49" s="51" t="n">
        <v>0.4</v>
      </c>
      <c r="F49" s="52"/>
      <c r="G49" s="52"/>
      <c r="H49" s="52"/>
      <c r="I49" s="53" t="n">
        <v>46277</v>
      </c>
      <c r="J49" s="53" t="n">
        <v>46277</v>
      </c>
      <c r="K49" s="52"/>
      <c r="L49" s="52"/>
      <c r="M49" s="54" t="s">
        <v>256</v>
      </c>
      <c r="N49" s="55" t="n">
        <v>46297</v>
      </c>
      <c r="O49" s="55" t="n">
        <v>46297</v>
      </c>
      <c r="P49" s="50" t="s">
        <v>124</v>
      </c>
      <c r="Q49" s="52" t="n">
        <v>20</v>
      </c>
      <c r="R49" s="52"/>
      <c r="S49" s="52" t="n">
        <v>2</v>
      </c>
      <c r="T49" s="52" t="s">
        <v>125</v>
      </c>
      <c r="U49" s="52"/>
      <c r="V49" s="56" t="n">
        <v>1</v>
      </c>
      <c r="W49" s="52" t="s">
        <v>80</v>
      </c>
      <c r="X49" s="52"/>
      <c r="Y49" s="52" t="s">
        <v>248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257</v>
      </c>
      <c r="B50" s="39" t="s">
        <v>258</v>
      </c>
      <c r="C50" s="39"/>
      <c r="D50" s="39" t="s">
        <v>259</v>
      </c>
      <c r="E50" s="40" t="n">
        <v>0</v>
      </c>
      <c r="F50" s="38" t="s">
        <v>244</v>
      </c>
      <c r="G50" s="37" t="n">
        <v>0</v>
      </c>
      <c r="H50" s="58" t="n">
        <v>30</v>
      </c>
      <c r="I50" s="41" t="n">
        <v>46278</v>
      </c>
      <c r="J50" s="41" t="n">
        <v>46307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36</v>
      </c>
      <c r="R50" s="39"/>
      <c r="S50" s="39" t="n">
        <v>1</v>
      </c>
      <c r="T50" s="39" t="s">
        <v>76</v>
      </c>
      <c r="U50" s="57" t="n">
        <v>46314.005</v>
      </c>
      <c r="V50" s="47" t="n">
        <v>0</v>
      </c>
      <c r="W50" s="38" t="s">
        <v>80</v>
      </c>
      <c r="X50" s="39"/>
      <c r="Y50" s="38" t="s">
        <v>248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260</v>
      </c>
      <c r="B51" s="50" t="s">
        <v>261</v>
      </c>
      <c r="C51" s="50" t="s">
        <v>262</v>
      </c>
      <c r="D51" s="52" t="s">
        <v>122</v>
      </c>
      <c r="E51" s="51" t="n">
        <v>0.4</v>
      </c>
      <c r="F51" s="52"/>
      <c r="G51" s="52"/>
      <c r="H51" s="52"/>
      <c r="I51" s="53" t="n">
        <v>46277</v>
      </c>
      <c r="J51" s="53" t="n">
        <v>46277</v>
      </c>
      <c r="K51" s="52"/>
      <c r="L51" s="52"/>
      <c r="M51" s="54" t="s">
        <v>263</v>
      </c>
      <c r="N51" s="55" t="n">
        <v>46297</v>
      </c>
      <c r="O51" s="55" t="n">
        <v>46297</v>
      </c>
      <c r="P51" s="50" t="s">
        <v>124</v>
      </c>
      <c r="Q51" s="52" t="n">
        <v>20</v>
      </c>
      <c r="R51" s="52"/>
      <c r="S51" s="52" t="n">
        <v>2</v>
      </c>
      <c r="T51" s="52" t="s">
        <v>125</v>
      </c>
      <c r="U51" s="52"/>
      <c r="V51" s="56" t="n">
        <v>1</v>
      </c>
      <c r="W51" s="52" t="s">
        <v>80</v>
      </c>
      <c r="X51" s="52"/>
      <c r="Y51" s="52" t="s">
        <v>248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264</v>
      </c>
      <c r="B52" s="38" t="s">
        <v>265</v>
      </c>
      <c r="C52" s="39"/>
      <c r="D52" s="39" t="s">
        <v>114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266</v>
      </c>
      <c r="Q52" s="37"/>
      <c r="R52" s="39"/>
      <c r="S52" s="39" t="n">
        <v>1</v>
      </c>
      <c r="T52" s="39" t="s">
        <v>267</v>
      </c>
      <c r="U52" s="39"/>
      <c r="V52" s="47" t="n">
        <v>0</v>
      </c>
      <c r="W52" s="38" t="s">
        <v>80</v>
      </c>
      <c r="X52" s="39" t="s">
        <v>268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269</v>
      </c>
      <c r="B53" s="50" t="s">
        <v>270</v>
      </c>
      <c r="C53" s="50" t="s">
        <v>271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272</v>
      </c>
      <c r="N53" s="55"/>
      <c r="O53" s="55"/>
      <c r="P53" s="50" t="s">
        <v>266</v>
      </c>
      <c r="Q53" s="52"/>
      <c r="R53" s="52"/>
      <c r="S53" s="52" t="n">
        <v>2</v>
      </c>
      <c r="T53" s="52" t="s">
        <v>267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273</v>
      </c>
      <c r="B54" s="50" t="s">
        <v>274</v>
      </c>
      <c r="C54" s="50" t="s">
        <v>275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276</v>
      </c>
      <c r="N54" s="55"/>
      <c r="O54" s="55"/>
      <c r="P54" s="50" t="s">
        <v>266</v>
      </c>
      <c r="Q54" s="52"/>
      <c r="R54" s="52"/>
      <c r="S54" s="52" t="n">
        <v>2</v>
      </c>
      <c r="T54" s="52" t="s">
        <v>267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277</v>
      </c>
      <c r="B55" s="39" t="s">
        <v>278</v>
      </c>
      <c r="C55" s="39"/>
      <c r="D55" s="39" t="s">
        <v>114</v>
      </c>
      <c r="E55" s="40" t="n">
        <v>1</v>
      </c>
      <c r="F55" s="38" t="s">
        <v>246</v>
      </c>
      <c r="G55" s="37"/>
      <c r="H55" s="37" t="n">
        <v>1</v>
      </c>
      <c r="I55" s="41" t="n">
        <v>46277</v>
      </c>
      <c r="J55" s="41" t="n">
        <v>46277</v>
      </c>
      <c r="K55" s="42"/>
      <c r="L55" s="42"/>
      <c r="M55" s="43"/>
      <c r="N55" s="44" t="n">
        <v>46371</v>
      </c>
      <c r="O55" s="45" t="n">
        <v>46371</v>
      </c>
      <c r="P55" s="46" t="s">
        <v>105</v>
      </c>
      <c r="Q55" s="37" t="n">
        <v>94</v>
      </c>
      <c r="R55" s="39"/>
      <c r="S55" s="39" t="n">
        <v>1</v>
      </c>
      <c r="T55" s="39" t="s">
        <v>106</v>
      </c>
      <c r="U55" s="57" t="n">
        <v>46371.0055</v>
      </c>
      <c r="V55" s="47" t="n">
        <v>0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114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266</v>
      </c>
      <c r="Q56" s="37"/>
      <c r="R56" s="39"/>
      <c r="S56" s="39" t="n">
        <v>1</v>
      </c>
      <c r="T56" s="39" t="s">
        <v>267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283</v>
      </c>
      <c r="C57" s="39"/>
      <c r="D57" s="39" t="s">
        <v>284</v>
      </c>
      <c r="E57" s="40" t="n">
        <v>0</v>
      </c>
      <c r="F57" s="38" t="s">
        <v>246</v>
      </c>
      <c r="G57" s="37"/>
      <c r="H57" s="37" t="n">
        <v>21</v>
      </c>
      <c r="I57" s="41" t="n">
        <v>46278</v>
      </c>
      <c r="J57" s="41" t="n">
        <v>46298</v>
      </c>
      <c r="K57" s="42"/>
      <c r="L57" s="42"/>
      <c r="M57" s="43"/>
      <c r="N57" s="44" t="n">
        <v>46374</v>
      </c>
      <c r="O57" s="45" t="n">
        <v>46394</v>
      </c>
      <c r="P57" s="46" t="s">
        <v>105</v>
      </c>
      <c r="Q57" s="37" t="n">
        <v>96</v>
      </c>
      <c r="R57" s="39"/>
      <c r="S57" s="39" t="n">
        <v>1</v>
      </c>
      <c r="T57" s="39" t="s">
        <v>106</v>
      </c>
      <c r="U57" s="57" t="n">
        <v>46374.0057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114</v>
      </c>
      <c r="E58" s="40" t="n">
        <v>0</v>
      </c>
      <c r="F58" s="38" t="s">
        <v>246</v>
      </c>
      <c r="G58" s="37"/>
      <c r="H58" s="58" t="n">
        <v>7</v>
      </c>
      <c r="I58" s="41" t="n">
        <v>46299</v>
      </c>
      <c r="J58" s="41" t="n">
        <v>46305</v>
      </c>
      <c r="K58" s="42"/>
      <c r="L58" s="42"/>
      <c r="M58" s="43"/>
      <c r="N58" s="44" t="n">
        <v>46395</v>
      </c>
      <c r="O58" s="45" t="n">
        <v>46401</v>
      </c>
      <c r="P58" s="46" t="s">
        <v>105</v>
      </c>
      <c r="Q58" s="37" t="n">
        <v>96</v>
      </c>
      <c r="R58" s="39"/>
      <c r="S58" s="39" t="n">
        <v>1</v>
      </c>
      <c r="T58" s="39" t="s">
        <v>106</v>
      </c>
      <c r="U58" s="57" t="n">
        <v>46395.0058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114</v>
      </c>
      <c r="E59" s="40" t="n">
        <v>0</v>
      </c>
      <c r="F59" s="38" t="s">
        <v>246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/>
      <c r="N59" s="44" t="n">
        <v>46447</v>
      </c>
      <c r="O59" s="45" t="n">
        <v>46447</v>
      </c>
      <c r="P59" s="46" t="s">
        <v>105</v>
      </c>
      <c r="Q59" s="37" t="n">
        <v>141</v>
      </c>
      <c r="R59" s="39"/>
      <c r="S59" s="39" t="n">
        <v>1</v>
      </c>
      <c r="T59" s="39" t="s">
        <v>106</v>
      </c>
      <c r="U59" s="57" t="n">
        <v>46447.0059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46452</v>
      </c>
      <c r="O60" s="60" t="n">
        <v>46493</v>
      </c>
      <c r="P60" s="46" t="s">
        <v>105</v>
      </c>
      <c r="Q60" s="37" t="n">
        <v>171</v>
      </c>
      <c r="R60" s="39"/>
      <c r="S60" s="39" t="n">
        <v>1</v>
      </c>
      <c r="T60" s="39" t="s">
        <v>106</v>
      </c>
      <c r="U60" s="57" t="n">
        <v>46452.006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46325</v>
      </c>
      <c r="O61" s="33" t="n">
        <v>46364</v>
      </c>
      <c r="P61" s="34" t="s">
        <v>105</v>
      </c>
      <c r="Q61" s="31" t="n">
        <v>88</v>
      </c>
      <c r="R61" s="31"/>
      <c r="S61" s="31" t="n">
        <v>0</v>
      </c>
      <c r="T61" s="31" t="s">
        <v>106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27</v>
      </c>
      <c r="I62" s="41" t="n">
        <v>46247</v>
      </c>
      <c r="J62" s="41" t="n">
        <v>46264</v>
      </c>
      <c r="K62" s="42"/>
      <c r="L62" s="42"/>
      <c r="M62" s="43"/>
      <c r="N62" s="44" t="n">
        <v>46325</v>
      </c>
      <c r="O62" s="45" t="n">
        <v>46351</v>
      </c>
      <c r="P62" s="46" t="s">
        <v>105</v>
      </c>
      <c r="Q62" s="37" t="n">
        <v>87</v>
      </c>
      <c r="R62" s="39"/>
      <c r="S62" s="39" t="n">
        <v>1</v>
      </c>
      <c r="T62" s="39" t="s">
        <v>106</v>
      </c>
      <c r="U62" s="57" t="n">
        <v>46325.0062</v>
      </c>
      <c r="V62" s="47" t="n">
        <v>0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305</v>
      </c>
      <c r="N63" s="55" t="n">
        <v>46325</v>
      </c>
      <c r="O63" s="55" t="n">
        <v>46328</v>
      </c>
      <c r="P63" s="50" t="s">
        <v>105</v>
      </c>
      <c r="Q63" s="52" t="n">
        <v>79</v>
      </c>
      <c r="R63" s="52"/>
      <c r="S63" s="52" t="n">
        <v>2</v>
      </c>
      <c r="T63" s="52" t="s">
        <v>106</v>
      </c>
      <c r="U63" s="52"/>
      <c r="V63" s="56" t="n">
        <v>0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309</v>
      </c>
      <c r="N64" s="55" t="n">
        <v>46325</v>
      </c>
      <c r="O64" s="55" t="n">
        <v>46330</v>
      </c>
      <c r="P64" s="50" t="s">
        <v>105</v>
      </c>
      <c r="Q64" s="52" t="n">
        <v>80</v>
      </c>
      <c r="R64" s="52"/>
      <c r="S64" s="52" t="n">
        <v>2</v>
      </c>
      <c r="T64" s="52" t="s">
        <v>106</v>
      </c>
      <c r="U64" s="52"/>
      <c r="V64" s="56" t="n">
        <v>0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313</v>
      </c>
      <c r="N65" s="55" t="n">
        <v>46328</v>
      </c>
      <c r="O65" s="55" t="n">
        <v>46338</v>
      </c>
      <c r="P65" s="50" t="s">
        <v>105</v>
      </c>
      <c r="Q65" s="52" t="n">
        <v>83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317</v>
      </c>
      <c r="N66" s="55" t="n">
        <v>46335</v>
      </c>
      <c r="O66" s="55" t="n">
        <v>46347</v>
      </c>
      <c r="P66" s="50" t="s">
        <v>105</v>
      </c>
      <c r="Q66" s="52" t="n">
        <v>86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321</v>
      </c>
      <c r="N67" s="55" t="n">
        <v>46341</v>
      </c>
      <c r="O67" s="55" t="n">
        <v>46350</v>
      </c>
      <c r="P67" s="50" t="s">
        <v>105</v>
      </c>
      <c r="Q67" s="52" t="n">
        <v>87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325</v>
      </c>
      <c r="N68" s="55" t="n">
        <v>46346</v>
      </c>
      <c r="O68" s="55" t="n">
        <v>46351</v>
      </c>
      <c r="P68" s="50" t="s">
        <v>105</v>
      </c>
      <c r="Q68" s="52" t="n">
        <v>87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329</v>
      </c>
      <c r="N69" s="55" t="n">
        <v>46350</v>
      </c>
      <c r="O69" s="55" t="n">
        <v>46351</v>
      </c>
      <c r="P69" s="50" t="s">
        <v>105</v>
      </c>
      <c r="Q69" s="52" t="n">
        <v>87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/>
      <c r="N70" s="44" t="n">
        <v>46358</v>
      </c>
      <c r="O70" s="45" t="n">
        <v>46361</v>
      </c>
      <c r="P70" s="46" t="s">
        <v>105</v>
      </c>
      <c r="Q70" s="37" t="n">
        <v>87</v>
      </c>
      <c r="R70" s="39"/>
      <c r="S70" s="39" t="n">
        <v>1</v>
      </c>
      <c r="T70" s="39" t="s">
        <v>106</v>
      </c>
      <c r="U70" s="57" t="n">
        <v>46358.007</v>
      </c>
      <c r="V70" s="47" t="n">
        <v>0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337</v>
      </c>
      <c r="N71" s="55" t="n">
        <v>46358</v>
      </c>
      <c r="O71" s="55" t="n">
        <v>46359</v>
      </c>
      <c r="P71" s="50" t="s">
        <v>105</v>
      </c>
      <c r="Q71" s="52" t="n">
        <v>90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341</v>
      </c>
      <c r="N72" s="55" t="n">
        <v>46359</v>
      </c>
      <c r="O72" s="55" t="n">
        <v>46360</v>
      </c>
      <c r="P72" s="50" t="s">
        <v>105</v>
      </c>
      <c r="Q72" s="52" t="n">
        <v>88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345</v>
      </c>
      <c r="N73" s="55" t="n">
        <v>46359</v>
      </c>
      <c r="O73" s="55" t="n">
        <v>46360</v>
      </c>
      <c r="P73" s="50" t="s">
        <v>105</v>
      </c>
      <c r="Q73" s="52" t="n">
        <v>88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349</v>
      </c>
      <c r="N74" s="55" t="n">
        <v>46360</v>
      </c>
      <c r="O74" s="55" t="n">
        <v>46361</v>
      </c>
      <c r="P74" s="50" t="s">
        <v>105</v>
      </c>
      <c r="Q74" s="52" t="n">
        <v>87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353</v>
      </c>
      <c r="N75" s="55" t="n">
        <v>46360</v>
      </c>
      <c r="O75" s="55" t="n">
        <v>46361</v>
      </c>
      <c r="P75" s="50" t="s">
        <v>105</v>
      </c>
      <c r="Q75" s="52" t="n">
        <v>87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11</v>
      </c>
      <c r="I76" s="41" t="n">
        <v>46265</v>
      </c>
      <c r="J76" s="41" t="n">
        <v>46274</v>
      </c>
      <c r="K76" s="42"/>
      <c r="L76" s="42"/>
      <c r="M76" s="43"/>
      <c r="N76" s="44" t="n">
        <v>46352</v>
      </c>
      <c r="O76" s="45" t="n">
        <v>46362</v>
      </c>
      <c r="P76" s="46" t="s">
        <v>105</v>
      </c>
      <c r="Q76" s="37" t="n">
        <v>88</v>
      </c>
      <c r="R76" s="39"/>
      <c r="S76" s="39" t="n">
        <v>1</v>
      </c>
      <c r="T76" s="39" t="s">
        <v>106</v>
      </c>
      <c r="U76" s="57" t="n">
        <v>46352.0076</v>
      </c>
      <c r="V76" s="47" t="n">
        <v>0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361</v>
      </c>
      <c r="N77" s="55" t="n">
        <v>46352</v>
      </c>
      <c r="O77" s="55" t="n">
        <v>46355</v>
      </c>
      <c r="P77" s="50" t="s">
        <v>105</v>
      </c>
      <c r="Q77" s="52" t="n">
        <v>87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365</v>
      </c>
      <c r="N78" s="55" t="n">
        <v>46353</v>
      </c>
      <c r="O78" s="55" t="n">
        <v>46361</v>
      </c>
      <c r="P78" s="50" t="s">
        <v>105</v>
      </c>
      <c r="Q78" s="52" t="n">
        <v>88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369</v>
      </c>
      <c r="N79" s="55" t="n">
        <v>46356</v>
      </c>
      <c r="O79" s="55" t="n">
        <v>46362</v>
      </c>
      <c r="P79" s="50" t="s">
        <v>105</v>
      </c>
      <c r="Q79" s="52" t="n">
        <v>88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373</v>
      </c>
      <c r="N80" s="55" t="n">
        <v>46360</v>
      </c>
      <c r="O80" s="55" t="n">
        <v>46362</v>
      </c>
      <c r="P80" s="50" t="s">
        <v>105</v>
      </c>
      <c r="Q80" s="52" t="n">
        <v>88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377</v>
      </c>
      <c r="N81" s="55" t="n">
        <v>46362</v>
      </c>
      <c r="O81" s="55" t="n">
        <v>46362</v>
      </c>
      <c r="P81" s="50" t="s">
        <v>105</v>
      </c>
      <c r="Q81" s="52" t="n">
        <v>88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/>
      <c r="N82" s="44" t="n">
        <v>46360</v>
      </c>
      <c r="O82" s="45" t="n">
        <v>46362</v>
      </c>
      <c r="P82" s="46" t="s">
        <v>105</v>
      </c>
      <c r="Q82" s="37" t="n">
        <v>91</v>
      </c>
      <c r="R82" s="39"/>
      <c r="S82" s="39" t="n">
        <v>1</v>
      </c>
      <c r="T82" s="39" t="s">
        <v>106</v>
      </c>
      <c r="U82" s="57" t="n">
        <v>46360.0082</v>
      </c>
      <c r="V82" s="47" t="n">
        <v>0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385</v>
      </c>
      <c r="N83" s="55" t="n">
        <v>46360</v>
      </c>
      <c r="O83" s="55" t="n">
        <v>46361</v>
      </c>
      <c r="P83" s="50" t="s">
        <v>105</v>
      </c>
      <c r="Q83" s="52" t="n">
        <v>91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389</v>
      </c>
      <c r="N84" s="55" t="n">
        <v>46361</v>
      </c>
      <c r="O84" s="55" t="n">
        <v>46362</v>
      </c>
      <c r="P84" s="50" t="s">
        <v>105</v>
      </c>
      <c r="Q84" s="52" t="n">
        <v>91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/>
      <c r="N85" s="44" t="n">
        <v>46358</v>
      </c>
      <c r="O85" s="45" t="n">
        <v>46361</v>
      </c>
      <c r="P85" s="46" t="s">
        <v>105</v>
      </c>
      <c r="Q85" s="37" t="n">
        <v>89</v>
      </c>
      <c r="R85" s="39"/>
      <c r="S85" s="39" t="n">
        <v>1</v>
      </c>
      <c r="T85" s="39" t="s">
        <v>106</v>
      </c>
      <c r="U85" s="57" t="n">
        <v>46358.0085</v>
      </c>
      <c r="V85" s="47" t="n">
        <v>0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397</v>
      </c>
      <c r="N86" s="55" t="n">
        <v>46358</v>
      </c>
      <c r="O86" s="55" t="n">
        <v>46360</v>
      </c>
      <c r="P86" s="50" t="s">
        <v>105</v>
      </c>
      <c r="Q86" s="52" t="n">
        <v>92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401</v>
      </c>
      <c r="N87" s="55" t="n">
        <v>46359</v>
      </c>
      <c r="O87" s="55" t="n">
        <v>46361</v>
      </c>
      <c r="P87" s="50" t="s">
        <v>105</v>
      </c>
      <c r="Q87" s="52" t="n">
        <v>90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405</v>
      </c>
      <c r="N88" s="55" t="n">
        <v>46360</v>
      </c>
      <c r="O88" s="55" t="n">
        <v>46361</v>
      </c>
      <c r="P88" s="50" t="s">
        <v>105</v>
      </c>
      <c r="Q88" s="52" t="n">
        <v>89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409</v>
      </c>
      <c r="N89" s="55" t="n">
        <v>46361</v>
      </c>
      <c r="O89" s="55" t="n">
        <v>46361</v>
      </c>
      <c r="P89" s="50" t="s">
        <v>105</v>
      </c>
      <c r="Q89" s="52" t="n">
        <v>89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/>
      <c r="N90" s="44" t="n">
        <v>46359</v>
      </c>
      <c r="O90" s="45" t="n">
        <v>46362</v>
      </c>
      <c r="P90" s="46" t="s">
        <v>105</v>
      </c>
      <c r="Q90" s="37" t="n">
        <v>89</v>
      </c>
      <c r="R90" s="39"/>
      <c r="S90" s="39" t="n">
        <v>1</v>
      </c>
      <c r="T90" s="39" t="s">
        <v>106</v>
      </c>
      <c r="U90" s="57" t="n">
        <v>46359.009</v>
      </c>
      <c r="V90" s="47" t="n">
        <v>0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418</v>
      </c>
      <c r="N91" s="55" t="n">
        <v>46359</v>
      </c>
      <c r="O91" s="55" t="n">
        <v>46361</v>
      </c>
      <c r="P91" s="50" t="s">
        <v>105</v>
      </c>
      <c r="Q91" s="52" t="n">
        <v>92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422</v>
      </c>
      <c r="N92" s="55" t="n">
        <v>46361</v>
      </c>
      <c r="O92" s="55" t="n">
        <v>46362</v>
      </c>
      <c r="P92" s="50" t="s">
        <v>105</v>
      </c>
      <c r="Q92" s="52" t="n">
        <v>89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426</v>
      </c>
      <c r="N93" s="55" t="n">
        <v>46359</v>
      </c>
      <c r="O93" s="55" t="n">
        <v>46361</v>
      </c>
      <c r="P93" s="50" t="s">
        <v>105</v>
      </c>
      <c r="Q93" s="52" t="n">
        <v>93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430</v>
      </c>
      <c r="N94" s="55" t="n">
        <v>46361</v>
      </c>
      <c r="O94" s="55" t="n">
        <v>46362</v>
      </c>
      <c r="P94" s="50" t="s">
        <v>105</v>
      </c>
      <c r="Q94" s="52" t="n">
        <v>89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434</v>
      </c>
      <c r="N95" s="55" t="n">
        <v>46362</v>
      </c>
      <c r="O95" s="55" t="n">
        <v>46362</v>
      </c>
      <c r="P95" s="50" t="s">
        <v>105</v>
      </c>
      <c r="Q95" s="52" t="n">
        <v>89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/>
      <c r="N96" s="44" t="n">
        <v>46360</v>
      </c>
      <c r="O96" s="45" t="n">
        <v>46362</v>
      </c>
      <c r="P96" s="46" t="s">
        <v>105</v>
      </c>
      <c r="Q96" s="37" t="n">
        <v>89</v>
      </c>
      <c r="R96" s="39"/>
      <c r="S96" s="39" t="n">
        <v>1</v>
      </c>
      <c r="T96" s="39" t="s">
        <v>106</v>
      </c>
      <c r="U96" s="57" t="n">
        <v>46360.0096</v>
      </c>
      <c r="V96" s="47" t="n">
        <v>0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441</v>
      </c>
      <c r="N97" s="55" t="n">
        <v>46360</v>
      </c>
      <c r="O97" s="55" t="n">
        <v>46362</v>
      </c>
      <c r="P97" s="50" t="s">
        <v>105</v>
      </c>
      <c r="Q97" s="52" t="n">
        <v>90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445</v>
      </c>
      <c r="N98" s="55" t="n">
        <v>46361</v>
      </c>
      <c r="O98" s="55" t="n">
        <v>46362</v>
      </c>
      <c r="P98" s="50" t="s">
        <v>105</v>
      </c>
      <c r="Q98" s="52" t="n">
        <v>89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449</v>
      </c>
      <c r="N99" s="55" t="n">
        <v>46362</v>
      </c>
      <c r="O99" s="55" t="n">
        <v>46362</v>
      </c>
      <c r="P99" s="50" t="s">
        <v>105</v>
      </c>
      <c r="Q99" s="52" t="n">
        <v>89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/>
      <c r="N100" s="44" t="n">
        <v>46361</v>
      </c>
      <c r="O100" s="45" t="n">
        <v>46363</v>
      </c>
      <c r="P100" s="46" t="s">
        <v>105</v>
      </c>
      <c r="Q100" s="37" t="n">
        <v>89</v>
      </c>
      <c r="R100" s="39"/>
      <c r="S100" s="39" t="n">
        <v>1</v>
      </c>
      <c r="T100" s="39" t="s">
        <v>106</v>
      </c>
      <c r="U100" s="57" t="n">
        <v>46361.01</v>
      </c>
      <c r="V100" s="47" t="n">
        <v>0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46269</v>
      </c>
      <c r="J101" s="53" t="n">
        <v>46270</v>
      </c>
      <c r="K101" s="52"/>
      <c r="L101" s="52"/>
      <c r="M101" s="61"/>
      <c r="N101" s="55" t="n">
        <v>46361</v>
      </c>
      <c r="O101" s="55" t="n">
        <v>46361</v>
      </c>
      <c r="P101" s="50" t="s">
        <v>105</v>
      </c>
      <c r="Q101" s="52" t="n">
        <v>91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 t="s">
        <v>414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46270</v>
      </c>
      <c r="J102" s="53" t="n">
        <v>46273</v>
      </c>
      <c r="K102" s="52"/>
      <c r="L102" s="52"/>
      <c r="M102" s="54" t="s">
        <v>460</v>
      </c>
      <c r="N102" s="55" t="n">
        <v>46361</v>
      </c>
      <c r="O102" s="55" t="n">
        <v>46362</v>
      </c>
      <c r="P102" s="50" t="s">
        <v>105</v>
      </c>
      <c r="Q102" s="52" t="n">
        <v>89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 t="s">
        <v>414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464</v>
      </c>
      <c r="Q103" s="52"/>
      <c r="R103" s="52"/>
      <c r="S103" s="52" t="n">
        <v>2</v>
      </c>
      <c r="T103" s="52" t="s">
        <v>465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466</v>
      </c>
      <c r="B104" s="50" t="s">
        <v>467</v>
      </c>
      <c r="C104" s="50" t="s">
        <v>468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469</v>
      </c>
      <c r="N104" s="55" t="n">
        <v>46362</v>
      </c>
      <c r="O104" s="55" t="n">
        <v>46363</v>
      </c>
      <c r="P104" s="50" t="s">
        <v>105</v>
      </c>
      <c r="Q104" s="52" t="n">
        <v>90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470</v>
      </c>
      <c r="B105" s="50" t="s">
        <v>471</v>
      </c>
      <c r="C105" s="50" t="s">
        <v>472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473</v>
      </c>
      <c r="N105" s="55" t="n">
        <v>46362</v>
      </c>
      <c r="O105" s="55" t="n">
        <v>46363</v>
      </c>
      <c r="P105" s="50" t="s">
        <v>105</v>
      </c>
      <c r="Q105" s="52" t="n">
        <v>89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474</v>
      </c>
      <c r="B106" s="52" t="s">
        <v>475</v>
      </c>
      <c r="C106" s="50" t="s">
        <v>476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477</v>
      </c>
      <c r="N106" s="55" t="n">
        <v>46363</v>
      </c>
      <c r="O106" s="55" t="n">
        <v>46363</v>
      </c>
      <c r="P106" s="50" t="s">
        <v>105</v>
      </c>
      <c r="Q106" s="52" t="n">
        <v>89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478</v>
      </c>
      <c r="B107" s="39" t="s">
        <v>479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/>
      <c r="N107" s="44" t="n">
        <v>46362</v>
      </c>
      <c r="O107" s="45" t="n">
        <v>46363</v>
      </c>
      <c r="P107" s="46" t="s">
        <v>105</v>
      </c>
      <c r="Q107" s="37" t="n">
        <v>88</v>
      </c>
      <c r="R107" s="39"/>
      <c r="S107" s="39" t="n">
        <v>1</v>
      </c>
      <c r="T107" s="39" t="s">
        <v>106</v>
      </c>
      <c r="U107" s="57" t="n">
        <v>46362.0107</v>
      </c>
      <c r="V107" s="47" t="n">
        <v>0</v>
      </c>
      <c r="W107" s="39" t="s">
        <v>86</v>
      </c>
      <c r="X107" s="39" t="s">
        <v>480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481</v>
      </c>
      <c r="B108" s="52" t="s">
        <v>482</v>
      </c>
      <c r="C108" s="52" t="s">
        <v>483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484</v>
      </c>
      <c r="N108" s="55" t="n">
        <v>46362</v>
      </c>
      <c r="O108" s="55" t="n">
        <v>46363</v>
      </c>
      <c r="P108" s="50" t="s">
        <v>105</v>
      </c>
      <c r="Q108" s="52" t="n">
        <v>89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485</v>
      </c>
      <c r="B109" s="50" t="s">
        <v>486</v>
      </c>
      <c r="C109" s="50" t="s">
        <v>487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488</v>
      </c>
      <c r="N109" s="55" t="n">
        <v>46363</v>
      </c>
      <c r="O109" s="55" t="n">
        <v>46363</v>
      </c>
      <c r="P109" s="50" t="s">
        <v>105</v>
      </c>
      <c r="Q109" s="52" t="n">
        <v>88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489</v>
      </c>
      <c r="B110" s="52" t="s">
        <v>490</v>
      </c>
      <c r="C110" s="50" t="s">
        <v>491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492</v>
      </c>
      <c r="N110" s="55" t="n">
        <v>46362</v>
      </c>
      <c r="O110" s="55" t="n">
        <v>46363</v>
      </c>
      <c r="P110" s="50" t="s">
        <v>105</v>
      </c>
      <c r="Q110" s="52" t="n">
        <v>89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493</v>
      </c>
      <c r="B111" s="39" t="s">
        <v>494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/>
      <c r="M111" s="43"/>
      <c r="N111" s="44" t="n">
        <v>46364</v>
      </c>
      <c r="O111" s="45" t="n">
        <v>46364</v>
      </c>
      <c r="P111" s="46" t="s">
        <v>105</v>
      </c>
      <c r="Q111" s="37" t="n">
        <v>88</v>
      </c>
      <c r="R111" s="39"/>
      <c r="S111" s="39" t="n">
        <v>1</v>
      </c>
      <c r="T111" s="39" t="s">
        <v>106</v>
      </c>
      <c r="U111" s="57" t="n">
        <v>46364.0111</v>
      </c>
      <c r="V111" s="47" t="n">
        <v>0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500</v>
      </c>
      <c r="N112" s="55" t="n">
        <v>46364</v>
      </c>
      <c r="O112" s="55" t="n">
        <v>46364</v>
      </c>
      <c r="P112" s="50" t="s">
        <v>105</v>
      </c>
      <c r="Q112" s="52" t="n">
        <v>88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504</v>
      </c>
      <c r="N113" s="55" t="n">
        <v>46364</v>
      </c>
      <c r="O113" s="55" t="n">
        <v>46364</v>
      </c>
      <c r="P113" s="50" t="s">
        <v>105</v>
      </c>
      <c r="Q113" s="52" t="n">
        <v>88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46273</v>
      </c>
      <c r="O114" s="33" t="n">
        <v>46512</v>
      </c>
      <c r="P114" s="34" t="s">
        <v>75</v>
      </c>
      <c r="Q114" s="31" t="n">
        <v>173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508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/>
      <c r="M115" s="43"/>
      <c r="N115" s="44" t="n">
        <v>46444</v>
      </c>
      <c r="O115" s="45" t="n">
        <v>46444</v>
      </c>
      <c r="P115" s="46" t="s">
        <v>105</v>
      </c>
      <c r="Q115" s="37" t="n">
        <v>165</v>
      </c>
      <c r="R115" s="39"/>
      <c r="S115" s="39" t="n">
        <v>1</v>
      </c>
      <c r="T115" s="39" t="s">
        <v>106</v>
      </c>
      <c r="U115" s="57" t="n">
        <v>46444.0115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514</v>
      </c>
      <c r="N116" s="55" t="n">
        <v>46444</v>
      </c>
      <c r="O116" s="55" t="n">
        <v>46444</v>
      </c>
      <c r="P116" s="50" t="s">
        <v>105</v>
      </c>
      <c r="Q116" s="52" t="n">
        <v>167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518</v>
      </c>
      <c r="N117" s="55" t="n">
        <v>46444</v>
      </c>
      <c r="O117" s="55" t="n">
        <v>46444</v>
      </c>
      <c r="P117" s="50" t="s">
        <v>105</v>
      </c>
      <c r="Q117" s="52" t="n">
        <v>166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522</v>
      </c>
      <c r="N118" s="55" t="n">
        <v>46444</v>
      </c>
      <c r="O118" s="55" t="n">
        <v>46444</v>
      </c>
      <c r="P118" s="50" t="s">
        <v>105</v>
      </c>
      <c r="Q118" s="52" t="n">
        <v>166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526</v>
      </c>
      <c r="N119" s="55" t="n">
        <v>46444</v>
      </c>
      <c r="O119" s="55" t="n">
        <v>46444</v>
      </c>
      <c r="P119" s="50" t="s">
        <v>105</v>
      </c>
      <c r="Q119" s="52" t="n">
        <v>166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530</v>
      </c>
      <c r="N120" s="55" t="n">
        <v>46444</v>
      </c>
      <c r="O120" s="55" t="n">
        <v>46444</v>
      </c>
      <c r="P120" s="50" t="s">
        <v>105</v>
      </c>
      <c r="Q120" s="52" t="n">
        <v>165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534</v>
      </c>
      <c r="N121" s="55" t="n">
        <v>46444</v>
      </c>
      <c r="O121" s="55" t="n">
        <v>46444</v>
      </c>
      <c r="P121" s="50" t="s">
        <v>105</v>
      </c>
      <c r="Q121" s="52" t="n">
        <v>165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/>
      <c r="M122" s="43"/>
      <c r="N122" s="44" t="n">
        <v>46399</v>
      </c>
      <c r="O122" s="45" t="n">
        <v>46399</v>
      </c>
      <c r="P122" s="46" t="s">
        <v>105</v>
      </c>
      <c r="Q122" s="37" t="n">
        <v>120</v>
      </c>
      <c r="R122" s="39"/>
      <c r="S122" s="39" t="n">
        <v>1</v>
      </c>
      <c r="T122" s="39" t="s">
        <v>106</v>
      </c>
      <c r="U122" s="57" t="n">
        <v>46399.0122</v>
      </c>
      <c r="V122" s="47" t="n">
        <v>0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9" t="s">
        <v>540</v>
      </c>
      <c r="D123" s="39" t="s">
        <v>79</v>
      </c>
      <c r="E123" s="40" t="n">
        <v>0</v>
      </c>
      <c r="F123" s="38" t="s">
        <v>493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-1</v>
      </c>
      <c r="R123" s="39"/>
      <c r="S123" s="39" t="n">
        <v>1</v>
      </c>
      <c r="T123" s="39" t="s">
        <v>116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8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46497</v>
      </c>
      <c r="O124" s="45" t="n">
        <v>46512</v>
      </c>
      <c r="P124" s="46" t="s">
        <v>105</v>
      </c>
      <c r="Q124" s="37" t="n">
        <v>173</v>
      </c>
      <c r="R124" s="39"/>
      <c r="S124" s="39" t="n">
        <v>1</v>
      </c>
      <c r="T124" s="39" t="s">
        <v>106</v>
      </c>
      <c r="U124" s="57" t="n">
        <v>46497.0124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549</v>
      </c>
      <c r="N125" s="55" t="n">
        <v>46497</v>
      </c>
      <c r="O125" s="55" t="n">
        <v>46502</v>
      </c>
      <c r="P125" s="50" t="s">
        <v>105</v>
      </c>
      <c r="Q125" s="52" t="n">
        <v>172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553</v>
      </c>
      <c r="N126" s="55" t="n">
        <v>46500</v>
      </c>
      <c r="O126" s="55" t="n">
        <v>46509</v>
      </c>
      <c r="P126" s="50" t="s">
        <v>105</v>
      </c>
      <c r="Q126" s="52" t="n">
        <v>173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557</v>
      </c>
      <c r="N127" s="55" t="n">
        <v>46509</v>
      </c>
      <c r="O127" s="55" t="n">
        <v>46512</v>
      </c>
      <c r="P127" s="50" t="s">
        <v>105</v>
      </c>
      <c r="Q127" s="52" t="n">
        <v>173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/>
      <c r="M128" s="43"/>
      <c r="N128" s="44" t="n">
        <v>46454</v>
      </c>
      <c r="O128" s="45" t="n">
        <v>46454</v>
      </c>
      <c r="P128" s="46" t="s">
        <v>105</v>
      </c>
      <c r="Q128" s="37" t="n">
        <v>165</v>
      </c>
      <c r="R128" s="39"/>
      <c r="S128" s="39" t="n">
        <v>1</v>
      </c>
      <c r="T128" s="39" t="s">
        <v>106</v>
      </c>
      <c r="U128" s="57" t="n">
        <v>46454.0128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 t="s">
        <v>563</v>
      </c>
      <c r="D129" s="39" t="s">
        <v>114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 t="s">
        <v>229</v>
      </c>
      <c r="N129" s="44" t="n">
        <v>46289</v>
      </c>
      <c r="O129" s="45" t="n">
        <v>46289</v>
      </c>
      <c r="P129" s="46" t="s">
        <v>230</v>
      </c>
      <c r="Q129" s="37" t="n">
        <v>0</v>
      </c>
      <c r="R129" s="39"/>
      <c r="S129" s="39" t="n">
        <v>1</v>
      </c>
      <c r="T129" s="39" t="s">
        <v>125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564</v>
      </c>
      <c r="B130" s="38" t="s">
        <v>565</v>
      </c>
      <c r="C130" s="39"/>
      <c r="D130" s="39" t="s">
        <v>114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46455</v>
      </c>
      <c r="O130" s="45" t="n">
        <v>46461</v>
      </c>
      <c r="P130" s="46" t="s">
        <v>105</v>
      </c>
      <c r="Q130" s="37" t="n">
        <v>172</v>
      </c>
      <c r="R130" s="39"/>
      <c r="S130" s="39" t="n">
        <v>1</v>
      </c>
      <c r="T130" s="39" t="s">
        <v>106</v>
      </c>
      <c r="U130" s="57" t="n">
        <v>46455.013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566</v>
      </c>
      <c r="B131" s="39" t="s">
        <v>567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8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46494</v>
      </c>
      <c r="O131" s="45" t="n">
        <v>46496</v>
      </c>
      <c r="P131" s="46" t="s">
        <v>105</v>
      </c>
      <c r="Q131" s="37" t="n">
        <v>171</v>
      </c>
      <c r="R131" s="39"/>
      <c r="S131" s="39" t="n">
        <v>1</v>
      </c>
      <c r="T131" s="39" t="s">
        <v>106</v>
      </c>
      <c r="U131" s="57" t="n">
        <v>46494.0131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568</v>
      </c>
      <c r="D134" s="6" t="s">
        <v>569</v>
      </c>
    </row>
    <row r="135" customFormat="false" ht="15" hidden="false" customHeight="true" outlineLevel="0" collapsed="false">
      <c r="B135" s="63" t="s">
        <v>570</v>
      </c>
      <c r="D135" s="63" t="s">
        <v>571</v>
      </c>
      <c r="E135" s="63" t="s">
        <v>572</v>
      </c>
      <c r="I135" s="64" t="s">
        <v>573</v>
      </c>
      <c r="J135" s="64" t="s">
        <v>574</v>
      </c>
      <c r="K135" s="64" t="s">
        <v>575</v>
      </c>
      <c r="L135" s="64" t="s">
        <v>576</v>
      </c>
      <c r="O135" s="63" t="s">
        <v>577</v>
      </c>
      <c r="P135" s="63" t="s">
        <v>578</v>
      </c>
    </row>
    <row r="136" customFormat="false" ht="15" hidden="false" customHeight="true" outlineLevel="0" collapsed="false">
      <c r="B136" s="65" t="s">
        <v>579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580</v>
      </c>
    </row>
    <row r="137" customFormat="false" ht="15" hidden="false" customHeight="true" outlineLevel="0" collapsed="false">
      <c r="B137" s="65" t="s">
        <v>581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582</v>
      </c>
    </row>
    <row r="138" customFormat="false" ht="15" hidden="false" customHeight="true" outlineLevel="0" collapsed="false">
      <c r="B138" s="65" t="s">
        <v>583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584</v>
      </c>
    </row>
    <row r="139" customFormat="false" ht="15" hidden="false" customHeight="true" outlineLevel="0" collapsed="false">
      <c r="B139" s="65" t="s">
        <v>585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586</v>
      </c>
    </row>
    <row r="140" customFormat="false" ht="15" hidden="false" customHeight="true" outlineLevel="0" collapsed="false">
      <c r="B140" s="65" t="s">
        <v>587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588</v>
      </c>
    </row>
    <row r="141" customFormat="false" ht="15" hidden="false" customHeight="true" outlineLevel="0" collapsed="false">
      <c r="B141" s="70" t="s">
        <v>589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590</v>
      </c>
    </row>
    <row r="142" customFormat="false" ht="15" hidden="false" customHeight="true" outlineLevel="0" collapsed="false">
      <c r="B142" s="72" t="s">
        <v>591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592</v>
      </c>
    </row>
    <row r="145" customFormat="false" ht="15.75" hidden="false" customHeight="true" outlineLevel="0" collapsed="false">
      <c r="A145" s="77" t="s">
        <v>593</v>
      </c>
    </row>
    <row r="146" customFormat="false" ht="15" hidden="false" customHeight="true" outlineLevel="0" collapsed="false">
      <c r="B146" s="17" t="s">
        <v>594</v>
      </c>
      <c r="D146" s="78" t="s">
        <v>595</v>
      </c>
      <c r="E146" s="78"/>
      <c r="F146" s="78"/>
      <c r="G146" s="78"/>
      <c r="H146" s="78"/>
      <c r="I146" s="78"/>
      <c r="J146" s="78"/>
      <c r="K146" s="19" t="s">
        <v>596</v>
      </c>
    </row>
    <row r="147" customFormat="false" ht="15" hidden="false" customHeight="true" outlineLevel="0" collapsed="false">
      <c r="B147" s="79" t="s">
        <v>597</v>
      </c>
      <c r="E147" s="80" t="s">
        <v>598</v>
      </c>
      <c r="I147" s="79" t="s">
        <v>599</v>
      </c>
    </row>
    <row r="148" customFormat="false" ht="24" hidden="false" customHeight="true" outlineLevel="0" collapsed="false">
      <c r="A148" s="81" t="s">
        <v>600</v>
      </c>
      <c r="B148" s="82" t="s">
        <v>601</v>
      </c>
      <c r="E148" s="83" t="n">
        <v>5</v>
      </c>
      <c r="I148" s="61"/>
    </row>
    <row r="149" customFormat="false" ht="24" hidden="false" customHeight="true" outlineLevel="0" collapsed="false">
      <c r="A149" s="81" t="s">
        <v>602</v>
      </c>
      <c r="B149" s="82" t="s">
        <v>603</v>
      </c>
      <c r="E149" s="83" t="n">
        <v>20</v>
      </c>
      <c r="I149" s="61"/>
    </row>
    <row r="150" customFormat="false" ht="24" hidden="false" customHeight="true" outlineLevel="0" collapsed="false">
      <c r="A150" s="81" t="s">
        <v>604</v>
      </c>
      <c r="B150" s="82" t="s">
        <v>605</v>
      </c>
      <c r="E150" s="83" t="n">
        <v>30</v>
      </c>
      <c r="I150" s="61"/>
    </row>
    <row r="151" customFormat="false" ht="24" hidden="false" customHeight="true" outlineLevel="0" collapsed="false">
      <c r="A151" s="81" t="s">
        <v>606</v>
      </c>
      <c r="B151" s="82" t="s">
        <v>607</v>
      </c>
      <c r="E151" s="83" t="n">
        <v>25</v>
      </c>
      <c r="I151" s="61"/>
    </row>
    <row r="152" customFormat="false" ht="24" hidden="false" customHeight="true" outlineLevel="0" collapsed="false">
      <c r="A152" s="81" t="s">
        <v>608</v>
      </c>
      <c r="B152" s="82" t="s">
        <v>609</v>
      </c>
      <c r="E152" s="83" t="n">
        <v>10</v>
      </c>
      <c r="I152" s="61"/>
    </row>
    <row r="153" customFormat="false" ht="24" hidden="false" customHeight="true" outlineLevel="0" collapsed="false">
      <c r="A153" s="81" t="s">
        <v>610</v>
      </c>
      <c r="B153" s="82" t="s">
        <v>611</v>
      </c>
      <c r="E153" s="83" t="n">
        <v>10</v>
      </c>
      <c r="I153" s="61"/>
    </row>
    <row r="154" customFormat="false" ht="15" hidden="false" customHeight="true" outlineLevel="0" collapsed="false">
      <c r="B154" s="84" t="s">
        <v>612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613</v>
      </c>
    </row>
    <row r="2" customFormat="false" ht="15" hidden="false" customHeight="false" outlineLevel="0" collapsed="false">
      <c r="B2" s="87" t="s">
        <v>614</v>
      </c>
      <c r="C2" s="88" t="s">
        <v>615</v>
      </c>
    </row>
    <row r="3" customFormat="false" ht="15" hidden="false" customHeight="false" outlineLevel="0" collapsed="false">
      <c r="B3" s="87" t="s">
        <v>616</v>
      </c>
      <c r="C3" s="88" t="s">
        <v>617</v>
      </c>
    </row>
    <row r="4" customFormat="false" ht="15" hidden="false" customHeight="false" outlineLevel="0" collapsed="false">
      <c r="B4" s="89" t="s">
        <v>618</v>
      </c>
      <c r="C4" s="88" t="s">
        <v>619</v>
      </c>
    </row>
    <row r="5" customFormat="false" ht="15" hidden="false" customHeight="false" outlineLevel="0" collapsed="false">
      <c r="H5" s="90" t="s">
        <v>620</v>
      </c>
      <c r="I5" s="90"/>
      <c r="J5" s="90" t="s">
        <v>621</v>
      </c>
      <c r="K5" s="90"/>
      <c r="L5" s="90"/>
      <c r="M5" s="90"/>
      <c r="N5" s="90"/>
      <c r="O5" s="90" t="s">
        <v>622</v>
      </c>
      <c r="P5" s="90"/>
      <c r="Q5" s="90"/>
      <c r="R5" s="90"/>
      <c r="S5" s="90" t="s">
        <v>623</v>
      </c>
      <c r="T5" s="90"/>
      <c r="U5" s="90"/>
      <c r="V5" s="90"/>
      <c r="W5" s="90"/>
      <c r="X5" s="90" t="s">
        <v>624</v>
      </c>
      <c r="Y5" s="90"/>
      <c r="Z5" s="90"/>
      <c r="AA5" s="90"/>
      <c r="AB5" s="90" t="s">
        <v>625</v>
      </c>
      <c r="AC5" s="90"/>
      <c r="AD5" s="90"/>
      <c r="AE5" s="90"/>
      <c r="AF5" s="90" t="s">
        <v>626</v>
      </c>
      <c r="AG5" s="90"/>
      <c r="AH5" s="90"/>
      <c r="AI5" s="90"/>
      <c r="AJ5" s="90"/>
      <c r="AK5" s="90" t="s">
        <v>627</v>
      </c>
      <c r="AL5" s="90"/>
      <c r="AM5" s="90"/>
      <c r="AN5" s="90"/>
      <c r="AO5" s="90" t="s">
        <v>628</v>
      </c>
      <c r="AP5" s="90"/>
      <c r="AQ5" s="90"/>
      <c r="AR5" s="90"/>
      <c r="AS5" s="90" t="s">
        <v>629</v>
      </c>
      <c r="AT5" s="90"/>
      <c r="AU5" s="90"/>
      <c r="AV5" s="90"/>
      <c r="AW5" s="90" t="s">
        <v>630</v>
      </c>
      <c r="AX5" s="90"/>
      <c r="AY5" s="90"/>
      <c r="AZ5" s="90"/>
      <c r="BA5" s="90"/>
      <c r="BB5" s="90" t="s">
        <v>631</v>
      </c>
      <c r="BC5" s="90"/>
      <c r="BD5" s="90"/>
      <c r="BE5" s="90"/>
      <c r="BF5" s="90" t="s">
        <v>632</v>
      </c>
      <c r="BG5" s="90"/>
      <c r="BH5" s="90"/>
      <c r="BI5" s="90"/>
      <c r="BJ5" s="90"/>
      <c r="BK5" s="90" t="s">
        <v>633</v>
      </c>
      <c r="BL5" s="90"/>
      <c r="BM5" s="90"/>
      <c r="BN5" s="90"/>
      <c r="BO5" s="90" t="s">
        <v>634</v>
      </c>
      <c r="BP5" s="90"/>
      <c r="BQ5" s="90"/>
      <c r="BR5" s="90"/>
      <c r="BS5" s="90" t="s">
        <v>635</v>
      </c>
      <c r="BT5" s="90"/>
      <c r="BU5" s="90"/>
      <c r="BV5" s="90"/>
      <c r="BW5" s="90"/>
      <c r="BX5" s="90" t="s">
        <v>636</v>
      </c>
      <c r="BY5" s="90"/>
    </row>
    <row r="6" customFormat="false" ht="43.5" hidden="false" customHeight="true" outlineLevel="0" collapsed="false">
      <c r="A6" s="91" t="s">
        <v>637</v>
      </c>
      <c r="B6" s="91" t="s">
        <v>638</v>
      </c>
      <c r="C6" s="91" t="s">
        <v>639</v>
      </c>
      <c r="D6" s="91" t="s">
        <v>640</v>
      </c>
      <c r="E6" s="91" t="s">
        <v>641</v>
      </c>
      <c r="F6" s="91" t="s">
        <v>642</v>
      </c>
      <c r="G6" s="91" t="s">
        <v>643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644</v>
      </c>
      <c r="C8" s="95" t="s">
        <v>645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646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189</v>
      </c>
      <c r="B10" s="95" t="s">
        <v>647</v>
      </c>
      <c r="C10" s="95" t="s">
        <v>645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646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209</v>
      </c>
      <c r="B12" s="95" t="s">
        <v>648</v>
      </c>
      <c r="C12" s="95" t="s">
        <v>645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646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225</v>
      </c>
      <c r="B14" s="95" t="s">
        <v>649</v>
      </c>
      <c r="C14" s="95" t="s">
        <v>645</v>
      </c>
      <c r="D14" s="96" t="n">
        <v>1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0.5</v>
      </c>
      <c r="R14" s="98" t="n">
        <f aca="false">IF($E14="",0,IF(R$6+6&lt;$E14,0,IF(R$6&gt;$F14,0,$D14*(IF(R$6+6&lt;$F14,R$6+6,$F14)-IF(R$6&gt;$E14,R$6,$E14)+1)/($F14-$E14+1))))</f>
        <v>0.357142857142857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646</v>
      </c>
      <c r="D15" s="96"/>
      <c r="E15" s="99" t="n">
        <v>46221</v>
      </c>
      <c r="F15" s="99" t="n">
        <v>46234</v>
      </c>
      <c r="G15" s="100"/>
      <c r="H15" s="101"/>
      <c r="I15" s="101"/>
      <c r="J15" s="101"/>
      <c r="K15" s="101"/>
      <c r="L15" s="101"/>
      <c r="M15" s="101"/>
      <c r="N15" s="101"/>
      <c r="O15" s="101"/>
      <c r="P15" s="101" t="n">
        <v>0.3333</v>
      </c>
      <c r="Q15" s="101" t="n">
        <v>0.3333</v>
      </c>
      <c r="R15" s="101" t="n">
        <v>0.3333</v>
      </c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650</v>
      </c>
      <c r="C16" s="95" t="s">
        <v>645</v>
      </c>
      <c r="D16" s="96" t="n">
        <v>1</v>
      </c>
      <c r="E16" s="97" t="n">
        <v>46277</v>
      </c>
      <c r="F16" s="97" t="n">
        <v>46277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1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646</v>
      </c>
      <c r="D17" s="96"/>
      <c r="E17" s="99" t="n">
        <v>46297</v>
      </c>
      <c r="F17" s="99" t="n">
        <v>46297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264</v>
      </c>
      <c r="B18" s="95" t="s">
        <v>651</v>
      </c>
      <c r="C18" s="95" t="s">
        <v>645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652</v>
      </c>
      <c r="B20" s="95" t="s">
        <v>653</v>
      </c>
      <c r="C20" s="95" t="s">
        <v>645</v>
      </c>
      <c r="D20" s="96" t="n">
        <v>1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0.0434782608695652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0.152173913043478</v>
      </c>
      <c r="AE20" s="98" t="n">
        <f aca="false">IF($E20="",0,IF(AE$6+6&lt;$E20,0,IF(AE$6&gt;$F20,0,$D20*(IF(AE$6+6&lt;$F20,AE$6+6,$F20)-IF(AE$6&gt;$E20,AE$6,$E20)+1)/($F20-$E20+1))))</f>
        <v>0.0434782608695652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646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654</v>
      </c>
      <c r="C23" s="95" t="s">
        <v>645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646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655</v>
      </c>
      <c r="C25" s="95" t="s">
        <v>645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646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656</v>
      </c>
      <c r="C27" s="95" t="s">
        <v>645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646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657</v>
      </c>
      <c r="C29" s="95" t="s">
        <v>645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646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658</v>
      </c>
      <c r="C31" s="95" t="s">
        <v>645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646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659</v>
      </c>
      <c r="C33" s="95" t="s">
        <v>645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646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660</v>
      </c>
      <c r="C35" s="95" t="s">
        <v>645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646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661</v>
      </c>
      <c r="C37" s="95" t="s">
        <v>645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646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478</v>
      </c>
      <c r="B39" s="95" t="s">
        <v>662</v>
      </c>
      <c r="C39" s="95" t="s">
        <v>645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646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664</v>
      </c>
      <c r="C42" s="95" t="s">
        <v>645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665</v>
      </c>
      <c r="C44" s="95" t="s">
        <v>645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666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0.342857142857143</v>
      </c>
      <c r="Q47" s="103" t="n">
        <f aca="false">SUMIF($C$7:$C$45,"Plan",Q$7:Q$45)</f>
        <v>1.2</v>
      </c>
      <c r="R47" s="103" t="n">
        <f aca="false">SUMIF($C$7:$C$45,"Plan",R$7:R$45)</f>
        <v>0.457142857142857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21.3053830227743</v>
      </c>
      <c r="Y47" s="103" t="n">
        <f aca="false">SUMIF($C$7:$C$45,"Plan",Y$7:Y$45)</f>
        <v>0.985507246376812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0.152173913043478</v>
      </c>
      <c r="AE47" s="103" t="n">
        <f aca="false">SUMIF($C$7:$C$45,"Plan",AE$7:AE$45)</f>
        <v>0.400621118012422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667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0.3333</v>
      </c>
      <c r="Q48" s="103" t="n">
        <f aca="false">SUMIF($C$7:$C$45,"Actual",Q$7:Q$45)</f>
        <v>0.3333</v>
      </c>
      <c r="R48" s="103" t="n">
        <f aca="false">SUMIF($C$7:$C$45,"Actual",R$7:R$45)</f>
        <v>0.3333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1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668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0.842857142857143</v>
      </c>
      <c r="Q49" s="105" t="n">
        <f aca="false">P49+Q47</f>
        <v>2.04285714285714</v>
      </c>
      <c r="R49" s="105" t="n">
        <f aca="false">Q49+R47</f>
        <v>2.5</v>
      </c>
      <c r="S49" s="105" t="n">
        <f aca="false">R49+S47</f>
        <v>2.5</v>
      </c>
      <c r="T49" s="105" t="n">
        <f aca="false">S49+T47</f>
        <v>7.44444444444445</v>
      </c>
      <c r="U49" s="105" t="n">
        <f aca="false">T49+U47</f>
        <v>15.2222222222222</v>
      </c>
      <c r="V49" s="105" t="n">
        <f aca="false">U49+V47</f>
        <v>25.6666666666667</v>
      </c>
      <c r="W49" s="105" t="n">
        <f aca="false">V49+W47</f>
        <v>74.4047619047619</v>
      </c>
      <c r="X49" s="105" t="n">
        <f aca="false">W49+X47</f>
        <v>95.7101449275362</v>
      </c>
      <c r="Y49" s="105" t="n">
        <f aca="false">X49+Y47</f>
        <v>96.695652173913</v>
      </c>
      <c r="Z49" s="105" t="n">
        <f aca="false">Y49+Z47</f>
        <v>96.8478260869565</v>
      </c>
      <c r="AA49" s="105" t="n">
        <f aca="false">Z49+AA47</f>
        <v>97</v>
      </c>
      <c r="AB49" s="105" t="n">
        <f aca="false">AA49+AB47</f>
        <v>97.1521739130435</v>
      </c>
      <c r="AC49" s="105" t="n">
        <f aca="false">AB49+AC47</f>
        <v>97.304347826087</v>
      </c>
      <c r="AD49" s="105" t="n">
        <f aca="false">AC49+AD47</f>
        <v>97.4565217391305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669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</v>
      </c>
      <c r="P50" s="105" t="n">
        <f aca="false">IF(P$6&gt;46314,"",O50+P48)</f>
        <v>0.3333</v>
      </c>
      <c r="Q50" s="105" t="n">
        <f aca="false">IF(Q$6&gt;46314,"",P50+Q48)</f>
        <v>0.6666</v>
      </c>
      <c r="R50" s="105" t="n">
        <f aca="false">IF(R$6&gt;46314,"",Q50+R48)</f>
        <v>0.9999</v>
      </c>
      <c r="S50" s="105" t="n">
        <f aca="false">IF(S$6&gt;46314,"",R50+S48)</f>
        <v>0.9999</v>
      </c>
      <c r="T50" s="105" t="n">
        <f aca="false">IF(T$6&gt;46314,"",S50+T48)</f>
        <v>0.9999</v>
      </c>
      <c r="U50" s="105" t="n">
        <f aca="false">IF(U$6&gt;46314,"",T50+U48)</f>
        <v>0.9999</v>
      </c>
      <c r="V50" s="105" t="n">
        <f aca="false">IF(V$6&gt;46314,"",U50+V48)</f>
        <v>0.9999</v>
      </c>
      <c r="W50" s="105" t="n">
        <f aca="false">IF(W$6&gt;46314,"",V50+W48)</f>
        <v>0.9999</v>
      </c>
      <c r="X50" s="105" t="n">
        <f aca="false">IF(X$6&gt;46314,"",W50+X48)</f>
        <v>0.9999</v>
      </c>
      <c r="Y50" s="105" t="n">
        <f aca="false">IF(Y$6&gt;46314,"",X50+Y48)</f>
        <v>0.9999</v>
      </c>
      <c r="Z50" s="105" t="n">
        <f aca="false">IF(Z$6&gt;46314,"",Y50+Z48)</f>
        <v>0.9999</v>
      </c>
      <c r="AA50" s="105" t="n">
        <f aca="false">IF(AA$6&gt;46314,"",Z50+AA48)</f>
        <v>1.9999</v>
      </c>
      <c r="AB50" s="105" t="n">
        <f aca="false">IF(AB$6&gt;46314,"",AA50+AB48)</f>
        <v>1.9999</v>
      </c>
      <c r="AC50" s="105" t="n">
        <f aca="false">IF(AC$6&gt;46314,"",AB50+AC48)</f>
        <v>1.9999</v>
      </c>
      <c r="AD50" s="105" t="n">
        <f aca="false">IF(AD$6&gt;46314,"",AC50+AD48)</f>
        <v>1.9999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2026-10-26T04:42:06Z</dcterms:created>
  <dc:creator>openpyxl</dc:creator>
  <dc:description/>
  <dc:language>en-US</dc:language>
  <cp:lastModifiedBy/>
  <dcterms:modified xsi:type="dcterms:W3CDTF">2026-10-26T11:46:17Z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