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<sst xmlns="http://schemas.openxmlformats.org/spreadsheetml/2006/main" count="1306" uniqueCount="667">
  <si>
    <t xml:space="preserve">แผนโครงการ P4-008 – สถานีผลิตน้ำห้วยป่าแดง 184.68 kWp</t>
  </si>
  <si>
    <t xml:space="preserve">กปภ.สาขาเพชรบูรณ์, ภาคเหนือ-กลาง, กฟภ. เขต น.3, Inverter 185 kW (ไม่ต้อง พค.2), Zero export HV, คำขอ PPIM1A506F1B, วิศวกร เก้า, Admin บีม, ผรม. S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</si>
  <si>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</si>
  <si>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</si>
  <si>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</si>
  <si>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</si>
  <si>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</si>
  <si>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</si>
  <si>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</si>
  <si>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</si>
  <si>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</si>
  <si>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</si>
  <si>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</si>
  <si>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</si>
  <si>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</si>
  <si>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</si>
  <si>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</si>
  <si>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</si>
  <si>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</si>
  <si>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</si>
  <si>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</si>
  <si>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</si>
  <si>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</si>
  <si>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</si>
  <si>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</si>
  <si>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</si>
  <si>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</si>
  <si>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</si>
  <si>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</si>
  <si>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P4-008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</si>
  <si>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</si>
  <si>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</si>
  <si>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</si>
  <si>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</si>
  <si>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</si>
  <si>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</si>
  <si>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</si>
  <si>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</si>
  <si>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</si>
  <si>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</si>
  <si>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</si>
  <si>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</si>
  <si>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</si>
  <si>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</si>
  <si>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</si>
  <si>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</si>
  <si>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</si>
  <si>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</si>
  <si>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</si>
  <si>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</si>
  <si>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</si>
  <si>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</si>
  <si>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</si>
  <si>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</si>
  <si>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</si>
  <si>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</si>
  <si>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</si>
  <si>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</si>
  <si>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</si>
  <si>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</si>
  <si>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</si>
  <si>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</si>
  <si>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</si>
  <si>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</si>
  <si>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</si>
  <si>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</si>
  <si>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</si>
  <si>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</si>
  <si>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</si>
  <si>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</si>
  <si>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</si>
  <si>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</si>
  <si>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</si>
  <si>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</si>
  <si>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</si>
  <si>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</si>
  <si>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</si>
  <si>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</si>
  <si>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</si>
  <si>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เก้า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</si>
  <si>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</si>
  <si>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</si>
  <si>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</si>
  <si>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</si>
  <si>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</si>
  <si>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</si>
  <si>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</si>
  <si>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WBS'!L4099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</si>
  <si>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</si>
  <si>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</si>
  <si>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</si>
  <si>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</si>
  <si>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WBS'!L4100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</si>
  <si>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</si>
  <si>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</si>
  <si>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</si>
  <si>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WBS'!L4101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</si>
  <si>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</si>
  <si>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</si>
  <si>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</si>
  <si>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WBS'!L4102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</si>
  <si>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</si>
  <si>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</si>
  <si>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</si>
  <si>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WBS'!L4103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</si>
  <si>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</si>
  <si>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</si>
  <si>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</si>
  <si>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WBS'!L4104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</si>
  <si>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</si>
  <si>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</si>
  <si>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TC-PML-2026-441, </t>
    </r>
    <r>
      <rPr>
        <sz val="9"/>
        <rFont val="FreeSans"/>
        <family val="2"/>
      </rPr>
      <t xml:space="preserve">ทำหนังสือออกแล้ว</t>
    </r>
  </si>
  <si>
    <t xml:space="preserve">บีม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</si>
  <si>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</si>
  <si>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</si>
  <si>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</si>
  <si>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</si>
  <si>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</si>
  <si>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</si>
  <si>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</si>
  <si>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</si>
  <si>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</si>
  <si>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</si>
  <si>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WBS'!L4105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</si>
  <si>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</si>
  <si>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</si>
  <si>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</si>
  <si>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</si>
  <si>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WBS'!L4106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</si>
  <si>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</si>
  <si>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</si>
  <si>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</si>
  <si>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WBS'!L4107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</si>
  <si>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</si>
  <si>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</si>
  <si>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</si>
  <si>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WBS'!L4108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</si>
  <si>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</si>
  <si>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</si>
  <si>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</si>
  <si>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WBS'!L4109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</si>
  <si>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</si>
  <si>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</si>
  <si>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</si>
  <si>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WBS'!L4110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</si>
  <si>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</si>
  <si>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</si>
  <si>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</si>
  <si>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WBS'!L4111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</si>
  <si>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</si>
  <si>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</si>
  <si>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</si>
  <si>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WBS'!L4112</t>
    </r>
  </si>
  <si>
    <t xml:space="preserve">0.3</t>
  </si>
  <si>
    <t xml:space="preserve">หนังสือแจ้งขอดับไฟ</t>
  </si>
  <si>
    <t xml:space="preserve">TC-PML-2026-512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</si>
  <si>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</si>
  <si>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</si>
  <si>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</si>
  <si>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</si>
  <si>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</si>
  <si>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</si>
  <si>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</si>
  <si>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WBS'!L4113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</si>
  <si>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</si>
  <si>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</si>
  <si>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</si>
  <si>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WBS'!L4114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</si>
  <si>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</si>
  <si>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</si>
  <si>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</si>
  <si>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WBS'!L4115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</si>
  <si>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</si>
  <si>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</si>
  <si>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</si>
  <si>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</si>
  <si>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</si>
  <si>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</si>
  <si>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</si>
  <si>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</si>
  <si>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</si>
  <si>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WBS'!L4116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</si>
  <si>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</si>
  <si>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</si>
  <si>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</si>
  <si>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WBS'!L4117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</si>
  <si>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</si>
  <si>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</si>
  <si>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</si>
  <si>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WBS'!L4118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</si>
  <si>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</si>
  <si>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</si>
  <si>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</si>
  <si>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</si>
  <si>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</si>
  <si>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</si>
  <si>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</si>
  <si>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WBS'!L4119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</si>
  <si>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</si>
  <si>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</si>
  <si>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</si>
  <si>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WBS'!L4120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</si>
  <si>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</si>
  <si>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</si>
  <si>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</si>
  <si>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WBS'!L4121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</si>
  <si>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</si>
  <si>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</si>
  <si>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</si>
  <si>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WBS'!L4122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</si>
  <si>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</si>
  <si>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</si>
  <si>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</si>
  <si>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</si>
  <si>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</si>
  <si>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</si>
  <si>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</si>
  <si>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WBS'!L4123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</si>
  <si>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</si>
  <si>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</si>
  <si>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</si>
  <si>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WBS'!L4124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</si>
  <si>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</si>
  <si>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</si>
  <si>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</si>
  <si>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WBS'!L4125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</si>
  <si>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</si>
  <si>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</si>
  <si>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</si>
  <si>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</si>
  <si>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</si>
  <si>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</si>
  <si>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</si>
  <si>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</si>
  <si>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WBS'!L4126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</si>
  <si>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</si>
  <si>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</si>
  <si>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</si>
  <si>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WBS'!L4127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</si>
  <si>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</si>
  <si>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</si>
  <si>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</si>
  <si>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WBS'!L4128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</si>
  <si>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</si>
  <si>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</si>
  <si>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</si>
  <si>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</si>
  <si>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</si>
  <si>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</si>
  <si>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</si>
  <si>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</si>
  <si>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</si>
  <si>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</si>
  <si>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</si>
  <si>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</si>
  <si>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</si>
  <si>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</si>
  <si>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</si>
  <si>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</si>
  <si>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</si>
  <si>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</si>
  <si>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</si>
  <si>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</si>
  <si>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</si>
  <si>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</si>
  <si>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</si>
  <si>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</si>
  <si>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</si>
  <si>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</si>
  <si>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WBS'!L4129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</si>
  <si>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</si>
  <si>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</si>
  <si>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</si>
  <si>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WBS'!L4130</t>
    </r>
  </si>
  <si>
    <t xml:space="preserve">1.7.1</t>
  </si>
  <si>
    <t xml:space="preserve">คำขอขนานไฟ PPIM (ชุด 11 ไฟล์)</t>
  </si>
  <si>
    <t xml:space="preserve">PPIM1A506F1B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</si>
  <si>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</si>
  <si>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</si>
  <si>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</si>
  <si>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</si>
  <si>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รออนุมัติ/รับพิจารณาเชื่อมต่อ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</si>
  <si>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</si>
  <si>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</si>
  <si>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</si>
  <si>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</si>
  <si>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</si>
  <si>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</si>
  <si>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</si>
  <si>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</si>
  <si>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</si>
  <si>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</si>
  <si>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</si>
  <si>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</si>
  <si>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</si>
  <si>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</si>
  <si>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</si>
  <si>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</si>
  <si>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</si>
  <si>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(9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</si>
  <si>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</si>
  <si>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</si>
  <si>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</si>
  <si>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</si>
  <si>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</si>
  <si>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WBS'!L4131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</si>
  <si>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</si>
  <si>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</si>
  <si>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</si>
  <si>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WBS'!L4132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</si>
  <si>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</si>
  <si>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</si>
  <si>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</si>
  <si>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WBS'!L4133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</si>
  <si>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</si>
  <si>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</si>
  <si>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</si>
  <si>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WBS'!L4134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</si>
  <si>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</si>
  <si>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</si>
  <si>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</si>
  <si>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WBS'!L4135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</si>
  <si>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</si>
  <si>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</si>
  <si>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</si>
  <si>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WBS'!L4136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</si>
  <si>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</si>
  <si>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</si>
  <si>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</si>
  <si>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WBS'!L4137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</si>
  <si>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</si>
  <si>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</si>
  <si>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</si>
  <si>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</si>
  <si>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</si>
  <si>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</si>
  <si>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</si>
  <si>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WBS'!L4138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</si>
  <si>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</si>
  <si>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</si>
  <si>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</si>
  <si>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WBS'!L4139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</si>
  <si>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</si>
  <si>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</si>
  <si>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</si>
  <si>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WBS'!L4140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</si>
  <si>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</si>
  <si>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</si>
  <si>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</si>
  <si>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WBS'!L4141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</si>
  <si>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</si>
  <si>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</si>
  <si>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</si>
  <si>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WBS'!L4142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</si>
  <si>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</si>
  <si>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</si>
  <si>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</si>
  <si>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</si>
  <si>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</si>
  <si>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</si>
  <si>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</si>
  <si>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WBS'!L4143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</si>
  <si>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</si>
  <si>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</si>
  <si>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</si>
  <si>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WBS'!L4144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</si>
  <si>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</si>
  <si>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</si>
  <si>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</si>
  <si>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WBS'!L4145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</si>
  <si>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</si>
  <si>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</si>
  <si>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</si>
  <si>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WBS'!L4146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</si>
  <si>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</si>
  <si>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</si>
  <si>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</si>
  <si>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WBS'!L4147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</si>
  <si>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</si>
  <si>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</si>
  <si>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</si>
  <si>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</si>
  <si>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</si>
  <si>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</si>
  <si>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</si>
  <si>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WBS'!L4148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</si>
  <si>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</si>
  <si>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</si>
  <si>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</si>
  <si>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WBS'!L4149</t>
    </r>
  </si>
  <si>
    <t xml:space="preserve">2.5</t>
  </si>
  <si>
    <t xml:space="preserve">ติดตั้ง Inverter</t>
  </si>
  <si>
    <t xml:space="preserve">Inverter 185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</si>
  <si>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</si>
  <si>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</si>
  <si>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</si>
  <si>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</si>
  <si>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WBS'!L4150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</si>
  <si>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</si>
  <si>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</si>
  <si>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</si>
  <si>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WBS'!L4151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</si>
  <si>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</si>
  <si>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</si>
  <si>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</si>
  <si>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WBS'!L4152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</si>
  <si>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</si>
  <si>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</si>
  <si>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</si>
  <si>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WBS'!L4153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</si>
  <si>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</si>
  <si>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</si>
  <si>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</si>
  <si>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</si>
  <si>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</si>
  <si>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</si>
  <si>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</si>
  <si>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</si>
  <si>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WBS'!L4154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</si>
  <si>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</si>
  <si>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</si>
  <si>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</si>
  <si>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WBS'!L4155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</si>
  <si>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</si>
  <si>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</si>
  <si>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</si>
  <si>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WBS'!L4156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</si>
  <si>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</si>
  <si>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</si>
  <si>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</si>
  <si>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WBS'!L4157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</si>
  <si>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</si>
  <si>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</si>
  <si>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</si>
  <si>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WBS'!L4158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</si>
  <si>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</si>
  <si>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</si>
  <si>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</si>
  <si>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</si>
  <si>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</si>
  <si>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</si>
  <si>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WBS'!L4159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</si>
  <si>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</si>
  <si>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</si>
  <si>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</si>
  <si>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WBS'!L4160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</si>
  <si>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</si>
  <si>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</si>
  <si>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</si>
  <si>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WBS'!L4161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</si>
  <si>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</si>
  <si>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</si>
  <si>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</si>
  <si>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</si>
  <si>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</si>
  <si>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</si>
  <si>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</si>
  <si>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</si>
  <si>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</si>
  <si>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</si>
  <si>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WBS'!L4162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</si>
  <si>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</si>
  <si>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</si>
  <si>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</si>
  <si>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</si>
  <si>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</si>
  <si>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</si>
  <si>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WBS'!L4163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</si>
  <si>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</si>
  <si>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</si>
  <si>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</si>
  <si>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WBS'!L4164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</si>
  <si>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</si>
  <si>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</si>
  <si>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</si>
  <si>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WBS'!L4165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</si>
  <si>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</si>
  <si>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</si>
  <si>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</si>
  <si>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</si>
  <si>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</si>
  <si>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</si>
  <si>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WBS'!L4166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</si>
  <si>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</si>
  <si>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</si>
  <si>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</si>
  <si>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WBS'!L4167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</si>
  <si>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</si>
  <si>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</si>
  <si>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</si>
  <si>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WBS'!L4168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</si>
  <si>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</si>
  <si>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</si>
  <si>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</si>
  <si>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</si>
  <si>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</si>
  <si>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</si>
  <si>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</si>
  <si>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WBS'!L4169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</si>
  <si>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</si>
  <si>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</si>
  <si>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</si>
  <si>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WBS'!L4170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</si>
  <si>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</si>
  <si>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</si>
  <si>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</si>
  <si>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</si>
  <si>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</si>
  <si>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</si>
  <si>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</si>
  <si>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</si>
  <si>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</si>
  <si>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WBS'!L4171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</si>
  <si>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</si>
  <si>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</si>
  <si>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</si>
  <si>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WBS'!L4172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</si>
  <si>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</si>
  <si>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</si>
  <si>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</si>
  <si>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WBS'!L4173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</si>
  <si>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</si>
  <si>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</si>
  <si>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</si>
  <si>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WBS'!L4174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</si>
  <si>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</si>
  <si>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</si>
  <si>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</si>
  <si>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WBS'!L4175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</si>
  <si>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</si>
  <si>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</si>
  <si>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</si>
  <si>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WBS'!L4176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</si>
  <si>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</si>
  <si>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</si>
  <si>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</si>
  <si>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</si>
  <si>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</si>
  <si>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</si>
  <si>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</si>
  <si>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</si>
  <si>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</si>
  <si>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</si>
  <si>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</si>
  <si>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</si>
  <si>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</si>
  <si>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</si>
  <si>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WBS'!L4177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</si>
  <si>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</si>
  <si>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</si>
  <si>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</si>
  <si>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WBS'!L4178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</si>
  <si>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</si>
  <si>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</si>
  <si>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</si>
  <si>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WBS'!L4179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</si>
  <si>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</si>
  <si>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</si>
  <si>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</si>
  <si>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</si>
  <si>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</si>
  <si>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</si>
  <si>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</si>
  <si>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</si>
  <si>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</si>
  <si>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</si>
  <si>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</si>
  <si>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</si>
  <si>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</si>
  <si>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</si>
  <si>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</si>
  <si>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</si>
  <si>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</si>
  <si>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</si>
  <si>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</si>
  <si>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</si>
  <si>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</si>
  <si>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</si>
  <si>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</si>
  <si>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</si>
  <si>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</si>
  <si>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</si>
  <si>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</si>
  <si>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</si>
  <si>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</si>
  <si>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</si>
  <si>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</si>
  <si>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</si>
  <si>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</si>
  <si>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</si>
  <si>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</si>
  <si>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</si>
  <si>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</si>
  <si>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125+60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</si>
  <si>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</si>
  <si>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</si>
  <si>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</si>
  <si>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</si>
  <si>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</si>
  <si>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</si>
  <si>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</si>
  <si>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</si>
  <si>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</si>
  <si>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</si>
  <si>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</si>
  <si>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</si>
  <si>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</si>
  <si>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</si>
  <si>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</si>
  <si>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</si>
  <si>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</si>
  <si>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</si>
  <si>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สถานีผลิตน้ำห้วยป่าแดง การประปาส่วนภูมิภาคสาขาเพชรบูรณ์ ขนาดกำลังผลิต </t>
    </r>
    <r>
      <rPr>
        <sz val="10"/>
        <rFont val="Tahoma"/>
        <family val="0"/>
        <charset val="1"/>
      </rPr>
      <t xml:space="preserve">184.68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</si>
  <si>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</si>
  <si>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</si>
  <si>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</si>
  <si>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P4-008,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เก้า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</si>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</sst>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1.53571428571429</c:v>
                </c:pt>
                <c:pt idx="7">
                  <c:v>2.78571428571429</c:v>
                </c:pt>
                <c:pt idx="8">
                  <c:v>3</c:v>
                </c:pt>
                <c:pt idx="9">
                  <c:v>3.5</c:v>
                </c:pt>
                <c:pt idx="10">
                  <c:v>11.2777777777778</c:v>
                </c:pt>
                <c:pt idx="11">
                  <c:v>19.0555555555556</c:v>
                </c:pt>
                <c:pt idx="12">
                  <c:v>43.8809523809524</c:v>
                </c:pt>
                <c:pt idx="13">
                  <c:v>93</c:v>
                </c:pt>
                <c:pt idx="14">
                  <c:v>96.1630434782609</c:v>
                </c:pt>
                <c:pt idx="15">
                  <c:v>96.3913043478261</c:v>
                </c:pt>
                <c:pt idx="16">
                  <c:v>96.6195652173913</c:v>
                </c:pt>
                <c:pt idx="17">
                  <c:v>96.8478260869565</c:v>
                </c:pt>
                <c:pt idx="18">
                  <c:v>97.0760869565218</c:v>
                </c:pt>
                <c:pt idx="19">
                  <c:v>97.304347826087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10.1667</c:v>
                </c:pt>
                <c:pt idx="11">
                  <c:v>16.8334</c:v>
                </c:pt>
                <c:pt idx="12">
                  <c:v>23.5001</c:v>
                </c:pt>
                <c:pt idx="13">
                  <c:v>92.2501</c:v>
                </c:pt>
                <c:pt idx="14">
                  <c:v>93.5001</c:v>
                </c:pt>
                <c:pt idx="15">
                  <c:v>93.5001</c:v>
                </c:pt>
                <c:pt idx="16">
                  <c:v>93.7144</c:v>
                </c:pt>
                <c:pt idx="17">
                  <c:v>93.9287</c:v>
                </c:pt>
                <c:pt idx="18">
                  <c:v>94.143</c:v>
                </c:pt>
                <c:pt idx="19">
                  <c:v>94.3573</c:v>
                </c:pt>
                <c:pt idx="20">
                  <c:v>94.5716</c:v>
                </c:pt>
                <c:pt idx="21">
                  <c:v>94.7859</c:v>
                </c:pt>
                <c:pt idx="22">
                  <c:v>95.0002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314655"/>
        <c:axId val="47269132"/>
      </c:lineChart>
      <c:catAx>
        <c:axId val="79314655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269132"/>
        <c:crosses val="autoZero"/>
        <c:auto val="1"/>
        <c:lblAlgn val="ctr"/>
        <c:lblOffset val="100"/>
        <c:noMultiLvlLbl val="0"/>
      </c:catAx>
      <c:valAx>
        <c:axId val="472691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1465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46402</v>
      </c>
      <c r="G4" s="10"/>
      <c r="H4" s="10"/>
      <c r="J4" s="11" t="n">
        <v>0.95</v>
      </c>
      <c r="K4" s="11"/>
      <c r="L4" s="12" t="n">
        <v>92</v>
      </c>
      <c r="M4" s="12"/>
      <c r="N4" s="12" t="n">
        <v>97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46197</v>
      </c>
      <c r="O8" s="33" t="n">
        <v>46419</v>
      </c>
      <c r="P8" s="34" t="s">
        <v>75</v>
      </c>
      <c r="Q8" s="31" t="n">
        <v>97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46197</v>
      </c>
      <c r="O9" s="45" t="n">
        <v>46419</v>
      </c>
      <c r="P9" s="46" t="s">
        <v>75</v>
      </c>
      <c r="Q9" s="37" t="n">
        <v>97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46197</v>
      </c>
      <c r="O10" s="55" t="n">
        <v>46219</v>
      </c>
      <c r="P10" s="50" t="s">
        <v>75</v>
      </c>
      <c r="Q10" s="52" t="n">
        <v>10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46197</v>
      </c>
      <c r="O11" s="55" t="n">
        <v>46219</v>
      </c>
      <c r="P11" s="50" t="s">
        <v>75</v>
      </c>
      <c r="Q11" s="52" t="n">
        <v>10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46197</v>
      </c>
      <c r="O12" s="55" t="n">
        <v>46219</v>
      </c>
      <c r="P12" s="50" t="s">
        <v>75</v>
      </c>
      <c r="Q12" s="52" t="n">
        <v>10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46197</v>
      </c>
      <c r="O13" s="55" t="n">
        <v>46230</v>
      </c>
      <c r="P13" s="50" t="s">
        <v>75</v>
      </c>
      <c r="Q13" s="52" t="n">
        <v>14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46219</v>
      </c>
      <c r="O14" s="55" t="n">
        <v>46419</v>
      </c>
      <c r="P14" s="50" t="s">
        <v>75</v>
      </c>
      <c r="Q14" s="52" t="n">
        <v>97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46219</v>
      </c>
      <c r="O15" s="55" t="n">
        <v>46419</v>
      </c>
      <c r="P15" s="50" t="s">
        <v>75</v>
      </c>
      <c r="Q15" s="52" t="n">
        <v>97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46223</v>
      </c>
      <c r="O23" s="55" t="n">
        <v>46227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46241</v>
      </c>
      <c r="M25" s="43"/>
      <c r="N25" s="44" t="n">
        <v>46241</v>
      </c>
      <c r="O25" s="45" t="n">
        <v>46241</v>
      </c>
      <c r="P25" s="46" t="s">
        <v>60</v>
      </c>
      <c r="Q25" s="37" t="n">
        <v>20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46241</v>
      </c>
      <c r="O26" s="55" t="n">
        <v>46241</v>
      </c>
      <c r="P26" s="50" t="s">
        <v>124</v>
      </c>
      <c r="Q26" s="52" t="n">
        <v>20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46241</v>
      </c>
      <c r="O27" s="55" t="n">
        <v>46241</v>
      </c>
      <c r="P27" s="50" t="s">
        <v>124</v>
      </c>
      <c r="Q27" s="52" t="n">
        <v>20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46241</v>
      </c>
      <c r="O28" s="55" t="n">
        <v>46241</v>
      </c>
      <c r="P28" s="50" t="s">
        <v>124</v>
      </c>
      <c r="Q28" s="52" t="n">
        <v>20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46197</v>
      </c>
      <c r="O29" s="33" t="n">
        <v>46402</v>
      </c>
      <c r="P29" s="34" t="s">
        <v>75</v>
      </c>
      <c r="Q29" s="31" t="n">
        <v>97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46197</v>
      </c>
      <c r="O30" s="45" t="n">
        <v>46197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46197</v>
      </c>
      <c r="O31" s="55" t="n">
        <v>46197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46197</v>
      </c>
      <c r="O32" s="55" t="n">
        <v>46197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46197</v>
      </c>
      <c r="O33" s="55" t="n">
        <v>46197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46204</v>
      </c>
      <c r="O34" s="45" t="n">
        <v>46213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46204</v>
      </c>
      <c r="O35" s="55" t="n">
        <v>46209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46204</v>
      </c>
      <c r="O36" s="55" t="n">
        <v>46209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46207</v>
      </c>
      <c r="O37" s="55" t="n">
        <v>46210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46209</v>
      </c>
      <c r="O38" s="55" t="n">
        <v>46213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46227</v>
      </c>
      <c r="O39" s="45" t="n">
        <v>46227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46227</v>
      </c>
      <c r="O40" s="55" t="n">
        <v>46227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46227</v>
      </c>
      <c r="O41" s="55" t="n">
        <v>46227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46227</v>
      </c>
      <c r="O42" s="55" t="n">
        <v>46227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46204</v>
      </c>
      <c r="O43" s="45" t="n">
        <v>46217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46204</v>
      </c>
      <c r="O44" s="55" t="n">
        <v>46207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46205</v>
      </c>
      <c r="O45" s="55" t="n">
        <v>46211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46211</v>
      </c>
      <c r="O46" s="55" t="n">
        <v>46217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46274</v>
      </c>
      <c r="M55" s="43"/>
      <c r="N55" s="44" t="n">
        <v>46274</v>
      </c>
      <c r="O55" s="45" t="n">
        <v>46274</v>
      </c>
      <c r="P55" s="46" t="s">
        <v>60</v>
      </c>
      <c r="Q55" s="37" t="n">
        <v>14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 t="n">
        <v>46289</v>
      </c>
      <c r="M56" s="43"/>
      <c r="N56" s="44" t="n">
        <v>46289</v>
      </c>
      <c r="O56" s="45" t="n">
        <v>46289</v>
      </c>
      <c r="P56" s="46" t="s">
        <v>60</v>
      </c>
      <c r="Q56" s="37"/>
      <c r="R56" s="39"/>
      <c r="S56" s="39" t="n">
        <v>1</v>
      </c>
      <c r="T56" s="39" t="s">
        <v>157</v>
      </c>
      <c r="U56" s="39"/>
      <c r="V56" s="47" t="n">
        <v>1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</v>
      </c>
      <c r="C57" s="39" t="s">
        <v>281</v>
      </c>
      <c r="D57" s="39" t="s">
        <v>282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46289</v>
      </c>
      <c r="L57" s="42"/>
      <c r="M57" s="43"/>
      <c r="N57" s="44" t="n">
        <v>46289</v>
      </c>
      <c r="O57" s="45" t="n">
        <v>46315</v>
      </c>
      <c r="P57" s="46" t="s">
        <v>75</v>
      </c>
      <c r="Q57" s="37" t="n">
        <v>34</v>
      </c>
      <c r="R57" s="39"/>
      <c r="S57" s="39" t="n">
        <v>1</v>
      </c>
      <c r="T57" s="39" t="s">
        <v>76</v>
      </c>
      <c r="U57" s="58" t="n">
        <v>46289.0057</v>
      </c>
      <c r="V57" s="47" t="n">
        <v>0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284</v>
      </c>
      <c r="C58" s="39"/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/>
      <c r="N58" s="44" t="n">
        <v>46316</v>
      </c>
      <c r="O58" s="45" t="n">
        <v>46322</v>
      </c>
      <c r="P58" s="46" t="s">
        <v>285</v>
      </c>
      <c r="Q58" s="37" t="n">
        <v>34</v>
      </c>
      <c r="R58" s="39"/>
      <c r="S58" s="39" t="n">
        <v>1</v>
      </c>
      <c r="T58" s="39" t="s">
        <v>286</v>
      </c>
      <c r="U58" s="58" t="n">
        <v>46316.0058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46356</v>
      </c>
      <c r="O59" s="45" t="n">
        <v>46356</v>
      </c>
      <c r="P59" s="46" t="s">
        <v>285</v>
      </c>
      <c r="Q59" s="37" t="n">
        <v>67</v>
      </c>
      <c r="R59" s="39"/>
      <c r="S59" s="39" t="n">
        <v>1</v>
      </c>
      <c r="T59" s="39" t="s">
        <v>286</v>
      </c>
      <c r="U59" s="58" t="n">
        <v>46356.0059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46361</v>
      </c>
      <c r="O60" s="60" t="n">
        <v>46402</v>
      </c>
      <c r="P60" s="46" t="s">
        <v>285</v>
      </c>
      <c r="Q60" s="37" t="n">
        <v>97</v>
      </c>
      <c r="R60" s="39"/>
      <c r="S60" s="39" t="n">
        <v>1</v>
      </c>
      <c r="T60" s="39" t="s">
        <v>286</v>
      </c>
      <c r="U60" s="58" t="n">
        <v>46361.006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46230</v>
      </c>
      <c r="O61" s="33" t="n">
        <v>46262</v>
      </c>
      <c r="P61" s="34" t="s">
        <v>60</v>
      </c>
      <c r="Q61" s="31" t="n">
        <v>3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18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46230</v>
      </c>
      <c r="O62" s="45" t="n">
        <v>46247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305</v>
      </c>
      <c r="N63" s="55" t="n">
        <v>46230</v>
      </c>
      <c r="O63" s="55" t="n">
        <v>46232</v>
      </c>
      <c r="P63" s="50" t="s">
        <v>124</v>
      </c>
      <c r="Q63" s="52" t="n">
        <v>0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309</v>
      </c>
      <c r="N64" s="55" t="n">
        <v>46230</v>
      </c>
      <c r="O64" s="55" t="n">
        <v>46233</v>
      </c>
      <c r="P64" s="50" t="s">
        <v>124</v>
      </c>
      <c r="Q64" s="52" t="n">
        <v>0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313</v>
      </c>
      <c r="N65" s="55" t="n">
        <v>46232</v>
      </c>
      <c r="O65" s="55" t="n">
        <v>46239</v>
      </c>
      <c r="P65" s="50" t="s">
        <v>124</v>
      </c>
      <c r="Q65" s="52" t="n">
        <v>1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317</v>
      </c>
      <c r="N66" s="55" t="n">
        <v>46237</v>
      </c>
      <c r="O66" s="55" t="n">
        <v>46244</v>
      </c>
      <c r="P66" s="50" t="s">
        <v>124</v>
      </c>
      <c r="Q66" s="52" t="n">
        <v>0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321</v>
      </c>
      <c r="N67" s="55" t="n">
        <v>46240</v>
      </c>
      <c r="O67" s="55" t="n">
        <v>46246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325</v>
      </c>
      <c r="N68" s="55" t="n">
        <v>46244</v>
      </c>
      <c r="O68" s="55" t="n">
        <v>46247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329</v>
      </c>
      <c r="N69" s="55" t="n">
        <v>46246</v>
      </c>
      <c r="O69" s="55" t="n">
        <v>46247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46254</v>
      </c>
      <c r="O70" s="45" t="n">
        <v>46257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337</v>
      </c>
      <c r="N71" s="55" t="n">
        <v>46254</v>
      </c>
      <c r="O71" s="55" t="n">
        <v>46255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341</v>
      </c>
      <c r="N72" s="55" t="n">
        <v>46255</v>
      </c>
      <c r="O72" s="55" t="n">
        <v>46256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345</v>
      </c>
      <c r="N73" s="55" t="n">
        <v>46255</v>
      </c>
      <c r="O73" s="55" t="n">
        <v>46256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349</v>
      </c>
      <c r="N74" s="55" t="n">
        <v>46256</v>
      </c>
      <c r="O74" s="55" t="n">
        <v>46257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353</v>
      </c>
      <c r="N75" s="55" t="n">
        <v>46256</v>
      </c>
      <c r="O75" s="55" t="n">
        <v>46257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7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46251</v>
      </c>
      <c r="O76" s="45" t="n">
        <v>46257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361</v>
      </c>
      <c r="N77" s="55" t="n">
        <v>46251</v>
      </c>
      <c r="O77" s="55" t="n">
        <v>46253</v>
      </c>
      <c r="P77" s="50" t="s">
        <v>124</v>
      </c>
      <c r="Q77" s="52" t="n">
        <v>2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365</v>
      </c>
      <c r="N78" s="55" t="n">
        <v>46252</v>
      </c>
      <c r="O78" s="55" t="n">
        <v>46256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369</v>
      </c>
      <c r="N79" s="55" t="n">
        <v>46253</v>
      </c>
      <c r="O79" s="55" t="n">
        <v>46257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373</v>
      </c>
      <c r="N80" s="55" t="n">
        <v>46256</v>
      </c>
      <c r="O80" s="55" t="n">
        <v>46257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377</v>
      </c>
      <c r="N81" s="55" t="n">
        <v>46257</v>
      </c>
      <c r="O81" s="55" t="n">
        <v>46257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46252</v>
      </c>
      <c r="O82" s="45" t="n">
        <v>46254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385</v>
      </c>
      <c r="N83" s="55" t="n">
        <v>46252</v>
      </c>
      <c r="O83" s="55" t="n">
        <v>46253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389</v>
      </c>
      <c r="N84" s="55" t="n">
        <v>46253</v>
      </c>
      <c r="O84" s="55" t="n">
        <v>46254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46252</v>
      </c>
      <c r="O85" s="45" t="n">
        <v>46255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397</v>
      </c>
      <c r="N86" s="55" t="n">
        <v>46252</v>
      </c>
      <c r="O86" s="55" t="n">
        <v>46254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401</v>
      </c>
      <c r="N87" s="55" t="n">
        <v>46253</v>
      </c>
      <c r="O87" s="55" t="n">
        <v>46255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405</v>
      </c>
      <c r="N88" s="55" t="n">
        <v>46254</v>
      </c>
      <c r="O88" s="55" t="n">
        <v>46255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409</v>
      </c>
      <c r="N89" s="55" t="n">
        <v>46255</v>
      </c>
      <c r="O89" s="55" t="n">
        <v>46255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46253</v>
      </c>
      <c r="O90" s="45" t="n">
        <v>46256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418</v>
      </c>
      <c r="N91" s="55" t="n">
        <v>46253</v>
      </c>
      <c r="O91" s="55" t="n">
        <v>46255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422</v>
      </c>
      <c r="N92" s="55" t="n">
        <v>46255</v>
      </c>
      <c r="O92" s="55" t="n">
        <v>46256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426</v>
      </c>
      <c r="N93" s="55" t="n">
        <v>46253</v>
      </c>
      <c r="O93" s="55" t="n">
        <v>46255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430</v>
      </c>
      <c r="N94" s="55" t="n">
        <v>46255</v>
      </c>
      <c r="O94" s="55" t="n">
        <v>46256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434</v>
      </c>
      <c r="N95" s="55" t="n">
        <v>46256</v>
      </c>
      <c r="O95" s="55" t="n">
        <v>46256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46254</v>
      </c>
      <c r="O96" s="45" t="n">
        <v>46256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441</v>
      </c>
      <c r="N97" s="55" t="n">
        <v>46254</v>
      </c>
      <c r="O97" s="55" t="n">
        <v>46256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445</v>
      </c>
      <c r="N98" s="55" t="n">
        <v>46255</v>
      </c>
      <c r="O98" s="55" t="n">
        <v>46256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449</v>
      </c>
      <c r="N99" s="55" t="n">
        <v>46256</v>
      </c>
      <c r="O99" s="55" t="n">
        <v>46256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46255</v>
      </c>
      <c r="O100" s="45" t="n">
        <v>46257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46255</v>
      </c>
      <c r="O101" s="55" t="n">
        <v>46255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414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460</v>
      </c>
      <c r="N102" s="55" t="n">
        <v>46255</v>
      </c>
      <c r="O102" s="55" t="n">
        <v>46256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414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461</v>
      </c>
      <c r="B103" s="52" t="s">
        <v>462</v>
      </c>
      <c r="C103" s="52" t="s">
        <v>463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467</v>
      </c>
      <c r="N104" s="55" t="n">
        <v>46256</v>
      </c>
      <c r="O104" s="55" t="n">
        <v>46257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471</v>
      </c>
      <c r="N105" s="55" t="n">
        <v>46256</v>
      </c>
      <c r="O105" s="55" t="n">
        <v>46257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475</v>
      </c>
      <c r="N106" s="55" t="n">
        <v>46257</v>
      </c>
      <c r="O106" s="55" t="n">
        <v>46257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46257</v>
      </c>
      <c r="O107" s="45" t="n">
        <v>46258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482</v>
      </c>
      <c r="N108" s="55" t="n">
        <v>46257</v>
      </c>
      <c r="O108" s="55" t="n">
        <v>46258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486</v>
      </c>
      <c r="N109" s="55" t="n">
        <v>46258</v>
      </c>
      <c r="O109" s="55" t="n">
        <v>46258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490</v>
      </c>
      <c r="N110" s="55" t="n">
        <v>46257</v>
      </c>
      <c r="O110" s="55" t="n">
        <v>46258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46262</v>
      </c>
      <c r="M111" s="43"/>
      <c r="N111" s="44" t="n">
        <v>46262</v>
      </c>
      <c r="O111" s="45" t="n">
        <v>46262</v>
      </c>
      <c r="P111" s="46" t="s">
        <v>60</v>
      </c>
      <c r="Q111" s="37" t="n">
        <v>3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498</v>
      </c>
      <c r="N112" s="55" t="n">
        <v>46262</v>
      </c>
      <c r="O112" s="55" t="n">
        <v>46262</v>
      </c>
      <c r="P112" s="50" t="s">
        <v>124</v>
      </c>
      <c r="Q112" s="52" t="n">
        <v>3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502</v>
      </c>
      <c r="N113" s="55" t="n">
        <v>46262</v>
      </c>
      <c r="O113" s="55" t="n">
        <v>46262</v>
      </c>
      <c r="P113" s="50" t="s">
        <v>124</v>
      </c>
      <c r="Q113" s="52" t="n">
        <v>3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46265</v>
      </c>
      <c r="O114" s="33" t="n">
        <v>46419</v>
      </c>
      <c r="P114" s="34" t="s">
        <v>75</v>
      </c>
      <c r="Q114" s="31" t="n">
        <v>97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46352</v>
      </c>
      <c r="O115" s="45" t="n">
        <v>46352</v>
      </c>
      <c r="P115" s="46" t="s">
        <v>285</v>
      </c>
      <c r="Q115" s="37" t="n">
        <v>90</v>
      </c>
      <c r="R115" s="39"/>
      <c r="S115" s="39" t="n">
        <v>1</v>
      </c>
      <c r="T115" s="39" t="s">
        <v>286</v>
      </c>
      <c r="U115" s="58" t="n">
        <v>46352.0115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512</v>
      </c>
      <c r="N116" s="55" t="n">
        <v>46352</v>
      </c>
      <c r="O116" s="55" t="n">
        <v>46352</v>
      </c>
      <c r="P116" s="50" t="s">
        <v>285</v>
      </c>
      <c r="Q116" s="52" t="n">
        <v>92</v>
      </c>
      <c r="R116" s="52"/>
      <c r="S116" s="52" t="n">
        <v>2</v>
      </c>
      <c r="T116" s="52" t="s">
        <v>286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516</v>
      </c>
      <c r="N117" s="55" t="n">
        <v>46352</v>
      </c>
      <c r="O117" s="55" t="n">
        <v>46352</v>
      </c>
      <c r="P117" s="50" t="s">
        <v>285</v>
      </c>
      <c r="Q117" s="52" t="n">
        <v>91</v>
      </c>
      <c r="R117" s="52"/>
      <c r="S117" s="52" t="n">
        <v>2</v>
      </c>
      <c r="T117" s="52" t="s">
        <v>286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520</v>
      </c>
      <c r="N118" s="55" t="n">
        <v>46352</v>
      </c>
      <c r="O118" s="55" t="n">
        <v>46352</v>
      </c>
      <c r="P118" s="50" t="s">
        <v>285</v>
      </c>
      <c r="Q118" s="52" t="n">
        <v>91</v>
      </c>
      <c r="R118" s="52"/>
      <c r="S118" s="52" t="n">
        <v>2</v>
      </c>
      <c r="T118" s="52" t="s">
        <v>286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524</v>
      </c>
      <c r="N119" s="55" t="n">
        <v>46352</v>
      </c>
      <c r="O119" s="55" t="n">
        <v>46352</v>
      </c>
      <c r="P119" s="50" t="s">
        <v>285</v>
      </c>
      <c r="Q119" s="52" t="n">
        <v>91</v>
      </c>
      <c r="R119" s="52"/>
      <c r="S119" s="52" t="n">
        <v>2</v>
      </c>
      <c r="T119" s="52" t="s">
        <v>286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528</v>
      </c>
      <c r="N120" s="55" t="n">
        <v>46352</v>
      </c>
      <c r="O120" s="55" t="n">
        <v>46352</v>
      </c>
      <c r="P120" s="50" t="s">
        <v>285</v>
      </c>
      <c r="Q120" s="52" t="n">
        <v>90</v>
      </c>
      <c r="R120" s="52"/>
      <c r="S120" s="52" t="n">
        <v>2</v>
      </c>
      <c r="T120" s="52" t="s">
        <v>286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532</v>
      </c>
      <c r="N121" s="55" t="n">
        <v>46352</v>
      </c>
      <c r="O121" s="55" t="n">
        <v>46352</v>
      </c>
      <c r="P121" s="50" t="s">
        <v>285</v>
      </c>
      <c r="Q121" s="52" t="n">
        <v>90</v>
      </c>
      <c r="R121" s="52"/>
      <c r="S121" s="52" t="n">
        <v>2</v>
      </c>
      <c r="T121" s="52" t="s">
        <v>286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46328</v>
      </c>
      <c r="O122" s="45" t="n">
        <v>46328</v>
      </c>
      <c r="P122" s="46" t="s">
        <v>285</v>
      </c>
      <c r="Q122" s="37" t="n">
        <v>66</v>
      </c>
      <c r="R122" s="39"/>
      <c r="S122" s="39" t="n">
        <v>1</v>
      </c>
      <c r="T122" s="39" t="s">
        <v>286</v>
      </c>
      <c r="U122" s="58" t="n">
        <v>46328.0122</v>
      </c>
      <c r="V122" s="47" t="n">
        <v>0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46265</v>
      </c>
      <c r="L123" s="42" t="n">
        <v>46268</v>
      </c>
      <c r="M123" s="43"/>
      <c r="N123" s="44" t="n">
        <v>46265</v>
      </c>
      <c r="O123" s="45" t="n">
        <v>46268</v>
      </c>
      <c r="P123" s="46" t="s">
        <v>60</v>
      </c>
      <c r="Q123" s="37" t="n">
        <v>4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46406</v>
      </c>
      <c r="O124" s="45" t="n">
        <v>46419</v>
      </c>
      <c r="P124" s="46" t="s">
        <v>285</v>
      </c>
      <c r="Q124" s="37" t="n">
        <v>97</v>
      </c>
      <c r="R124" s="39"/>
      <c r="S124" s="39" t="n">
        <v>1</v>
      </c>
      <c r="T124" s="39" t="s">
        <v>286</v>
      </c>
      <c r="U124" s="58" t="n">
        <v>46406.0124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547</v>
      </c>
      <c r="N125" s="55" t="n">
        <v>46406</v>
      </c>
      <c r="O125" s="55" t="n">
        <v>46410</v>
      </c>
      <c r="P125" s="50" t="s">
        <v>285</v>
      </c>
      <c r="Q125" s="52" t="n">
        <v>97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551</v>
      </c>
      <c r="N126" s="55" t="n">
        <v>46409</v>
      </c>
      <c r="O126" s="55" t="n">
        <v>46416</v>
      </c>
      <c r="P126" s="50" t="s">
        <v>285</v>
      </c>
      <c r="Q126" s="52" t="n">
        <v>97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555</v>
      </c>
      <c r="N127" s="55" t="n">
        <v>46416</v>
      </c>
      <c r="O127" s="55" t="n">
        <v>46419</v>
      </c>
      <c r="P127" s="50" t="s">
        <v>285</v>
      </c>
      <c r="Q127" s="52" t="n">
        <v>97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298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/>
      <c r="M128" s="43"/>
      <c r="N128" s="44" t="n">
        <v>46364</v>
      </c>
      <c r="O128" s="45" t="n">
        <v>46364</v>
      </c>
      <c r="P128" s="46" t="s">
        <v>285</v>
      </c>
      <c r="Q128" s="37" t="n">
        <v>92</v>
      </c>
      <c r="R128" s="39"/>
      <c r="S128" s="39" t="n">
        <v>1</v>
      </c>
      <c r="T128" s="39" t="s">
        <v>286</v>
      </c>
      <c r="U128" s="58" t="n">
        <v>46364.0128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/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/>
      <c r="N129" s="44" t="n">
        <v>46365</v>
      </c>
      <c r="O129" s="45" t="n">
        <v>46365</v>
      </c>
      <c r="P129" s="46" t="s">
        <v>285</v>
      </c>
      <c r="Q129" s="37" t="n">
        <v>93</v>
      </c>
      <c r="R129" s="39"/>
      <c r="S129" s="39" t="n">
        <v>1</v>
      </c>
      <c r="T129" s="39" t="s">
        <v>286</v>
      </c>
      <c r="U129" s="58" t="n">
        <v>46365.0129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46365</v>
      </c>
      <c r="O130" s="45" t="n">
        <v>46370</v>
      </c>
      <c r="P130" s="46" t="s">
        <v>285</v>
      </c>
      <c r="Q130" s="37" t="n">
        <v>98</v>
      </c>
      <c r="R130" s="39"/>
      <c r="S130" s="39" t="n">
        <v>1</v>
      </c>
      <c r="T130" s="39" t="s">
        <v>286</v>
      </c>
      <c r="U130" s="58" t="n">
        <v>46365.013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563</v>
      </c>
      <c r="B131" s="39" t="s">
        <v>564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46403</v>
      </c>
      <c r="O131" s="45" t="n">
        <v>46405</v>
      </c>
      <c r="P131" s="46" t="s">
        <v>285</v>
      </c>
      <c r="Q131" s="37" t="n">
        <v>97</v>
      </c>
      <c r="R131" s="39"/>
      <c r="S131" s="39" t="n">
        <v>1</v>
      </c>
      <c r="T131" s="39" t="s">
        <v>286</v>
      </c>
      <c r="U131" s="58" t="n">
        <v>46403.0131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565</v>
      </c>
      <c r="D134" s="6" t="s">
        <v>566</v>
      </c>
    </row>
    <row r="135" customFormat="false" ht="15" hidden="false" customHeight="true" outlineLevel="0" collapsed="false">
      <c r="B135" s="63" t="s">
        <v>567</v>
      </c>
      <c r="D135" s="63" t="s">
        <v>568</v>
      </c>
      <c r="E135" s="63" t="s">
        <v>569</v>
      </c>
      <c r="I135" s="64" t="s">
        <v>570</v>
      </c>
      <c r="J135" s="64" t="s">
        <v>571</v>
      </c>
      <c r="K135" s="64" t="s">
        <v>572</v>
      </c>
      <c r="L135" s="64" t="s">
        <v>573</v>
      </c>
      <c r="O135" s="63" t="s">
        <v>574</v>
      </c>
      <c r="P135" s="63" t="s">
        <v>575</v>
      </c>
    </row>
    <row r="136" customFormat="false" ht="15" hidden="false" customHeight="true" outlineLevel="0" collapsed="false">
      <c r="B136" s="65" t="s">
        <v>576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577</v>
      </c>
    </row>
    <row r="137" customFormat="false" ht="15" hidden="false" customHeight="true" outlineLevel="0" collapsed="false">
      <c r="B137" s="65" t="s">
        <v>578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579</v>
      </c>
    </row>
    <row r="138" customFormat="false" ht="15" hidden="false" customHeight="true" outlineLevel="0" collapsed="false">
      <c r="B138" s="65" t="s">
        <v>580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581</v>
      </c>
    </row>
    <row r="139" customFormat="false" ht="15" hidden="false" customHeight="true" outlineLevel="0" collapsed="false">
      <c r="B139" s="65" t="s">
        <v>582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583</v>
      </c>
    </row>
    <row r="140" customFormat="false" ht="15" hidden="false" customHeight="true" outlineLevel="0" collapsed="false">
      <c r="B140" s="65" t="s">
        <v>584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585</v>
      </c>
    </row>
    <row r="141" customFormat="false" ht="15" hidden="false" customHeight="true" outlineLevel="0" collapsed="false">
      <c r="B141" s="70" t="s">
        <v>586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587</v>
      </c>
    </row>
    <row r="142" customFormat="false" ht="15" hidden="false" customHeight="true" outlineLevel="0" collapsed="false">
      <c r="B142" s="72" t="s">
        <v>588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589</v>
      </c>
    </row>
    <row r="145" customFormat="false" ht="15.75" hidden="false" customHeight="true" outlineLevel="0" collapsed="false">
      <c r="A145" s="77" t="s">
        <v>590</v>
      </c>
    </row>
    <row r="146" customFormat="false" ht="15" hidden="false" customHeight="true" outlineLevel="0" collapsed="false">
      <c r="B146" s="17" t="s">
        <v>591</v>
      </c>
      <c r="D146" s="78" t="s">
        <v>592</v>
      </c>
      <c r="E146" s="78"/>
      <c r="F146" s="78"/>
      <c r="G146" s="78"/>
      <c r="H146" s="78"/>
      <c r="I146" s="78"/>
      <c r="J146" s="78"/>
      <c r="K146" s="19" t="s">
        <v>593</v>
      </c>
    </row>
    <row r="147" customFormat="false" ht="15" hidden="false" customHeight="true" outlineLevel="0" collapsed="false">
      <c r="B147" s="79" t="s">
        <v>594</v>
      </c>
      <c r="E147" s="80" t="s">
        <v>595</v>
      </c>
      <c r="I147" s="79" t="s">
        <v>596</v>
      </c>
    </row>
    <row r="148" customFormat="false" ht="24" hidden="false" customHeight="true" outlineLevel="0" collapsed="false">
      <c r="A148" s="81" t="s">
        <v>597</v>
      </c>
      <c r="B148" s="82" t="s">
        <v>598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599</v>
      </c>
      <c r="B149" s="82" t="s">
        <v>600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601</v>
      </c>
      <c r="B150" s="82" t="s">
        <v>602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603</v>
      </c>
      <c r="B151" s="82" t="s">
        <v>604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605</v>
      </c>
      <c r="B152" s="82" t="s">
        <v>606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607</v>
      </c>
      <c r="B153" s="82" t="s">
        <v>608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609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610</v>
      </c>
    </row>
    <row r="2" customFormat="false" ht="15" hidden="false" customHeight="false" outlineLevel="0" collapsed="false">
      <c r="B2" s="87" t="s">
        <v>611</v>
      </c>
      <c r="C2" s="88" t="s">
        <v>612</v>
      </c>
    </row>
    <row r="3" customFormat="false" ht="15" hidden="false" customHeight="false" outlineLevel="0" collapsed="false">
      <c r="B3" s="87" t="s">
        <v>613</v>
      </c>
      <c r="C3" s="88" t="s">
        <v>614</v>
      </c>
    </row>
    <row r="4" customFormat="false" ht="15" hidden="false" customHeight="false" outlineLevel="0" collapsed="false">
      <c r="B4" s="89" t="s">
        <v>615</v>
      </c>
      <c r="C4" s="88" t="s">
        <v>616</v>
      </c>
    </row>
    <row r="5" customFormat="false" ht="15" hidden="false" customHeight="false" outlineLevel="0" collapsed="false">
      <c r="H5" s="90" t="s">
        <v>617</v>
      </c>
      <c r="I5" s="90"/>
      <c r="J5" s="90" t="s">
        <v>618</v>
      </c>
      <c r="K5" s="90"/>
      <c r="L5" s="90"/>
      <c r="M5" s="90"/>
      <c r="N5" s="90"/>
      <c r="O5" s="90" t="s">
        <v>619</v>
      </c>
      <c r="P5" s="90"/>
      <c r="Q5" s="90"/>
      <c r="R5" s="90"/>
      <c r="S5" s="90" t="s">
        <v>620</v>
      </c>
      <c r="T5" s="90"/>
      <c r="U5" s="90"/>
      <c r="V5" s="90"/>
      <c r="W5" s="90"/>
      <c r="X5" s="90" t="s">
        <v>621</v>
      </c>
      <c r="Y5" s="90"/>
      <c r="Z5" s="90"/>
      <c r="AA5" s="90"/>
      <c r="AB5" s="90" t="s">
        <v>622</v>
      </c>
      <c r="AC5" s="90"/>
      <c r="AD5" s="90"/>
      <c r="AE5" s="90"/>
      <c r="AF5" s="90" t="s">
        <v>623</v>
      </c>
      <c r="AG5" s="90"/>
      <c r="AH5" s="90"/>
      <c r="AI5" s="90"/>
      <c r="AJ5" s="90"/>
      <c r="AK5" s="90" t="s">
        <v>624</v>
      </c>
      <c r="AL5" s="90"/>
      <c r="AM5" s="90"/>
      <c r="AN5" s="90"/>
      <c r="AO5" s="90" t="s">
        <v>625</v>
      </c>
      <c r="AP5" s="90"/>
      <c r="AQ5" s="90"/>
      <c r="AR5" s="90"/>
      <c r="AS5" s="90" t="s">
        <v>626</v>
      </c>
      <c r="AT5" s="90"/>
      <c r="AU5" s="90"/>
      <c r="AV5" s="90"/>
      <c r="AW5" s="90" t="s">
        <v>627</v>
      </c>
      <c r="AX5" s="90"/>
      <c r="AY5" s="90"/>
      <c r="AZ5" s="90"/>
      <c r="BA5" s="90"/>
      <c r="BB5" s="90" t="s">
        <v>628</v>
      </c>
      <c r="BC5" s="90"/>
      <c r="BD5" s="90"/>
      <c r="BE5" s="90"/>
      <c r="BF5" s="90" t="s">
        <v>629</v>
      </c>
      <c r="BG5" s="90"/>
      <c r="BH5" s="90"/>
      <c r="BI5" s="90"/>
      <c r="BJ5" s="90"/>
      <c r="BK5" s="90" t="s">
        <v>630</v>
      </c>
      <c r="BL5" s="90"/>
      <c r="BM5" s="90"/>
      <c r="BN5" s="90"/>
      <c r="BO5" s="90" t="s">
        <v>631</v>
      </c>
      <c r="BP5" s="90"/>
      <c r="BQ5" s="90"/>
      <c r="BR5" s="90"/>
      <c r="BS5" s="90" t="s">
        <v>632</v>
      </c>
      <c r="BT5" s="90"/>
      <c r="BU5" s="90"/>
      <c r="BV5" s="90"/>
      <c r="BW5" s="90"/>
      <c r="BX5" s="90" t="s">
        <v>633</v>
      </c>
      <c r="BY5" s="90"/>
    </row>
    <row r="6" customFormat="false" ht="43.5" hidden="false" customHeight="true" outlineLevel="0" collapsed="false">
      <c r="A6" s="91" t="s">
        <v>634</v>
      </c>
      <c r="B6" s="91" t="s">
        <v>635</v>
      </c>
      <c r="C6" s="91" t="s">
        <v>636</v>
      </c>
      <c r="D6" s="91" t="s">
        <v>637</v>
      </c>
      <c r="E6" s="91" t="s">
        <v>638</v>
      </c>
      <c r="F6" s="91" t="s">
        <v>639</v>
      </c>
      <c r="G6" s="91" t="s">
        <v>640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641</v>
      </c>
      <c r="C8" s="95" t="s">
        <v>642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643</v>
      </c>
      <c r="D9" s="96"/>
      <c r="E9" s="99" t="n">
        <v>46197</v>
      </c>
      <c r="F9" s="99" t="n">
        <v>46197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644</v>
      </c>
      <c r="C10" s="95" t="s">
        <v>642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643</v>
      </c>
      <c r="D11" s="96"/>
      <c r="E11" s="99" t="n">
        <v>46204</v>
      </c>
      <c r="F11" s="99" t="n">
        <v>46213</v>
      </c>
      <c r="G11" s="100"/>
      <c r="H11" s="101"/>
      <c r="I11" s="101"/>
      <c r="J11" s="101"/>
      <c r="K11" s="101"/>
      <c r="L11" s="101"/>
      <c r="M11" s="101"/>
      <c r="N11" s="101" t="n">
        <v>0.5</v>
      </c>
      <c r="O11" s="101" t="n">
        <v>0.5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645</v>
      </c>
      <c r="C12" s="95" t="s">
        <v>642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643</v>
      </c>
      <c r="D13" s="96"/>
      <c r="E13" s="99" t="n">
        <v>46227</v>
      </c>
      <c r="F13" s="99" t="n">
        <v>46227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 t="n">
        <v>0.5</v>
      </c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646</v>
      </c>
      <c r="C14" s="95" t="s">
        <v>642</v>
      </c>
      <c r="D14" s="96" t="n">
        <v>1.5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0.535714285714286</v>
      </c>
      <c r="O14" s="98" t="n">
        <f aca="false">IF($E14="",0,IF(O$6+6&lt;$E14,0,IF(O$6&gt;$F14,0,$D14*(IF(O$6+6&lt;$F14,O$6+6,$F14)-IF(O$6&gt;$E14,O$6,$E14)+1)/($F14-$E14+1))))</f>
        <v>0.75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643</v>
      </c>
      <c r="D15" s="96"/>
      <c r="E15" s="99" t="n">
        <v>46204</v>
      </c>
      <c r="F15" s="99" t="n">
        <v>46217</v>
      </c>
      <c r="G15" s="100"/>
      <c r="H15" s="101"/>
      <c r="I15" s="101"/>
      <c r="J15" s="101"/>
      <c r="K15" s="101"/>
      <c r="L15" s="101"/>
      <c r="M15" s="101"/>
      <c r="N15" s="101" t="n">
        <v>0.5</v>
      </c>
      <c r="O15" s="101" t="n">
        <v>0.5</v>
      </c>
      <c r="P15" s="101" t="n">
        <v>0.5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647</v>
      </c>
      <c r="C16" s="95" t="s">
        <v>642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648</v>
      </c>
      <c r="C18" s="95" t="s">
        <v>642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649</v>
      </c>
      <c r="B20" s="95" t="s">
        <v>650</v>
      </c>
      <c r="C20" s="95" t="s">
        <v>642</v>
      </c>
      <c r="D20" s="96" t="n">
        <v>1.5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0.16304347826087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0.195652173913044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643</v>
      </c>
      <c r="D21" s="96"/>
      <c r="E21" s="99" t="n">
        <v>46274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 t="n">
        <v>0.2143</v>
      </c>
      <c r="Y21" s="101" t="n">
        <v>0.2143</v>
      </c>
      <c r="Z21" s="101" t="n">
        <v>0.2143</v>
      </c>
      <c r="AA21" s="101" t="n">
        <v>0.2143</v>
      </c>
      <c r="AB21" s="101" t="n">
        <v>0.2143</v>
      </c>
      <c r="AC21" s="101" t="n">
        <v>0.2143</v>
      </c>
      <c r="AD21" s="101" t="n">
        <v>0.2143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651</v>
      </c>
      <c r="C23" s="95" t="s">
        <v>642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643</v>
      </c>
      <c r="D24" s="96"/>
      <c r="E24" s="99" t="n">
        <v>46230</v>
      </c>
      <c r="F24" s="99" t="n">
        <v>46247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 t="n">
        <v>6.6667</v>
      </c>
      <c r="S24" s="101" t="n">
        <v>6.6667</v>
      </c>
      <c r="T24" s="101" t="n">
        <v>6.6667</v>
      </c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652</v>
      </c>
      <c r="C25" s="95" t="s">
        <v>642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643</v>
      </c>
      <c r="D26" s="96"/>
      <c r="E26" s="99" t="n">
        <v>46254</v>
      </c>
      <c r="F26" s="99" t="n">
        <v>46257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 t="n">
        <v>10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653</v>
      </c>
      <c r="C27" s="95" t="s">
        <v>642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643</v>
      </c>
      <c r="D28" s="96"/>
      <c r="E28" s="99" t="n">
        <v>46251</v>
      </c>
      <c r="F28" s="99" t="n">
        <v>46257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 t="n">
        <v>20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654</v>
      </c>
      <c r="C29" s="95" t="s">
        <v>642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643</v>
      </c>
      <c r="D30" s="96"/>
      <c r="E30" s="99" t="n">
        <v>46252</v>
      </c>
      <c r="F30" s="99" t="n">
        <v>46254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2.5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655</v>
      </c>
      <c r="C31" s="95" t="s">
        <v>642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643</v>
      </c>
      <c r="D32" s="96"/>
      <c r="E32" s="99" t="n">
        <v>46252</v>
      </c>
      <c r="F32" s="99" t="n">
        <v>46255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 t="n">
        <v>15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656</v>
      </c>
      <c r="C33" s="95" t="s">
        <v>642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643</v>
      </c>
      <c r="D34" s="96"/>
      <c r="E34" s="99" t="n">
        <v>46253</v>
      </c>
      <c r="F34" s="99" t="n">
        <v>46256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 t="n">
        <v>10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657</v>
      </c>
      <c r="C35" s="95" t="s">
        <v>642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643</v>
      </c>
      <c r="D36" s="96"/>
      <c r="E36" s="99" t="n">
        <v>46254</v>
      </c>
      <c r="F36" s="99" t="n">
        <v>46256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658</v>
      </c>
      <c r="C37" s="95" t="s">
        <v>642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643</v>
      </c>
      <c r="D38" s="96"/>
      <c r="E38" s="99" t="n">
        <v>46255</v>
      </c>
      <c r="F38" s="99" t="n">
        <v>46257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659</v>
      </c>
      <c r="C39" s="95" t="s">
        <v>642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643</v>
      </c>
      <c r="D40" s="96"/>
      <c r="E40" s="99" t="n">
        <v>46257</v>
      </c>
      <c r="F40" s="99" t="n">
        <v>46258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1.25</v>
      </c>
      <c r="V40" s="101" t="n">
        <v>1.25</v>
      </c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661</v>
      </c>
      <c r="C42" s="95" t="s">
        <v>642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662</v>
      </c>
      <c r="C44" s="95" t="s">
        <v>642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663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1.03571428571429</v>
      </c>
      <c r="O47" s="103" t="n">
        <f aca="false">SUMIF($C$7:$C$45,"Plan",O$7:O$45)</f>
        <v>1.25</v>
      </c>
      <c r="P47" s="103" t="n">
        <f aca="false">SUMIF($C$7:$C$45,"Plan",P$7:P$45)</f>
        <v>0.214285714285714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3.16304347826087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0.195652173913044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0.5</v>
      </c>
      <c r="N48" s="103" t="n">
        <f aca="false">SUMIF($C$7:$C$45,"Actual",N$7:N$45)</f>
        <v>1</v>
      </c>
      <c r="O48" s="103" t="n">
        <f aca="false">SUMIF($C$7:$C$45,"Actual",O$7:O$45)</f>
        <v>1</v>
      </c>
      <c r="P48" s="103" t="n">
        <f aca="false">SUMIF($C$7:$C$45,"Actual",P$7:P$45)</f>
        <v>0.5</v>
      </c>
      <c r="Q48" s="103" t="n">
        <f aca="false">SUMIF($C$7:$C$45,"Actual",Q$7:Q$45)</f>
        <v>0.5</v>
      </c>
      <c r="R48" s="103" t="n">
        <f aca="false">SUMIF($C$7:$C$45,"Actual",R$7:R$45)</f>
        <v>6.6667</v>
      </c>
      <c r="S48" s="103" t="n">
        <f aca="false">SUMIF($C$7:$C$45,"Actual",S$7:S$45)</f>
        <v>6.6667</v>
      </c>
      <c r="T48" s="103" t="n">
        <f aca="false">SUMIF($C$7:$C$45,"Actual",T$7:T$45)</f>
        <v>6.6667</v>
      </c>
      <c r="U48" s="103" t="n">
        <f aca="false">SUMIF($C$7:$C$45,"Actual",U$7:U$45)</f>
        <v>68.75</v>
      </c>
      <c r="V48" s="103" t="n">
        <f aca="false">SUMIF($C$7:$C$45,"Actual",V$7:V$45)</f>
        <v>1.25</v>
      </c>
      <c r="W48" s="103" t="n">
        <f aca="false">SUMIF($C$7:$C$45,"Actual",W$7:W$45)</f>
        <v>0</v>
      </c>
      <c r="X48" s="103" t="n">
        <f aca="false">SUMIF($C$7:$C$45,"Actual",X$7:X$45)</f>
        <v>0.2143</v>
      </c>
      <c r="Y48" s="103" t="n">
        <f aca="false">SUMIF($C$7:$C$45,"Actual",Y$7:Y$45)</f>
        <v>0.2143</v>
      </c>
      <c r="Z48" s="103" t="n">
        <f aca="false">SUMIF($C$7:$C$45,"Actual",Z$7:Z$45)</f>
        <v>0.2143</v>
      </c>
      <c r="AA48" s="103" t="n">
        <f aca="false">SUMIF($C$7:$C$45,"Actual",AA$7:AA$45)</f>
        <v>0.2143</v>
      </c>
      <c r="AB48" s="103" t="n">
        <f aca="false">SUMIF($C$7:$C$45,"Actual",AB$7:AB$45)</f>
        <v>0.2143</v>
      </c>
      <c r="AC48" s="103" t="n">
        <f aca="false">SUMIF($C$7:$C$45,"Actual",AC$7:AC$45)</f>
        <v>0.2143</v>
      </c>
      <c r="AD48" s="103" t="n">
        <f aca="false">SUMIF($C$7:$C$45,"Actual",AD$7:AD$45)</f>
        <v>0.2143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665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1.53571428571429</v>
      </c>
      <c r="O49" s="105" t="n">
        <f aca="false">N49+O47</f>
        <v>2.78571428571429</v>
      </c>
      <c r="P49" s="105" t="n">
        <f aca="false">O49+P47</f>
        <v>3</v>
      </c>
      <c r="Q49" s="105" t="n">
        <f aca="false">P49+Q47</f>
        <v>3.5</v>
      </c>
      <c r="R49" s="105" t="n">
        <f aca="false">Q49+R47</f>
        <v>11.2777777777778</v>
      </c>
      <c r="S49" s="105" t="n">
        <f aca="false">R49+S47</f>
        <v>19.0555555555556</v>
      </c>
      <c r="T49" s="105" t="n">
        <f aca="false">S49+T47</f>
        <v>43.8809523809524</v>
      </c>
      <c r="U49" s="105" t="n">
        <f aca="false">T49+U47</f>
        <v>93</v>
      </c>
      <c r="V49" s="105" t="n">
        <f aca="false">U49+V47</f>
        <v>96.1630434782609</v>
      </c>
      <c r="W49" s="105" t="n">
        <f aca="false">V49+W47</f>
        <v>96.3913043478261</v>
      </c>
      <c r="X49" s="105" t="n">
        <f aca="false">W49+X47</f>
        <v>96.6195652173913</v>
      </c>
      <c r="Y49" s="105" t="n">
        <f aca="false">X49+Y47</f>
        <v>96.8478260869565</v>
      </c>
      <c r="Z49" s="105" t="n">
        <f aca="false">Y49+Z47</f>
        <v>97.0760869565218</v>
      </c>
      <c r="AA49" s="105" t="n">
        <f aca="false">Z49+AA47</f>
        <v>97.304347826087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666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0.5</v>
      </c>
      <c r="N50" s="105" t="n">
        <f aca="false">IF(N$6&gt;46314,"",M50+N48)</f>
        <v>1.5</v>
      </c>
      <c r="O50" s="105" t="n">
        <f aca="false">IF(O$6&gt;46314,"",N50+O48)</f>
        <v>2.5</v>
      </c>
      <c r="P50" s="105" t="n">
        <f aca="false">IF(P$6&gt;46314,"",O50+P48)</f>
        <v>3</v>
      </c>
      <c r="Q50" s="105" t="n">
        <f aca="false">IF(Q$6&gt;46314,"",P50+Q48)</f>
        <v>3.5</v>
      </c>
      <c r="R50" s="105" t="n">
        <f aca="false">IF(R$6&gt;46314,"",Q50+R48)</f>
        <v>10.1667</v>
      </c>
      <c r="S50" s="105" t="n">
        <f aca="false">IF(S$6&gt;46314,"",R50+S48)</f>
        <v>16.8334</v>
      </c>
      <c r="T50" s="105" t="n">
        <f aca="false">IF(T$6&gt;46314,"",S50+T48)</f>
        <v>23.5001</v>
      </c>
      <c r="U50" s="105" t="n">
        <f aca="false">IF(U$6&gt;46314,"",T50+U48)</f>
        <v>92.2501</v>
      </c>
      <c r="V50" s="105" t="n">
        <f aca="false">IF(V$6&gt;46314,"",U50+V48)</f>
        <v>93.5001</v>
      </c>
      <c r="W50" s="105" t="n">
        <f aca="false">IF(W$6&gt;46314,"",V50+W48)</f>
        <v>93.5001</v>
      </c>
      <c r="X50" s="105" t="n">
        <f aca="false">IF(X$6&gt;46314,"",W50+X48)</f>
        <v>93.7144</v>
      </c>
      <c r="Y50" s="105" t="n">
        <f aca="false">IF(Y$6&gt;46314,"",X50+Y48)</f>
        <v>93.9287</v>
      </c>
      <c r="Z50" s="105" t="n">
        <f aca="false">IF(Z$6&gt;46314,"",Y50+Z48)</f>
        <v>94.143</v>
      </c>
      <c r="AA50" s="105" t="n">
        <f aca="false">IF(AA$6&gt;46314,"",Z50+AA48)</f>
        <v>94.3573</v>
      </c>
      <c r="AB50" s="105" t="n">
        <f aca="false">IF(AB$6&gt;46314,"",AA50+AB48)</f>
        <v>94.5716</v>
      </c>
      <c r="AC50" s="105" t="n">
        <f aca="false">IF(AC$6&gt;46314,"",AB50+AC48)</f>
        <v>94.7859</v>
      </c>
      <c r="AD50" s="105" t="n">
        <f aca="false">IF(AD$6&gt;46314,"",AC50+AD48)</f>
        <v>95.0002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2026-10-26T04:42:45Z</dcterms:created>
  <dc:creator>openpyxl</dc:creator>
  <dc:description/>
  <dc:language>en-US</dc:language>
  <cp:lastModifiedBy/>
  <dcterms:modified xsi:type="dcterms:W3CDTF">2026-10-26T11:46:38Z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