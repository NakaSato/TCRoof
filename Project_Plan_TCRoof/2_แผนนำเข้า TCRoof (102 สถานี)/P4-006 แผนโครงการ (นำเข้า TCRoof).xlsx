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<sst xmlns="http://schemas.openxmlformats.org/spreadsheetml/2006/main" count="1303" uniqueCount="666">
  <si>
    <t xml:space="preserve">แผนโครงการ P4-006 – โรงกรองน้ำพยุหะคีรี 106.02 kWp</t>
  </si>
  <si>
    <t xml:space="preserve">กปภ.สาขาพยุหะคีรี, ภาคเหนือ-กลาง, กฟภ. เขต น.3, Inverter 125 kW (ไม่ต้อง พค.2), Zero export LV, คำขอ PPIM1A50661A, วิศวกร เก้า, Admin บีม, ผรม. S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</si>
  <si>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</si>
  <si>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</si>
  <si>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</si>
  <si>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</si>
  <si>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</si>
  <si>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</si>
  <si>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</si>
  <si>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</si>
  <si>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</si>
  <si>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</si>
  <si>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</si>
  <si>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</si>
  <si>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</si>
  <si>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</si>
  <si>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</si>
  <si>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</si>
  <si>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</si>
  <si>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</si>
  <si>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</si>
  <si>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</si>
  <si>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</si>
  <si>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</si>
  <si>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</si>
  <si>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</si>
  <si>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</si>
  <si>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</si>
  <si>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</si>
  <si>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</si>
  <si>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</si>
  <si>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</si>
  <si>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</si>
  <si>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</si>
  <si>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</si>
  <si>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</si>
  <si>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</si>
  <si>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</si>
  <si>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</si>
  <si>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</si>
  <si>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</si>
  <si>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</si>
  <si>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</si>
  <si>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</si>
  <si>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</si>
  <si>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</si>
  <si>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</si>
  <si>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</si>
  <si>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</si>
  <si>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</si>
  <si>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</si>
  <si>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</si>
  <si>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</si>
  <si>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</si>
  <si>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</si>
  <si>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</si>
  <si>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</si>
  <si>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</si>
  <si>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</si>
  <si>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</si>
  <si>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</si>
  <si>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</si>
  <si>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</si>
  <si>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</si>
  <si>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</si>
  <si>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</si>
  <si>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</si>
  <si>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</si>
  <si>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</si>
  <si>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</si>
  <si>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</si>
  <si>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</si>
  <si>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</si>
  <si>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</si>
  <si>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</si>
  <si>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</si>
  <si>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</si>
  <si>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</si>
  <si>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</si>
  <si>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</si>
  <si>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</si>
  <si>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</si>
  <si>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</si>
  <si>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</si>
  <si>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</si>
  <si>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</si>
  <si>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</si>
  <si>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</si>
  <si>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</si>
  <si>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</si>
  <si>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</si>
  <si>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</si>
  <si>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</si>
  <si>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</si>
  <si>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</si>
  <si>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</si>
  <si>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</si>
  <si>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</si>
  <si>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</si>
  <si>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</si>
  <si>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</si>
  <si>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</si>
  <si>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</si>
  <si>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</si>
  <si>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</si>
  <si>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</si>
  <si>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</si>
  <si>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</si>
  <si>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</si>
  <si>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</si>
  <si>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</si>
  <si>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TC-PML-2026-153,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</si>
  <si>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</si>
  <si>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</si>
  <si>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</si>
  <si>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</si>
  <si>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</si>
  <si>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</si>
  <si>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</si>
  <si>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</si>
  <si>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</si>
  <si>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</si>
  <si>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</si>
  <si>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</si>
  <si>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</si>
  <si>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</si>
  <si>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</si>
  <si>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</si>
  <si>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</si>
  <si>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</si>
  <si>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</si>
  <si>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</si>
  <si>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</si>
  <si>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</si>
  <si>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</si>
  <si>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</si>
  <si>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</si>
  <si>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</si>
  <si>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</si>
  <si>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</si>
  <si>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</si>
  <si>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</si>
  <si>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</si>
  <si>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</si>
  <si>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</si>
  <si>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</si>
  <si>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</si>
  <si>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</si>
  <si>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</si>
  <si>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</si>
  <si>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</si>
  <si>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</si>
  <si>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</si>
  <si>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</t>
    </r>
  </si>
  <si>
    <t xml:space="preserve">0.3</t>
  </si>
  <si>
    <t xml:space="preserve">หนังสือแจ้งขอดับไฟ</t>
  </si>
  <si>
    <t xml:space="preserve">TC-PML-2026-416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</si>
  <si>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</si>
  <si>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</si>
  <si>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</si>
  <si>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</si>
  <si>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</si>
  <si>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</si>
  <si>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</si>
  <si>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</si>
  <si>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</si>
  <si>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</si>
  <si>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</si>
  <si>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</si>
  <si>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</si>
  <si>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</si>
  <si>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</si>
  <si>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</si>
  <si>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</si>
  <si>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</si>
  <si>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</si>
  <si>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</si>
  <si>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</si>
  <si>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</si>
  <si>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</si>
  <si>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</si>
  <si>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</si>
  <si>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</si>
  <si>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</si>
  <si>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</si>
  <si>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</si>
  <si>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</si>
  <si>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</si>
  <si>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</si>
  <si>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</si>
  <si>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</si>
  <si>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</si>
  <si>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</si>
  <si>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</si>
  <si>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</si>
  <si>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</si>
  <si>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</si>
  <si>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</si>
  <si>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</si>
  <si>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</si>
  <si>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</si>
  <si>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</si>
  <si>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</si>
  <si>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</si>
  <si>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</si>
  <si>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</si>
  <si>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</si>
  <si>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</si>
  <si>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</si>
  <si>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</si>
  <si>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</si>
  <si>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</si>
  <si>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</si>
  <si>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</si>
  <si>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</si>
  <si>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</si>
  <si>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</si>
  <si>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</si>
  <si>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</si>
  <si>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</si>
  <si>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</si>
  <si>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</si>
  <si>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</si>
  <si>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</si>
  <si>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</si>
  <si>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</si>
  <si>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</si>
  <si>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</si>
  <si>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</si>
  <si>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</si>
  <si>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</si>
  <si>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</si>
  <si>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</si>
  <si>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</si>
  <si>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</si>
  <si>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</si>
  <si>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</si>
  <si>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</si>
  <si>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</si>
  <si>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</si>
  <si>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</si>
  <si>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</si>
  <si>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</si>
  <si>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</si>
  <si>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</si>
  <si>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</si>
  <si>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</si>
  <si>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</si>
  <si>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</si>
  <si>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</si>
  <si>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</si>
  <si>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</si>
  <si>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</si>
  <si>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</si>
  <si>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</si>
  <si>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</si>
  <si>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</si>
  <si>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</si>
  <si>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</si>
  <si>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</si>
  <si>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</si>
  <si>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</si>
  <si>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</si>
  <si>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</si>
  <si>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</si>
  <si>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</si>
  <si>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</si>
  <si>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</si>
  <si>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</si>
  <si>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</si>
  <si>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</si>
  <si>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</si>
  <si>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</t>
    </r>
  </si>
  <si>
    <t xml:space="preserve">1.7.1</t>
  </si>
  <si>
    <t xml:space="preserve">คำขอขนานไฟ PPIM (ชุด 11 ไฟล์)</t>
  </si>
  <si>
    <t xml:space="preserve">PPIM1A50661A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</si>
  <si>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</si>
  <si>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</si>
  <si>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</si>
  <si>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</si>
  <si>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</si>
  <si>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</si>
  <si>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</si>
  <si>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</si>
  <si>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</si>
  <si>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</si>
  <si>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</si>
  <si>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</si>
  <si>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</si>
  <si>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</si>
  <si>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</si>
  <si>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</si>
  <si>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</si>
  <si>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</si>
  <si>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</si>
  <si>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</si>
  <si>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</si>
  <si>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</si>
  <si>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</si>
  <si>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</si>
  <si>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</si>
  <si>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</si>
  <si>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</si>
  <si>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</si>
  <si>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</si>
  <si>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</si>
  <si>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</si>
  <si>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</si>
  <si>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</si>
  <si>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</si>
  <si>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</si>
  <si>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</si>
  <si>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</si>
  <si>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</si>
  <si>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</si>
  <si>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</si>
  <si>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</si>
  <si>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</si>
  <si>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</si>
  <si>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</si>
  <si>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</si>
  <si>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</si>
  <si>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</si>
  <si>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</si>
  <si>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</si>
  <si>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</si>
  <si>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</si>
  <si>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</si>
  <si>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</si>
  <si>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</si>
  <si>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</si>
  <si>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</si>
  <si>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</si>
  <si>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</si>
  <si>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</si>
  <si>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</si>
  <si>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</si>
  <si>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</si>
  <si>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</si>
  <si>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</si>
  <si>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</si>
  <si>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</si>
  <si>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</si>
  <si>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</si>
  <si>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</si>
  <si>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</si>
  <si>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</si>
  <si>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</si>
  <si>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</si>
  <si>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</si>
  <si>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</si>
  <si>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</si>
  <si>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</si>
  <si>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</si>
  <si>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</si>
  <si>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</si>
  <si>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</si>
  <si>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</si>
  <si>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</si>
  <si>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</si>
  <si>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</si>
  <si>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</si>
  <si>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</si>
  <si>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</si>
  <si>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</si>
  <si>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</si>
  <si>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</si>
  <si>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</si>
  <si>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</si>
  <si>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</si>
  <si>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</si>
  <si>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</si>
  <si>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</si>
  <si>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</si>
  <si>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</si>
  <si>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</si>
  <si>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</si>
  <si>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</si>
  <si>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</si>
  <si>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</si>
  <si>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</si>
  <si>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</si>
  <si>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</si>
  <si>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</si>
  <si>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</si>
  <si>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</si>
  <si>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</si>
  <si>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</si>
  <si>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</si>
  <si>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</si>
  <si>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</si>
  <si>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</si>
  <si>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</si>
  <si>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</si>
  <si>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</si>
  <si>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</si>
  <si>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</si>
  <si>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</si>
  <si>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</si>
  <si>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</si>
  <si>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</si>
  <si>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</si>
  <si>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</si>
  <si>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</si>
  <si>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</si>
  <si>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</si>
  <si>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</si>
  <si>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</si>
  <si>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</si>
  <si>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</si>
  <si>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</si>
  <si>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</si>
  <si>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</si>
  <si>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</si>
  <si>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</si>
  <si>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</si>
  <si>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</si>
  <si>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</si>
  <si>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</si>
  <si>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</si>
  <si>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</si>
  <si>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</si>
  <si>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</si>
  <si>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</si>
  <si>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</si>
  <si>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</si>
  <si>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</si>
  <si>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</si>
  <si>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</si>
  <si>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</si>
  <si>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</si>
  <si>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</si>
  <si>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</si>
  <si>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</si>
  <si>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</si>
  <si>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</si>
  <si>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</si>
  <si>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</si>
  <si>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</si>
  <si>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</si>
  <si>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</si>
  <si>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</si>
  <si>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</si>
  <si>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</si>
  <si>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</si>
  <si>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</si>
  <si>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</si>
  <si>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</si>
  <si>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</si>
  <si>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</si>
  <si>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</si>
  <si>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</si>
  <si>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</si>
  <si>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</si>
  <si>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</si>
  <si>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</si>
  <si>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</si>
  <si>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</si>
  <si>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</si>
  <si>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</si>
  <si>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</si>
  <si>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</si>
  <si>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</si>
  <si>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</si>
  <si>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</si>
  <si>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</si>
  <si>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</si>
  <si>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</si>
  <si>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</si>
  <si>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</si>
  <si>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</si>
  <si>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</si>
  <si>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</si>
  <si>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</si>
  <si>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</si>
  <si>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</si>
  <si>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</si>
  <si>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</si>
  <si>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</si>
  <si>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</si>
  <si>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</si>
  <si>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</si>
  <si>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</si>
  <si>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</si>
  <si>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</si>
  <si>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</si>
  <si>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</si>
  <si>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</si>
  <si>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</si>
  <si>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</si>
  <si>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</si>
  <si>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</si>
  <si>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</si>
  <si>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</si>
  <si>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</si>
  <si>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</si>
  <si>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</si>
  <si>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</si>
  <si>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</si>
  <si>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</si>
  <si>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</si>
  <si>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</si>
  <si>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</si>
  <si>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</si>
  <si>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</si>
  <si>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</si>
  <si>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</si>
  <si>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</si>
  <si>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</si>
  <si>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</si>
  <si>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</si>
  <si>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</si>
  <si>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</si>
  <si>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</si>
  <si>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</si>
  <si>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</si>
  <si>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</si>
  <si>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</si>
  <si>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</si>
  <si>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</si>
  <si>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</si>
  <si>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</si>
  <si>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</si>
  <si>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</si>
  <si>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</si>
  <si>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</si>
  <si>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</si>
  <si>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</si>
  <si>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</si>
  <si>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</si>
  <si>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</si>
  <si>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</si>
  <si>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</si>
  <si>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</si>
  <si>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</si>
  <si>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</si>
  <si>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</si>
  <si>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</si>
  <si>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</si>
  <si>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</si>
  <si>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</si>
  <si>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</si>
  <si>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</si>
  <si>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</si>
  <si>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</si>
  <si>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</si>
  <si>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</si>
  <si>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</si>
  <si>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</si>
  <si>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</si>
  <si>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</si>
  <si>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</si>
  <si>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</si>
  <si>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</si>
  <si>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</si>
  <si>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</si>
  <si>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</si>
  <si>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</si>
  <si>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</si>
  <si>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</si>
  <si>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</si>
  <si>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</si>
  <si>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</si>
  <si>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</si>
  <si>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</si>
  <si>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</si>
  <si>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</si>
  <si>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</si>
  <si>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</si>
  <si>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</si>
  <si>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</si>
  <si>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</si>
  <si>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</si>
  <si>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</si>
  <si>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</si>
  <si>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</si>
  <si>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</si>
  <si>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</si>
  <si>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</si>
  <si>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</si>
  <si>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</si>
  <si>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</si>
  <si>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</si>
  <si>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</si>
  <si>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</si>
  <si>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</si>
  <si>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</si>
  <si>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</si>
  <si>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</si>
  <si>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</si>
  <si>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</si>
  <si>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</si>
  <si>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</si>
  <si>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</si>
  <si>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</si>
  <si>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</si>
  <si>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</si>
  <si>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</si>
  <si>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</si>
  <si>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</si>
  <si>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</si>
  <si>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</si>
  <si>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</si>
  <si>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</si>
  <si>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</si>
  <si>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</si>
  <si>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</si>
  <si>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</si>
  <si>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</si>
  <si>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</si>
  <si>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</si>
  <si>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โรงกรองน้ำพยุหะคีรี การประปาส่วนภูมิภาคสาขาพยุหะคีรี ขนาดกำลังผลิต </t>
    </r>
    <r>
      <rPr>
        <sz val="10"/>
        <rFont val="Tahoma"/>
        <family val="0"/>
        <charset val="1"/>
      </rPr>
      <t xml:space="preserve">106.02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</si>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</sst>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13.5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712998"/>
        <c:axId val="12828695"/>
      </c:lineChart>
      <c:catAx>
        <c:axId val="1271299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28695"/>
        <c:crosses val="autoZero"/>
        <c:auto val="1"/>
        <c:lblAlgn val="ctr"/>
        <c:lblOffset val="100"/>
        <c:noMultiLvlLbl val="0"/>
      </c:catAx>
      <c:valAx>
        <c:axId val="12828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12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88</v>
      </c>
      <c r="M4" s="12"/>
      <c r="N4" s="12" t="n">
        <v>94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46391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46391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46191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46191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46191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46202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46191</v>
      </c>
      <c r="O14" s="55" t="n">
        <v>46391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46191</v>
      </c>
      <c r="O15" s="55" t="n">
        <v>46391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26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26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26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26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46371</v>
      </c>
      <c r="P29" s="34" t="s">
        <v>75</v>
      </c>
      <c r="Q29" s="31" t="n">
        <v>94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28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62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62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46325</v>
      </c>
      <c r="O59" s="45" t="n">
        <v>46325</v>
      </c>
      <c r="P59" s="46" t="s">
        <v>285</v>
      </c>
      <c r="Q59" s="37" t="n">
        <v>64</v>
      </c>
      <c r="R59" s="39"/>
      <c r="S59" s="39" t="n">
        <v>1</v>
      </c>
      <c r="T59" s="39" t="s">
        <v>286</v>
      </c>
      <c r="U59" s="58" t="n">
        <v>46325.0059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46330</v>
      </c>
      <c r="O60" s="60" t="n">
        <v>46371</v>
      </c>
      <c r="P60" s="46" t="s">
        <v>285</v>
      </c>
      <c r="Q60" s="37" t="n">
        <v>94</v>
      </c>
      <c r="R60" s="39"/>
      <c r="S60" s="39" t="n">
        <v>1</v>
      </c>
      <c r="T60" s="39" t="s">
        <v>286</v>
      </c>
      <c r="U60" s="58" t="n">
        <v>46330.006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46209</v>
      </c>
      <c r="O61" s="33" t="n">
        <v>46238</v>
      </c>
      <c r="P61" s="34" t="s">
        <v>60</v>
      </c>
      <c r="Q61" s="31" t="n">
        <v>7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11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46209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305</v>
      </c>
      <c r="N63" s="55" t="n">
        <v>46209</v>
      </c>
      <c r="O63" s="55" t="n">
        <v>46210</v>
      </c>
      <c r="P63" s="50" t="s">
        <v>124</v>
      </c>
      <c r="Q63" s="52" t="n">
        <v>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309</v>
      </c>
      <c r="N64" s="55" t="n">
        <v>46209</v>
      </c>
      <c r="O64" s="55" t="n">
        <v>46211</v>
      </c>
      <c r="P64" s="50" t="s">
        <v>124</v>
      </c>
      <c r="Q64" s="52" t="n">
        <v>6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313</v>
      </c>
      <c r="N65" s="55" t="n">
        <v>46210</v>
      </c>
      <c r="O65" s="55" t="n">
        <v>46214</v>
      </c>
      <c r="P65" s="50" t="s">
        <v>124</v>
      </c>
      <c r="Q65" s="52" t="n">
        <v>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317</v>
      </c>
      <c r="N66" s="55" t="n">
        <v>46213</v>
      </c>
      <c r="O66" s="55" t="n">
        <v>46218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321</v>
      </c>
      <c r="N67" s="55" t="n">
        <v>46215</v>
      </c>
      <c r="O67" s="55" t="n">
        <v>46219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325</v>
      </c>
      <c r="N68" s="55" t="n">
        <v>46217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329</v>
      </c>
      <c r="N69" s="55" t="n">
        <v>46219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337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341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345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349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353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4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46226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361</v>
      </c>
      <c r="N77" s="55" t="n">
        <v>46226</v>
      </c>
      <c r="O77" s="55" t="n">
        <v>46227</v>
      </c>
      <c r="P77" s="50" t="s">
        <v>124</v>
      </c>
      <c r="Q77" s="52" t="n">
        <v>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365</v>
      </c>
      <c r="N78" s="55" t="n">
        <v>46226</v>
      </c>
      <c r="O78" s="55" t="n">
        <v>46229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369</v>
      </c>
      <c r="N79" s="55" t="n">
        <v>46227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373</v>
      </c>
      <c r="N80" s="55" t="n">
        <v>46228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377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385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389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397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401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405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409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46238</v>
      </c>
      <c r="M111" s="43"/>
      <c r="N111" s="44" t="n">
        <v>46238</v>
      </c>
      <c r="O111" s="45" t="n">
        <v>46238</v>
      </c>
      <c r="P111" s="46" t="s">
        <v>60</v>
      </c>
      <c r="Q111" s="37" t="n">
        <v>7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498</v>
      </c>
      <c r="N112" s="55" t="n">
        <v>46238</v>
      </c>
      <c r="O112" s="55" t="n">
        <v>46238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502</v>
      </c>
      <c r="N113" s="55" t="n">
        <v>46238</v>
      </c>
      <c r="O113" s="55" t="n">
        <v>46238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46391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46322</v>
      </c>
      <c r="O115" s="45" t="n">
        <v>46322</v>
      </c>
      <c r="P115" s="46" t="s">
        <v>285</v>
      </c>
      <c r="Q115" s="37" t="n">
        <v>88</v>
      </c>
      <c r="R115" s="39"/>
      <c r="S115" s="39" t="n">
        <v>1</v>
      </c>
      <c r="T115" s="39" t="s">
        <v>286</v>
      </c>
      <c r="U115" s="58" t="n">
        <v>46322.0115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512</v>
      </c>
      <c r="N116" s="55" t="n">
        <v>46322</v>
      </c>
      <c r="O116" s="55" t="n">
        <v>46322</v>
      </c>
      <c r="P116" s="50" t="s">
        <v>285</v>
      </c>
      <c r="Q116" s="52" t="n">
        <v>90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516</v>
      </c>
      <c r="N117" s="55" t="n">
        <v>46322</v>
      </c>
      <c r="O117" s="55" t="n">
        <v>46322</v>
      </c>
      <c r="P117" s="50" t="s">
        <v>285</v>
      </c>
      <c r="Q117" s="52" t="n">
        <v>89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520</v>
      </c>
      <c r="N118" s="55" t="n">
        <v>46322</v>
      </c>
      <c r="O118" s="55" t="n">
        <v>46322</v>
      </c>
      <c r="P118" s="50" t="s">
        <v>285</v>
      </c>
      <c r="Q118" s="52" t="n">
        <v>89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524</v>
      </c>
      <c r="N119" s="55" t="n">
        <v>46322</v>
      </c>
      <c r="O119" s="55" t="n">
        <v>46322</v>
      </c>
      <c r="P119" s="50" t="s">
        <v>285</v>
      </c>
      <c r="Q119" s="52" t="n">
        <v>89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528</v>
      </c>
      <c r="N120" s="55" t="n">
        <v>46322</v>
      </c>
      <c r="O120" s="55" t="n">
        <v>46322</v>
      </c>
      <c r="P120" s="50" t="s">
        <v>285</v>
      </c>
      <c r="Q120" s="52" t="n">
        <v>88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532</v>
      </c>
      <c r="N121" s="55" t="n">
        <v>46322</v>
      </c>
      <c r="O121" s="55" t="n">
        <v>46322</v>
      </c>
      <c r="P121" s="50" t="s">
        <v>285</v>
      </c>
      <c r="Q121" s="52" t="n">
        <v>88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46278</v>
      </c>
      <c r="M122" s="43"/>
      <c r="N122" s="44" t="n">
        <v>46278</v>
      </c>
      <c r="O122" s="45" t="n">
        <v>46278</v>
      </c>
      <c r="P122" s="46" t="s">
        <v>60</v>
      </c>
      <c r="Q122" s="37" t="n">
        <v>44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28</v>
      </c>
      <c r="C123" s="38" t="s">
        <v>537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78</v>
      </c>
      <c r="R123" s="39"/>
      <c r="S123" s="39" t="n">
        <v>1</v>
      </c>
      <c r="T123" s="39" t="s">
        <v>76</v>
      </c>
      <c r="U123" s="58" t="n">
        <v>46239.0123</v>
      </c>
      <c r="V123" s="47" t="n">
        <v>0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46375</v>
      </c>
      <c r="O124" s="45" t="n">
        <v>46391</v>
      </c>
      <c r="P124" s="46" t="s">
        <v>285</v>
      </c>
      <c r="Q124" s="37" t="n">
        <v>97</v>
      </c>
      <c r="R124" s="39"/>
      <c r="S124" s="39" t="n">
        <v>1</v>
      </c>
      <c r="T124" s="39" t="s">
        <v>286</v>
      </c>
      <c r="U124" s="58" t="n">
        <v>46375.0124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546</v>
      </c>
      <c r="N125" s="55" t="n">
        <v>46375</v>
      </c>
      <c r="O125" s="55" t="n">
        <v>46380</v>
      </c>
      <c r="P125" s="50" t="s">
        <v>285</v>
      </c>
      <c r="Q125" s="52" t="n">
        <v>95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550</v>
      </c>
      <c r="N126" s="55" t="n">
        <v>46378</v>
      </c>
      <c r="O126" s="55" t="n">
        <v>46388</v>
      </c>
      <c r="P126" s="50" t="s">
        <v>285</v>
      </c>
      <c r="Q126" s="52" t="n">
        <v>97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554</v>
      </c>
      <c r="N127" s="55" t="n">
        <v>46388</v>
      </c>
      <c r="O127" s="55" t="n">
        <v>46391</v>
      </c>
      <c r="P127" s="50" t="s">
        <v>285</v>
      </c>
      <c r="Q127" s="52" t="n">
        <v>97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46332</v>
      </c>
      <c r="O128" s="45" t="n">
        <v>46332</v>
      </c>
      <c r="P128" s="46" t="s">
        <v>285</v>
      </c>
      <c r="Q128" s="37" t="n">
        <v>88</v>
      </c>
      <c r="R128" s="39"/>
      <c r="S128" s="39" t="n">
        <v>1</v>
      </c>
      <c r="T128" s="39" t="s">
        <v>286</v>
      </c>
      <c r="U128" s="58" t="n">
        <v>46332.0128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46333</v>
      </c>
      <c r="O129" s="45" t="n">
        <v>46335</v>
      </c>
      <c r="P129" s="46" t="s">
        <v>285</v>
      </c>
      <c r="Q129" s="37" t="n">
        <v>91</v>
      </c>
      <c r="R129" s="39"/>
      <c r="S129" s="39" t="n">
        <v>1</v>
      </c>
      <c r="T129" s="39" t="s">
        <v>286</v>
      </c>
      <c r="U129" s="58" t="n">
        <v>46333.0129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46333</v>
      </c>
      <c r="O130" s="45" t="n">
        <v>46337</v>
      </c>
      <c r="P130" s="46" t="s">
        <v>285</v>
      </c>
      <c r="Q130" s="37" t="n">
        <v>93</v>
      </c>
      <c r="R130" s="39"/>
      <c r="S130" s="39" t="n">
        <v>1</v>
      </c>
      <c r="T130" s="39" t="s">
        <v>286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46372</v>
      </c>
      <c r="O131" s="45" t="n">
        <v>46374</v>
      </c>
      <c r="P131" s="46" t="s">
        <v>285</v>
      </c>
      <c r="Q131" s="37" t="n">
        <v>94</v>
      </c>
      <c r="R131" s="39"/>
      <c r="S131" s="39" t="n">
        <v>1</v>
      </c>
      <c r="T131" s="39" t="s">
        <v>286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650</v>
      </c>
      <c r="C23" s="95" t="s">
        <v>641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 t="n">
        <v>46209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/>
      <c r="O24" s="101" t="n">
        <v>10</v>
      </c>
      <c r="P24" s="101" t="n">
        <v>10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651</v>
      </c>
      <c r="C25" s="95" t="s">
        <v>641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652</v>
      </c>
      <c r="C27" s="95" t="s">
        <v>641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 t="n">
        <v>46226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653</v>
      </c>
      <c r="C29" s="95" t="s">
        <v>641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654</v>
      </c>
      <c r="C31" s="95" t="s">
        <v>641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655</v>
      </c>
      <c r="C33" s="95" t="s">
        <v>641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656</v>
      </c>
      <c r="C35" s="95" t="s">
        <v>641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657</v>
      </c>
      <c r="C37" s="95" t="s">
        <v>641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658</v>
      </c>
      <c r="C39" s="95" t="s">
        <v>641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660</v>
      </c>
      <c r="C42" s="95" t="s">
        <v>641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0</v>
      </c>
      <c r="O48" s="103" t="n">
        <f aca="false">SUMIF($C$7:$C$45,"Actual",O$7:O$45)</f>
        <v>10</v>
      </c>
      <c r="P48" s="103" t="n">
        <f aca="false">SUMIF($C$7:$C$45,"Actual",P$7:P$45)</f>
        <v>10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3.5</v>
      </c>
      <c r="O50" s="105" t="n">
        <f aca="false">IF(O$6&gt;46314,"",N50+O48)</f>
        <v>13.5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2026-10-26T04:42:38Z</dcterms:created>
  <dc:creator>openpyxl</dc:creator>
  <dc:description/>
  <dc:language>en-US</dc:language>
  <cp:lastModifiedBy/>
  <dcterms:modified xsi:type="dcterms:W3CDTF">2026-10-26T11:46:35Z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