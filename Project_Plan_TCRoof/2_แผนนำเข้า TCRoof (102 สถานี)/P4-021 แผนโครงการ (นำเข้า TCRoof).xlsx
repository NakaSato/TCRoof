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<sst xmlns="http://schemas.openxmlformats.org/spreadsheetml/2006/main" count="1295" uniqueCount="672">
  <si>
    <t xml:space="preserve">แผนโครงการ P4-021 – สถานีผลิตน้ำเขาสมิง 183.54 kWp</t>
  </si>
  <si>
    <t xml:space="preserve">กปภ.สาขาตราด, ภาคเหนือ-กลาง, กฟภ. เขต ก.2, Inverter 205 kW (ต้องยื่น พค.2), Zero export HV, คำขอ PPIM1A507D64, วิศวกร ต้า, Admin กิ่ง, ผรม. C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</si>
  <si>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</si>
  <si>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</si>
  <si>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</si>
  <si>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</si>
  <si>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</si>
  <si>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</si>
  <si>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</si>
  <si>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</si>
  <si>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</si>
  <si>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</si>
  <si>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</si>
  <si>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</si>
  <si>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</si>
  <si>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</si>
  <si>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</si>
  <si>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</si>
  <si>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</si>
  <si>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</si>
  <si>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</si>
  <si>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</si>
  <si>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</si>
  <si>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</si>
  <si>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</si>
  <si>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</si>
  <si>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</si>
  <si>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</si>
  <si>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</si>
  <si>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P4-021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</si>
  <si>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</si>
  <si>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</si>
  <si>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</si>
  <si>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</si>
  <si>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</si>
  <si>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</si>
  <si>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</si>
  <si>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</si>
  <si>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</si>
  <si>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</si>
  <si>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</si>
  <si>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</si>
  <si>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</si>
  <si>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</si>
  <si>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</si>
  <si>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</si>
  <si>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</si>
  <si>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</si>
  <si>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</si>
  <si>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</si>
  <si>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</si>
  <si>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</si>
  <si>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</si>
  <si>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</si>
  <si>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</si>
  <si>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</si>
  <si>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</si>
  <si>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</si>
  <si>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</si>
  <si>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</si>
  <si>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</si>
  <si>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</si>
  <si>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</si>
  <si>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</si>
  <si>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</si>
  <si>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</si>
  <si>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</si>
  <si>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</si>
  <si>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</si>
  <si>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</si>
  <si>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</si>
  <si>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</si>
  <si>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</si>
  <si>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</si>
  <si>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</si>
  <si>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</si>
  <si>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</si>
  <si>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</si>
  <si>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</si>
  <si>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ต้า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</si>
  <si>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</si>
  <si>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</si>
  <si>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</si>
  <si>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</si>
  <si>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</si>
  <si>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</si>
  <si>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</si>
  <si>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WBS'!L6058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</si>
  <si>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</si>
  <si>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</si>
  <si>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</si>
  <si>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</si>
  <si>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WBS'!L6059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</si>
  <si>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</si>
  <si>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</si>
  <si>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</si>
  <si>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WBS'!L6060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</si>
  <si>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</si>
  <si>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</si>
  <si>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</si>
  <si>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WBS'!L6061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</si>
  <si>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</si>
  <si>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</si>
  <si>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</si>
  <si>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WBS'!L6062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</si>
  <si>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</si>
  <si>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</si>
  <si>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</si>
  <si>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WBS'!L6063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</si>
  <si>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</si>
  <si>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</si>
  <si>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TC-PML-2026-546,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</si>
  <si>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</si>
  <si>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</si>
  <si>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DN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</si>
  <si>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</si>
  <si>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</si>
  <si>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</si>
  <si>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</si>
  <si>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</si>
  <si>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</si>
  <si>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WBS'!L6064</t>
    </r>
  </si>
  <si>
    <t xml:space="preserve">เสร็จ*</t>
  </si>
  <si>
    <t xml:space="preserve">DY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</si>
  <si>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</si>
  <si>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</si>
  <si>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</si>
  <si>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WBS'!L6065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</si>
  <si>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</si>
  <si>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</si>
  <si>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</si>
  <si>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WBS'!L6066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</si>
  <si>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</si>
  <si>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</si>
  <si>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</si>
  <si>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WBS'!L6067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</si>
  <si>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</si>
  <si>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</si>
  <si>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</si>
  <si>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WBS'!L6068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</si>
  <si>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</si>
  <si>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</si>
  <si>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</si>
  <si>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WBS'!L6069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</si>
  <si>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</si>
  <si>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</si>
  <si>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</si>
  <si>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WBS'!L6070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</si>
  <si>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</si>
  <si>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</si>
  <si>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</si>
  <si>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WBS'!L6071</t>
    </r>
  </si>
  <si>
    <t xml:space="preserve">0.3</t>
  </si>
  <si>
    <t xml:space="preserve">หนังสือแจ้งขอดับไฟ</t>
  </si>
  <si>
    <t xml:space="preserve">TC-PML-2026-537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</si>
  <si>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</si>
  <si>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</si>
  <si>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</si>
  <si>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</si>
  <si>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</si>
  <si>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</si>
  <si>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WBS'!L6072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</si>
  <si>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</si>
  <si>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</si>
  <si>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</si>
  <si>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WBS'!L6073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</si>
  <si>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</si>
  <si>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</si>
  <si>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</si>
  <si>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WBS'!L6074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</si>
  <si>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</si>
  <si>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</si>
  <si>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</si>
  <si>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</si>
  <si>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</si>
  <si>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</si>
  <si>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</si>
  <si>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</si>
  <si>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</si>
  <si>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</si>
  <si>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</si>
  <si>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WBS'!L6075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</si>
  <si>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</si>
  <si>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</si>
  <si>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</si>
  <si>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WBS'!L6076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</si>
  <si>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</si>
  <si>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</si>
  <si>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</si>
  <si>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WBS'!L6077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</si>
  <si>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</si>
  <si>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</si>
  <si>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</si>
  <si>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</si>
  <si>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</si>
  <si>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</si>
  <si>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</si>
  <si>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WBS'!L6078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</si>
  <si>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</si>
  <si>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</si>
  <si>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</si>
  <si>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WBS'!L6079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</si>
  <si>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</si>
  <si>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</si>
  <si>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</si>
  <si>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WBS'!L6080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</si>
  <si>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</si>
  <si>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</si>
  <si>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</si>
  <si>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WBS'!L6081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</si>
  <si>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</si>
  <si>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</si>
  <si>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</si>
  <si>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</si>
  <si>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</si>
  <si>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</si>
  <si>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</si>
  <si>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WBS'!L6082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</si>
  <si>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</si>
  <si>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</si>
  <si>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</si>
  <si>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WBS'!L6083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</si>
  <si>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</si>
  <si>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</si>
  <si>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</si>
  <si>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WBS'!L6084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</si>
  <si>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</si>
  <si>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</si>
  <si>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</si>
  <si>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</si>
  <si>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</si>
  <si>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</si>
  <si>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</si>
  <si>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</si>
  <si>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WBS'!L6085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</si>
  <si>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</si>
  <si>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</si>
  <si>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</si>
  <si>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WBS'!L6086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</si>
  <si>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</si>
  <si>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</si>
  <si>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</si>
  <si>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WBS'!L6087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</si>
  <si>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</si>
  <si>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</si>
  <si>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</si>
  <si>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</si>
  <si>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</si>
  <si>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</si>
  <si>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</si>
  <si>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</si>
  <si>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WBS'!L6088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</si>
  <si>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</si>
  <si>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</si>
  <si>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</si>
  <si>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WBS'!L6089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</si>
  <si>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</si>
  <si>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</si>
  <si>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</si>
  <si>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</si>
  <si>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</si>
  <si>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</si>
  <si>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WBS'!L6090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</si>
  <si>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</si>
  <si>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</si>
  <si>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</si>
  <si>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</si>
  <si>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</si>
  <si>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</si>
  <si>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</si>
  <si>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</si>
  <si>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WBS'!L6091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</si>
  <si>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</si>
  <si>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</si>
  <si>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</si>
  <si>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WBS'!L6092</t>
    </r>
  </si>
  <si>
    <t xml:space="preserve">1.7.1</t>
  </si>
  <si>
    <t xml:space="preserve">คำขอขนานไฟ PPIM (ชุด 11 ไฟล์)</t>
  </si>
  <si>
    <t xml:space="preserve">PPIM1A507D64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</si>
  <si>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</si>
  <si>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</si>
  <si>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</si>
  <si>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</si>
  <si>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</si>
  <si>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</si>
  <si>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</si>
  <si>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</si>
  <si>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</si>
  <si>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</si>
  <si>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</si>
  <si>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</si>
  <si>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</si>
  <si>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</si>
  <si>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</si>
  <si>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</si>
  <si>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</si>
  <si>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</si>
  <si>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</si>
  <si>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</si>
  <si>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</si>
  <si>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</si>
  <si>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(9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</si>
  <si>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</si>
  <si>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</si>
  <si>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</si>
  <si>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</si>
  <si>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</si>
  <si>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WBS'!L6093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</si>
  <si>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</si>
  <si>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</si>
  <si>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</si>
  <si>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WBS'!L6094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</si>
  <si>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</si>
  <si>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</si>
  <si>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</si>
  <si>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WBS'!L6095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</si>
  <si>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</si>
  <si>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</si>
  <si>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</si>
  <si>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WBS'!L6096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</si>
  <si>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</si>
  <si>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</si>
  <si>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</si>
  <si>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WBS'!L6097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</si>
  <si>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</si>
  <si>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</si>
  <si>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</si>
  <si>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WBS'!L6098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</si>
  <si>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</si>
  <si>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</si>
  <si>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</si>
  <si>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WBS'!L6099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</si>
  <si>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</si>
  <si>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</si>
  <si>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</si>
  <si>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</si>
  <si>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</si>
  <si>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</si>
  <si>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</si>
  <si>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WBS'!L6100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</si>
  <si>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</si>
  <si>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</si>
  <si>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</si>
  <si>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WBS'!L6101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</si>
  <si>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</si>
  <si>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</si>
  <si>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</si>
  <si>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WBS'!L6102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</si>
  <si>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</si>
  <si>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</si>
  <si>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</si>
  <si>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WBS'!L6103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</si>
  <si>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</si>
  <si>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</si>
  <si>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</si>
  <si>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WBS'!L6104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</si>
  <si>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</si>
  <si>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</si>
  <si>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</si>
  <si>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</si>
  <si>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</si>
  <si>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</si>
  <si>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</si>
  <si>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WBS'!L6105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</si>
  <si>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</si>
  <si>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</si>
  <si>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</si>
  <si>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WBS'!L6106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</si>
  <si>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</si>
  <si>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</si>
  <si>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</si>
  <si>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WBS'!L6107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</si>
  <si>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</si>
  <si>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</si>
  <si>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</si>
  <si>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WBS'!L6108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</si>
  <si>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</si>
  <si>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</si>
  <si>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</si>
  <si>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WBS'!L6109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</si>
  <si>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</si>
  <si>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</si>
  <si>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</si>
  <si>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</si>
  <si>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</si>
  <si>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</si>
  <si>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</si>
  <si>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WBS'!L6110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</si>
  <si>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</si>
  <si>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</si>
  <si>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</si>
  <si>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WBS'!L6111</t>
    </r>
  </si>
  <si>
    <t xml:space="preserve">2.5</t>
  </si>
  <si>
    <t xml:space="preserve">ติดตั้ง Inverter</t>
  </si>
  <si>
    <t xml:space="preserve">Inverter 205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</si>
  <si>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</si>
  <si>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</si>
  <si>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</si>
  <si>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</si>
  <si>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WBS'!L6112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</si>
  <si>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</si>
  <si>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</si>
  <si>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</si>
  <si>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WBS'!L6113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</si>
  <si>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</si>
  <si>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</si>
  <si>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</si>
  <si>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WBS'!L6114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</si>
  <si>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</si>
  <si>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</si>
  <si>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</si>
  <si>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WBS'!L6115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</si>
  <si>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</si>
  <si>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</si>
  <si>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</si>
  <si>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</si>
  <si>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</si>
  <si>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</si>
  <si>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</si>
  <si>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WBS'!L6116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</si>
  <si>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</si>
  <si>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</si>
  <si>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</si>
  <si>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WBS'!L6117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</si>
  <si>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</si>
  <si>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</si>
  <si>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</si>
  <si>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WBS'!L6118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</si>
  <si>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</si>
  <si>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</si>
  <si>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</si>
  <si>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WBS'!L6119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</si>
  <si>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</si>
  <si>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</si>
  <si>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</si>
  <si>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WBS'!L6120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</si>
  <si>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</si>
  <si>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</si>
  <si>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</si>
  <si>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</si>
  <si>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</si>
  <si>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</si>
  <si>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WBS'!L6121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</si>
  <si>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</si>
  <si>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</si>
  <si>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</si>
  <si>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WBS'!L6122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</si>
  <si>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</si>
  <si>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</si>
  <si>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</si>
  <si>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WBS'!L6123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</si>
  <si>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</si>
  <si>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</si>
  <si>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</si>
  <si>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</si>
  <si>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</si>
  <si>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</si>
  <si>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</si>
  <si>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</si>
  <si>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</si>
  <si>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</si>
  <si>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WBS'!L6124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</si>
  <si>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</si>
  <si>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</si>
  <si>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</si>
  <si>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</si>
  <si>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</si>
  <si>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</si>
  <si>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</si>
  <si>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</si>
  <si>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WBS'!L6125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</si>
  <si>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</si>
  <si>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</si>
  <si>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</si>
  <si>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WBS'!L6126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</si>
  <si>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</si>
  <si>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</si>
  <si>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</si>
  <si>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WBS'!L6127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</si>
  <si>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</si>
  <si>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</si>
  <si>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</si>
  <si>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</si>
  <si>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</si>
  <si>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</si>
  <si>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WBS'!L6128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</si>
  <si>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</si>
  <si>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</si>
  <si>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</si>
  <si>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WBS'!L6129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</si>
  <si>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</si>
  <si>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</si>
  <si>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</si>
  <si>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WBS'!L6130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</si>
  <si>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</si>
  <si>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</si>
  <si>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3/9/69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</si>
  <si>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</si>
  <si>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</si>
  <si>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</si>
  <si>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</si>
  <si>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</si>
  <si>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WBS'!L6131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</si>
  <si>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</si>
  <si>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</si>
  <si>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</si>
  <si>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WBS'!L6132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</si>
  <si>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</si>
  <si>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</si>
  <si>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</si>
  <si>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</si>
  <si>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</si>
  <si>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</si>
  <si>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</si>
  <si>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</si>
  <si>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</si>
  <si>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WBS'!L6133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</si>
  <si>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</si>
  <si>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</si>
  <si>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</si>
  <si>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WBS'!L6134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</si>
  <si>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</si>
  <si>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</si>
  <si>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</si>
  <si>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WBS'!L6135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</si>
  <si>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</si>
  <si>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</si>
  <si>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</si>
  <si>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WBS'!L6136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</si>
  <si>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</si>
  <si>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</si>
  <si>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</si>
  <si>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WBS'!L6137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</si>
  <si>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</si>
  <si>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</si>
  <si>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</si>
  <si>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WBS'!L6138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</si>
  <si>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</si>
  <si>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</si>
  <si>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</si>
  <si>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</si>
  <si>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</si>
  <si>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</si>
  <si>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</si>
  <si>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</si>
  <si>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</si>
  <si>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</si>
  <si>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</si>
  <si>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</si>
  <si>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</si>
  <si>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</si>
  <si>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WBS'!L6139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</si>
  <si>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</si>
  <si>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</si>
  <si>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</si>
  <si>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WBS'!L6140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</si>
  <si>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</si>
  <si>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</si>
  <si>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</si>
  <si>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WBS'!L6141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</si>
  <si>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</si>
  <si>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</si>
  <si>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</si>
  <si>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</si>
  <si>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</si>
  <si>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</si>
  <si>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</si>
  <si>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รอภาคผนวก ก</t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</si>
  <si>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</si>
  <si>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</si>
  <si>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</si>
  <si>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</si>
  <si>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</si>
  <si>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</si>
  <si>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</si>
  <si>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</si>
  <si>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</si>
  <si>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</si>
  <si>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</si>
  <si>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</si>
  <si>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</si>
  <si>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</si>
  <si>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</si>
  <si>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</si>
  <si>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</si>
  <si>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</si>
  <si>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</si>
  <si>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</si>
  <si>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</si>
  <si>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</si>
  <si>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</si>
  <si>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</si>
  <si>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</si>
  <si>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</si>
  <si>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</si>
  <si>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</si>
  <si>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</si>
  <si>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</si>
  <si>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125+80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</si>
  <si>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</si>
  <si>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</si>
  <si>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</si>
  <si>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</si>
  <si>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</si>
  <si>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</si>
  <si>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</si>
  <si>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</si>
  <si>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</si>
  <si>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</si>
  <si>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</si>
  <si>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</si>
  <si>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</si>
  <si>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</si>
  <si>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</si>
  <si>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</si>
  <si>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</si>
  <si>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</si>
  <si>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สถานีผลิตน้ำเขาสมิง การประปาส่วนภูมิภาคสาขาตราด ขนาดกำลังผลิต </t>
    </r>
    <r>
      <rPr>
        <sz val="10"/>
        <rFont val="Tahoma"/>
        <family val="0"/>
        <charset val="1"/>
      </rPr>
      <t xml:space="preserve">183.54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</si>
  <si>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</si>
  <si>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</si>
  <si>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</si>
  <si>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P4-021,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ต้า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</si>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</sst>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0.671428571428572</c:v>
                </c:pt>
                <c:pt idx="8">
                  <c:v>1.87142857142857</c:v>
                </c:pt>
                <c:pt idx="9">
                  <c:v>2.5</c:v>
                </c:pt>
                <c:pt idx="10">
                  <c:v>2.5</c:v>
                </c:pt>
                <c:pt idx="11">
                  <c:v>6.33333333333333</c:v>
                </c:pt>
                <c:pt idx="12">
                  <c:v>14.1111111111111</c:v>
                </c:pt>
                <c:pt idx="13">
                  <c:v>21.8888888888889</c:v>
                </c:pt>
                <c:pt idx="14">
                  <c:v>66.0654761904762</c:v>
                </c:pt>
                <c:pt idx="15">
                  <c:v>94.8550724637681</c:v>
                </c:pt>
                <c:pt idx="16">
                  <c:v>96.6739130434783</c:v>
                </c:pt>
                <c:pt idx="17">
                  <c:v>96.8260869565218</c:v>
                </c:pt>
                <c:pt idx="18">
                  <c:v>96.9782608695652</c:v>
                </c:pt>
                <c:pt idx="19">
                  <c:v>97.1304347826087</c:v>
                </c:pt>
                <c:pt idx="20">
                  <c:v>97.2826086956522</c:v>
                </c:pt>
                <c:pt idx="21">
                  <c:v>97.4347826086957</c:v>
                </c:pt>
                <c:pt idx="22">
                  <c:v>97.6785714285715</c:v>
                </c:pt>
                <c:pt idx="23">
                  <c:v>98.9285714285715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1.1666</c:v>
                </c:pt>
                <c:pt idx="8">
                  <c:v>1.8332</c:v>
                </c:pt>
                <c:pt idx="9">
                  <c:v>2.4998</c:v>
                </c:pt>
                <c:pt idx="10">
                  <c:v>2.9998</c:v>
                </c:pt>
                <c:pt idx="11">
                  <c:v>7.9998</c:v>
                </c:pt>
                <c:pt idx="12">
                  <c:v>12.9998</c:v>
                </c:pt>
                <c:pt idx="13">
                  <c:v>17.9998</c:v>
                </c:pt>
                <c:pt idx="14">
                  <c:v>54.2498</c:v>
                </c:pt>
                <c:pt idx="15">
                  <c:v>92.9998</c:v>
                </c:pt>
                <c:pt idx="16">
                  <c:v>92.9998</c:v>
                </c:pt>
                <c:pt idx="17">
                  <c:v>92.9998</c:v>
                </c:pt>
                <c:pt idx="18">
                  <c:v>92.9998</c:v>
                </c:pt>
                <c:pt idx="19">
                  <c:v>93.9998</c:v>
                </c:pt>
                <c:pt idx="20">
                  <c:v>94.3331</c:v>
                </c:pt>
                <c:pt idx="21">
                  <c:v>94.6664</c:v>
                </c:pt>
                <c:pt idx="22">
                  <c:v>94.9997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193538"/>
        <c:axId val="80650825"/>
      </c:lineChart>
      <c:catAx>
        <c:axId val="19193538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50825"/>
        <c:crosses val="autoZero"/>
        <c:auto val="1"/>
        <c:lblAlgn val="ctr"/>
        <c:lblOffset val="100"/>
        <c:noMultiLvlLbl val="0"/>
      </c:catAx>
      <c:valAx>
        <c:axId val="806508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935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46409</v>
      </c>
      <c r="G4" s="10"/>
      <c r="H4" s="10"/>
      <c r="J4" s="11" t="n">
        <v>0.95</v>
      </c>
      <c r="K4" s="11"/>
      <c r="L4" s="12" t="n">
        <v>84</v>
      </c>
      <c r="M4" s="12"/>
      <c r="N4" s="12" t="n">
        <v>93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46208</v>
      </c>
      <c r="O8" s="33" t="n">
        <v>46426</v>
      </c>
      <c r="P8" s="34" t="s">
        <v>75</v>
      </c>
      <c r="Q8" s="31" t="n">
        <v>93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46208</v>
      </c>
      <c r="O9" s="45" t="n">
        <v>46426</v>
      </c>
      <c r="P9" s="46" t="s">
        <v>75</v>
      </c>
      <c r="Q9" s="37" t="n">
        <v>93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46208</v>
      </c>
      <c r="O10" s="55" t="n">
        <v>46230</v>
      </c>
      <c r="P10" s="50" t="s">
        <v>75</v>
      </c>
      <c r="Q10" s="52" t="n">
        <v>10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46208</v>
      </c>
      <c r="O11" s="55" t="n">
        <v>46230</v>
      </c>
      <c r="P11" s="50" t="s">
        <v>75</v>
      </c>
      <c r="Q11" s="52" t="n">
        <v>10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46208</v>
      </c>
      <c r="O12" s="55" t="n">
        <v>46230</v>
      </c>
      <c r="P12" s="50" t="s">
        <v>75</v>
      </c>
      <c r="Q12" s="52" t="n">
        <v>10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46208</v>
      </c>
      <c r="O13" s="55" t="n">
        <v>46241</v>
      </c>
      <c r="P13" s="50" t="s">
        <v>75</v>
      </c>
      <c r="Q13" s="52" t="n">
        <v>14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46230</v>
      </c>
      <c r="O14" s="55" t="n">
        <v>46426</v>
      </c>
      <c r="P14" s="50" t="s">
        <v>75</v>
      </c>
      <c r="Q14" s="52" t="n">
        <v>93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108</v>
      </c>
      <c r="N15" s="55" t="n">
        <v>46230</v>
      </c>
      <c r="O15" s="55" t="n">
        <v>46426</v>
      </c>
      <c r="P15" s="50" t="s">
        <v>75</v>
      </c>
      <c r="Q15" s="52" t="n">
        <v>93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46227</v>
      </c>
      <c r="J16" s="41" t="n">
        <v>46238</v>
      </c>
      <c r="K16" s="42"/>
      <c r="L16" s="42" t="n">
        <v>46252</v>
      </c>
      <c r="M16" s="43"/>
      <c r="N16" s="44" t="n">
        <v>46243</v>
      </c>
      <c r="O16" s="45" t="n">
        <v>46252</v>
      </c>
      <c r="P16" s="46" t="s">
        <v>60</v>
      </c>
      <c r="Q16" s="37" t="n">
        <v>14</v>
      </c>
      <c r="R16" s="39"/>
      <c r="S16" s="39" t="n">
        <v>1</v>
      </c>
      <c r="T16" s="39" t="s">
        <v>114</v>
      </c>
      <c r="U16" s="39"/>
      <c r="V16" s="47" t="n">
        <v>1</v>
      </c>
      <c r="W16" s="39" t="s">
        <v>86</v>
      </c>
      <c r="X16" s="39" t="s">
        <v>115</v>
      </c>
      <c r="Y16" s="38" t="s">
        <v>116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117</v>
      </c>
      <c r="B17" s="50" t="s">
        <v>118</v>
      </c>
      <c r="C17" s="50" t="s">
        <v>119</v>
      </c>
      <c r="D17" s="52" t="s">
        <v>120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121</v>
      </c>
      <c r="N17" s="55" t="n">
        <v>46243</v>
      </c>
      <c r="O17" s="55" t="n">
        <v>46245</v>
      </c>
      <c r="P17" s="50" t="s">
        <v>122</v>
      </c>
      <c r="Q17" s="52" t="n">
        <v>16</v>
      </c>
      <c r="R17" s="52"/>
      <c r="S17" s="52" t="n">
        <v>2</v>
      </c>
      <c r="T17" s="52" t="s">
        <v>123</v>
      </c>
      <c r="U17" s="52"/>
      <c r="V17" s="56" t="n">
        <v>1</v>
      </c>
      <c r="W17" s="52" t="s">
        <v>80</v>
      </c>
      <c r="X17" s="52"/>
      <c r="Y17" s="52" t="s">
        <v>116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124</v>
      </c>
      <c r="B18" s="50" t="s">
        <v>125</v>
      </c>
      <c r="C18" s="50" t="s">
        <v>126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127</v>
      </c>
      <c r="N18" s="55" t="n">
        <v>46244</v>
      </c>
      <c r="O18" s="55" t="n">
        <v>46247</v>
      </c>
      <c r="P18" s="50" t="s">
        <v>122</v>
      </c>
      <c r="Q18" s="52" t="n">
        <v>16</v>
      </c>
      <c r="R18" s="52"/>
      <c r="S18" s="52" t="n">
        <v>2</v>
      </c>
      <c r="T18" s="52" t="s">
        <v>123</v>
      </c>
      <c r="U18" s="52"/>
      <c r="V18" s="56" t="n">
        <v>1</v>
      </c>
      <c r="W18" s="50" t="s">
        <v>86</v>
      </c>
      <c r="X18" s="52"/>
      <c r="Y18" s="52" t="s">
        <v>116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128</v>
      </c>
      <c r="B19" s="50" t="s">
        <v>129</v>
      </c>
      <c r="C19" s="50" t="s">
        <v>130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131</v>
      </c>
      <c r="N19" s="55" t="n">
        <v>46246</v>
      </c>
      <c r="O19" s="55" t="n">
        <v>46249</v>
      </c>
      <c r="P19" s="50" t="s">
        <v>122</v>
      </c>
      <c r="Q19" s="52" t="n">
        <v>14</v>
      </c>
      <c r="R19" s="52"/>
      <c r="S19" s="52" t="n">
        <v>2</v>
      </c>
      <c r="T19" s="52" t="s">
        <v>123</v>
      </c>
      <c r="U19" s="52"/>
      <c r="V19" s="56" t="n">
        <v>1</v>
      </c>
      <c r="W19" s="50" t="s">
        <v>86</v>
      </c>
      <c r="X19" s="52"/>
      <c r="Y19" s="52" t="s">
        <v>116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132</v>
      </c>
      <c r="B20" s="50" t="s">
        <v>133</v>
      </c>
      <c r="C20" s="50" t="s">
        <v>134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135</v>
      </c>
      <c r="N20" s="55" t="n">
        <v>46246</v>
      </c>
      <c r="O20" s="55" t="n">
        <v>46249</v>
      </c>
      <c r="P20" s="50" t="s">
        <v>122</v>
      </c>
      <c r="Q20" s="52" t="n">
        <v>14</v>
      </c>
      <c r="R20" s="52"/>
      <c r="S20" s="52" t="n">
        <v>2</v>
      </c>
      <c r="T20" s="52" t="s">
        <v>123</v>
      </c>
      <c r="U20" s="52"/>
      <c r="V20" s="56" t="n">
        <v>1</v>
      </c>
      <c r="W20" s="50" t="s">
        <v>86</v>
      </c>
      <c r="X20" s="52"/>
      <c r="Y20" s="52" t="s">
        <v>116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136</v>
      </c>
      <c r="B21" s="50" t="s">
        <v>137</v>
      </c>
      <c r="C21" s="50" t="s">
        <v>138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139</v>
      </c>
      <c r="N21" s="55" t="n">
        <v>46247</v>
      </c>
      <c r="O21" s="55" t="n">
        <v>46250</v>
      </c>
      <c r="P21" s="50" t="s">
        <v>122</v>
      </c>
      <c r="Q21" s="52" t="n">
        <v>14</v>
      </c>
      <c r="R21" s="52"/>
      <c r="S21" s="52" t="n">
        <v>2</v>
      </c>
      <c r="T21" s="52" t="s">
        <v>123</v>
      </c>
      <c r="U21" s="52"/>
      <c r="V21" s="56" t="n">
        <v>1</v>
      </c>
      <c r="W21" s="50" t="s">
        <v>86</v>
      </c>
      <c r="X21" s="52"/>
      <c r="Y21" s="52" t="s">
        <v>116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140</v>
      </c>
      <c r="B22" s="50" t="s">
        <v>141</v>
      </c>
      <c r="C22" s="50" t="s">
        <v>142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143</v>
      </c>
      <c r="N22" s="55" t="n">
        <v>46248</v>
      </c>
      <c r="O22" s="55" t="n">
        <v>46251</v>
      </c>
      <c r="P22" s="50" t="s">
        <v>122</v>
      </c>
      <c r="Q22" s="52" t="n">
        <v>14</v>
      </c>
      <c r="R22" s="52"/>
      <c r="S22" s="52" t="n">
        <v>2</v>
      </c>
      <c r="T22" s="52" t="s">
        <v>123</v>
      </c>
      <c r="U22" s="52"/>
      <c r="V22" s="56" t="n">
        <v>1</v>
      </c>
      <c r="W22" s="50" t="s">
        <v>86</v>
      </c>
      <c r="X22" s="52"/>
      <c r="Y22" s="52" t="s">
        <v>116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144</v>
      </c>
      <c r="B23" s="50" t="s">
        <v>145</v>
      </c>
      <c r="C23" s="50" t="s">
        <v>146</v>
      </c>
      <c r="D23" s="50" t="s">
        <v>91</v>
      </c>
      <c r="E23" s="51" t="n">
        <v>0</v>
      </c>
      <c r="F23" s="52"/>
      <c r="G23" s="52"/>
      <c r="H23" s="52"/>
      <c r="I23" s="53" t="n">
        <v>46233</v>
      </c>
      <c r="J23" s="53" t="n">
        <v>46238</v>
      </c>
      <c r="K23" s="52"/>
      <c r="L23" s="52"/>
      <c r="M23" s="54" t="s">
        <v>147</v>
      </c>
      <c r="N23" s="55" t="n">
        <v>46248</v>
      </c>
      <c r="O23" s="55" t="n">
        <v>46252</v>
      </c>
      <c r="P23" s="50" t="s">
        <v>122</v>
      </c>
      <c r="Q23" s="52" t="n">
        <v>14</v>
      </c>
      <c r="R23" s="52"/>
      <c r="S23" s="52" t="n">
        <v>2</v>
      </c>
      <c r="T23" s="52" t="s">
        <v>123</v>
      </c>
      <c r="U23" s="52"/>
      <c r="V23" s="56" t="n">
        <v>1</v>
      </c>
      <c r="W23" s="50" t="s">
        <v>86</v>
      </c>
      <c r="X23" s="52"/>
      <c r="Y23" s="52" t="s">
        <v>116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148</v>
      </c>
      <c r="B24" s="50" t="s">
        <v>149</v>
      </c>
      <c r="C24" s="50" t="s">
        <v>150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151</v>
      </c>
      <c r="N24" s="55" t="n">
        <v>46248</v>
      </c>
      <c r="O24" s="55" t="n">
        <v>46252</v>
      </c>
      <c r="P24" s="50" t="s">
        <v>122</v>
      </c>
      <c r="Q24" s="52" t="n">
        <v>14</v>
      </c>
      <c r="R24" s="52"/>
      <c r="S24" s="52" t="n">
        <v>2</v>
      </c>
      <c r="T24" s="52" t="s">
        <v>123</v>
      </c>
      <c r="U24" s="52"/>
      <c r="V24" s="56" t="n">
        <v>1</v>
      </c>
      <c r="W24" s="50" t="s">
        <v>86</v>
      </c>
      <c r="X24" s="52"/>
      <c r="Y24" s="52" t="s">
        <v>116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152</v>
      </c>
      <c r="B25" s="39" t="s">
        <v>153</v>
      </c>
      <c r="C25" s="38" t="s">
        <v>154</v>
      </c>
      <c r="D25" s="39" t="s">
        <v>112</v>
      </c>
      <c r="E25" s="40" t="n">
        <v>0</v>
      </c>
      <c r="F25" s="39" t="s">
        <v>155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46253</v>
      </c>
      <c r="M25" s="43"/>
      <c r="N25" s="44" t="n">
        <v>46253</v>
      </c>
      <c r="O25" s="45" t="n">
        <v>46253</v>
      </c>
      <c r="P25" s="46" t="s">
        <v>60</v>
      </c>
      <c r="Q25" s="37" t="n">
        <v>21</v>
      </c>
      <c r="R25" s="39"/>
      <c r="S25" s="39" t="n">
        <v>1</v>
      </c>
      <c r="T25" s="39" t="s">
        <v>114</v>
      </c>
      <c r="U25" s="39"/>
      <c r="V25" s="47" t="n">
        <v>1</v>
      </c>
      <c r="W25" s="38" t="s">
        <v>80</v>
      </c>
      <c r="X25" s="39" t="s">
        <v>156</v>
      </c>
      <c r="Y25" s="38" t="s">
        <v>157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158</v>
      </c>
      <c r="B26" s="50" t="s">
        <v>159</v>
      </c>
      <c r="C26" s="50" t="s">
        <v>160</v>
      </c>
      <c r="D26" s="52" t="s">
        <v>120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161</v>
      </c>
      <c r="N26" s="55" t="n">
        <v>46253</v>
      </c>
      <c r="O26" s="55" t="n">
        <v>46253</v>
      </c>
      <c r="P26" s="50" t="s">
        <v>122</v>
      </c>
      <c r="Q26" s="52" t="n">
        <v>21</v>
      </c>
      <c r="R26" s="52"/>
      <c r="S26" s="52" t="n">
        <v>2</v>
      </c>
      <c r="T26" s="52" t="s">
        <v>123</v>
      </c>
      <c r="U26" s="52"/>
      <c r="V26" s="56" t="n">
        <v>1</v>
      </c>
      <c r="W26" s="50" t="s">
        <v>86</v>
      </c>
      <c r="X26" s="52"/>
      <c r="Y26" s="52" t="s">
        <v>157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162</v>
      </c>
      <c r="B27" s="50" t="s">
        <v>163</v>
      </c>
      <c r="C27" s="50" t="s">
        <v>164</v>
      </c>
      <c r="D27" s="52" t="s">
        <v>120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165</v>
      </c>
      <c r="N27" s="55" t="n">
        <v>46253</v>
      </c>
      <c r="O27" s="55" t="n">
        <v>46253</v>
      </c>
      <c r="P27" s="50" t="s">
        <v>122</v>
      </c>
      <c r="Q27" s="52" t="n">
        <v>21</v>
      </c>
      <c r="R27" s="52"/>
      <c r="S27" s="52" t="n">
        <v>2</v>
      </c>
      <c r="T27" s="52" t="s">
        <v>123</v>
      </c>
      <c r="U27" s="52"/>
      <c r="V27" s="56" t="n">
        <v>1</v>
      </c>
      <c r="W27" s="52" t="s">
        <v>80</v>
      </c>
      <c r="X27" s="52"/>
      <c r="Y27" s="52" t="s">
        <v>157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166</v>
      </c>
      <c r="B28" s="50" t="s">
        <v>167</v>
      </c>
      <c r="C28" s="50" t="s">
        <v>168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169</v>
      </c>
      <c r="N28" s="55" t="n">
        <v>46253</v>
      </c>
      <c r="O28" s="55" t="n">
        <v>46253</v>
      </c>
      <c r="P28" s="50" t="s">
        <v>122</v>
      </c>
      <c r="Q28" s="52" t="n">
        <v>21</v>
      </c>
      <c r="R28" s="52"/>
      <c r="S28" s="52" t="n">
        <v>2</v>
      </c>
      <c r="T28" s="52" t="s">
        <v>123</v>
      </c>
      <c r="U28" s="52"/>
      <c r="V28" s="56" t="n">
        <v>1</v>
      </c>
      <c r="W28" s="52" t="s">
        <v>80</v>
      </c>
      <c r="X28" s="52"/>
      <c r="Y28" s="52" t="s">
        <v>157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170</v>
      </c>
      <c r="B29" s="31" t="s">
        <v>171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46208</v>
      </c>
      <c r="O29" s="33" t="n">
        <v>46409</v>
      </c>
      <c r="P29" s="34" t="s">
        <v>75</v>
      </c>
      <c r="Q29" s="31" t="n">
        <v>93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172</v>
      </c>
      <c r="B30" s="38" t="s">
        <v>173</v>
      </c>
      <c r="C30" s="39"/>
      <c r="D30" s="39" t="s">
        <v>79</v>
      </c>
      <c r="E30" s="40" t="n">
        <v>0.5</v>
      </c>
      <c r="F30" s="39" t="s">
        <v>174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 t="s">
        <v>175</v>
      </c>
      <c r="N30" s="44" t="n">
        <v>46208</v>
      </c>
      <c r="O30" s="45" t="n">
        <v>46208</v>
      </c>
      <c r="P30" s="46" t="s">
        <v>176</v>
      </c>
      <c r="Q30" s="37" t="n">
        <v>0</v>
      </c>
      <c r="R30" s="39"/>
      <c r="S30" s="39" t="n">
        <v>1</v>
      </c>
      <c r="T30" s="39" t="s">
        <v>123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181</v>
      </c>
      <c r="N31" s="55" t="n">
        <v>46208</v>
      </c>
      <c r="O31" s="55" t="n">
        <v>46208</v>
      </c>
      <c r="P31" s="50" t="s">
        <v>122</v>
      </c>
      <c r="Q31" s="52" t="n">
        <v>0</v>
      </c>
      <c r="R31" s="52"/>
      <c r="S31" s="52" t="n">
        <v>2</v>
      </c>
      <c r="T31" s="52" t="s">
        <v>123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120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185</v>
      </c>
      <c r="N32" s="55" t="n">
        <v>46208</v>
      </c>
      <c r="O32" s="55" t="n">
        <v>46208</v>
      </c>
      <c r="P32" s="50" t="s">
        <v>122</v>
      </c>
      <c r="Q32" s="52" t="n">
        <v>0</v>
      </c>
      <c r="R32" s="52"/>
      <c r="S32" s="52" t="n">
        <v>2</v>
      </c>
      <c r="T32" s="52" t="s">
        <v>123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189</v>
      </c>
      <c r="N33" s="55" t="n">
        <v>46208</v>
      </c>
      <c r="O33" s="55" t="n">
        <v>46208</v>
      </c>
      <c r="P33" s="50" t="s">
        <v>122</v>
      </c>
      <c r="Q33" s="52" t="n">
        <v>0</v>
      </c>
      <c r="R33" s="52"/>
      <c r="S33" s="52" t="n">
        <v>2</v>
      </c>
      <c r="T33" s="52" t="s">
        <v>123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 t="s">
        <v>175</v>
      </c>
      <c r="N34" s="44" t="n">
        <v>46214</v>
      </c>
      <c r="O34" s="45" t="n">
        <v>46223</v>
      </c>
      <c r="P34" s="46" t="s">
        <v>176</v>
      </c>
      <c r="Q34" s="37" t="n">
        <v>-1</v>
      </c>
      <c r="R34" s="39"/>
      <c r="S34" s="39" t="n">
        <v>1</v>
      </c>
      <c r="T34" s="39" t="s">
        <v>123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197</v>
      </c>
      <c r="N35" s="55" t="n">
        <v>46214</v>
      </c>
      <c r="O35" s="55" t="n">
        <v>46219</v>
      </c>
      <c r="P35" s="50" t="s">
        <v>122</v>
      </c>
      <c r="Q35" s="52" t="n">
        <v>0</v>
      </c>
      <c r="R35" s="52"/>
      <c r="S35" s="52" t="n">
        <v>2</v>
      </c>
      <c r="T35" s="52" t="s">
        <v>123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201</v>
      </c>
      <c r="N36" s="55" t="n">
        <v>46214</v>
      </c>
      <c r="O36" s="55" t="n">
        <v>46219</v>
      </c>
      <c r="P36" s="50" t="s">
        <v>122</v>
      </c>
      <c r="Q36" s="52" t="n">
        <v>-1</v>
      </c>
      <c r="R36" s="52"/>
      <c r="S36" s="52" t="n">
        <v>2</v>
      </c>
      <c r="T36" s="52" t="s">
        <v>123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205</v>
      </c>
      <c r="N37" s="55" t="n">
        <v>46217</v>
      </c>
      <c r="O37" s="55" t="n">
        <v>46220</v>
      </c>
      <c r="P37" s="50" t="s">
        <v>122</v>
      </c>
      <c r="Q37" s="52" t="n">
        <v>-1</v>
      </c>
      <c r="R37" s="52"/>
      <c r="S37" s="52" t="n">
        <v>2</v>
      </c>
      <c r="T37" s="52" t="s">
        <v>123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209</v>
      </c>
      <c r="N38" s="55" t="n">
        <v>46219</v>
      </c>
      <c r="O38" s="55" t="n">
        <v>46223</v>
      </c>
      <c r="P38" s="50" t="s">
        <v>122</v>
      </c>
      <c r="Q38" s="52" t="n">
        <v>-1</v>
      </c>
      <c r="R38" s="52"/>
      <c r="S38" s="52" t="n">
        <v>2</v>
      </c>
      <c r="T38" s="52" t="s">
        <v>123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 t="s">
        <v>175</v>
      </c>
      <c r="N39" s="44" t="n">
        <v>46233</v>
      </c>
      <c r="O39" s="45" t="n">
        <v>46233</v>
      </c>
      <c r="P39" s="46" t="s">
        <v>176</v>
      </c>
      <c r="Q39" s="37" t="n">
        <v>-5</v>
      </c>
      <c r="R39" s="39"/>
      <c r="S39" s="39" t="n">
        <v>1</v>
      </c>
      <c r="T39" s="39" t="s">
        <v>123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217</v>
      </c>
      <c r="N40" s="55" t="n">
        <v>46233</v>
      </c>
      <c r="O40" s="55" t="n">
        <v>46233</v>
      </c>
      <c r="P40" s="50" t="s">
        <v>122</v>
      </c>
      <c r="Q40" s="52" t="n">
        <v>-5</v>
      </c>
      <c r="R40" s="52"/>
      <c r="S40" s="52" t="n">
        <v>2</v>
      </c>
      <c r="T40" s="52" t="s">
        <v>123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221</v>
      </c>
      <c r="N41" s="55" t="n">
        <v>46233</v>
      </c>
      <c r="O41" s="55" t="n">
        <v>46233</v>
      </c>
      <c r="P41" s="50" t="s">
        <v>122</v>
      </c>
      <c r="Q41" s="52" t="n">
        <v>-5</v>
      </c>
      <c r="R41" s="52"/>
      <c r="S41" s="52" t="n">
        <v>2</v>
      </c>
      <c r="T41" s="52" t="s">
        <v>123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225</v>
      </c>
      <c r="N42" s="55" t="n">
        <v>46233</v>
      </c>
      <c r="O42" s="55" t="n">
        <v>46233</v>
      </c>
      <c r="P42" s="50" t="s">
        <v>122</v>
      </c>
      <c r="Q42" s="52" t="n">
        <v>-5</v>
      </c>
      <c r="R42" s="52"/>
      <c r="S42" s="52" t="n">
        <v>2</v>
      </c>
      <c r="T42" s="52" t="s">
        <v>123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175</v>
      </c>
      <c r="N43" s="44" t="n">
        <v>46215</v>
      </c>
      <c r="O43" s="45" t="n">
        <v>46228</v>
      </c>
      <c r="P43" s="46" t="s">
        <v>176</v>
      </c>
      <c r="Q43" s="37" t="n">
        <v>0</v>
      </c>
      <c r="R43" s="39"/>
      <c r="S43" s="39" t="n">
        <v>1</v>
      </c>
      <c r="T43" s="39" t="s">
        <v>123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234</v>
      </c>
      <c r="N44" s="55" t="n">
        <v>46215</v>
      </c>
      <c r="O44" s="55" t="n">
        <v>46218</v>
      </c>
      <c r="P44" s="50" t="s">
        <v>122</v>
      </c>
      <c r="Q44" s="52" t="n">
        <v>0</v>
      </c>
      <c r="R44" s="52"/>
      <c r="S44" s="52" t="n">
        <v>2</v>
      </c>
      <c r="T44" s="52" t="s">
        <v>123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120</v>
      </c>
      <c r="E45" s="51" t="n">
        <v>0.4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238</v>
      </c>
      <c r="N45" s="55" t="n">
        <v>46216</v>
      </c>
      <c r="O45" s="55" t="n">
        <v>46222</v>
      </c>
      <c r="P45" s="50" t="s">
        <v>122</v>
      </c>
      <c r="Q45" s="52" t="n">
        <v>1</v>
      </c>
      <c r="R45" s="52"/>
      <c r="S45" s="52" t="n">
        <v>2</v>
      </c>
      <c r="T45" s="52" t="s">
        <v>123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120</v>
      </c>
      <c r="E46" s="51" t="n">
        <v>0.4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242</v>
      </c>
      <c r="N46" s="55" t="n">
        <v>46222</v>
      </c>
      <c r="O46" s="55" t="n">
        <v>46228</v>
      </c>
      <c r="P46" s="50" t="s">
        <v>122</v>
      </c>
      <c r="Q46" s="52" t="n">
        <v>0</v>
      </c>
      <c r="R46" s="52"/>
      <c r="S46" s="52" t="n">
        <v>2</v>
      </c>
      <c r="T46" s="52" t="s">
        <v>123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46271</v>
      </c>
      <c r="J47" s="41" t="n">
        <v>46271</v>
      </c>
      <c r="K47" s="42"/>
      <c r="L47" s="42" t="n">
        <v>46296</v>
      </c>
      <c r="M47" s="43"/>
      <c r="N47" s="44" t="n">
        <v>46296</v>
      </c>
      <c r="O47" s="45" t="n">
        <v>46296</v>
      </c>
      <c r="P47" s="46" t="s">
        <v>60</v>
      </c>
      <c r="Q47" s="37" t="n">
        <v>25</v>
      </c>
      <c r="R47" s="39"/>
      <c r="S47" s="39" t="n">
        <v>1</v>
      </c>
      <c r="T47" s="39" t="s">
        <v>114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120</v>
      </c>
      <c r="E48" s="51" t="n">
        <v>0.2</v>
      </c>
      <c r="F48" s="52"/>
      <c r="G48" s="52"/>
      <c r="H48" s="52"/>
      <c r="I48" s="53" t="n">
        <v>46271</v>
      </c>
      <c r="J48" s="53" t="n">
        <v>46271</v>
      </c>
      <c r="K48" s="52"/>
      <c r="L48" s="52"/>
      <c r="M48" s="54" t="s">
        <v>251</v>
      </c>
      <c r="N48" s="55" t="n">
        <v>46296</v>
      </c>
      <c r="O48" s="55" t="n">
        <v>46296</v>
      </c>
      <c r="P48" s="50" t="s">
        <v>122</v>
      </c>
      <c r="Q48" s="52" t="n">
        <v>25</v>
      </c>
      <c r="R48" s="52"/>
      <c r="S48" s="52" t="n">
        <v>2</v>
      </c>
      <c r="T48" s="52" t="s">
        <v>123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120</v>
      </c>
      <c r="E49" s="51" t="n">
        <v>0.4</v>
      </c>
      <c r="F49" s="52"/>
      <c r="G49" s="52"/>
      <c r="H49" s="52"/>
      <c r="I49" s="53" t="n">
        <v>46271</v>
      </c>
      <c r="J49" s="53" t="n">
        <v>46271</v>
      </c>
      <c r="K49" s="52"/>
      <c r="L49" s="52"/>
      <c r="M49" s="54" t="s">
        <v>255</v>
      </c>
      <c r="N49" s="55" t="n">
        <v>46296</v>
      </c>
      <c r="O49" s="55" t="n">
        <v>46296</v>
      </c>
      <c r="P49" s="50" t="s">
        <v>122</v>
      </c>
      <c r="Q49" s="52" t="n">
        <v>25</v>
      </c>
      <c r="R49" s="52"/>
      <c r="S49" s="52" t="n">
        <v>2</v>
      </c>
      <c r="T49" s="52" t="s">
        <v>123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257</v>
      </c>
      <c r="C50" s="39"/>
      <c r="D50" s="39" t="s">
        <v>258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46272</v>
      </c>
      <c r="J50" s="41" t="n">
        <v>46301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42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259</v>
      </c>
      <c r="B51" s="50" t="s">
        <v>260</v>
      </c>
      <c r="C51" s="50" t="s">
        <v>261</v>
      </c>
      <c r="D51" s="52" t="s">
        <v>120</v>
      </c>
      <c r="E51" s="51" t="n">
        <v>0.4</v>
      </c>
      <c r="F51" s="52"/>
      <c r="G51" s="52"/>
      <c r="H51" s="52"/>
      <c r="I51" s="53" t="n">
        <v>46271</v>
      </c>
      <c r="J51" s="53" t="n">
        <v>46271</v>
      </c>
      <c r="K51" s="52"/>
      <c r="L51" s="52"/>
      <c r="M51" s="54" t="s">
        <v>262</v>
      </c>
      <c r="N51" s="55" t="n">
        <v>46296</v>
      </c>
      <c r="O51" s="55" t="n">
        <v>46296</v>
      </c>
      <c r="P51" s="50" t="s">
        <v>122</v>
      </c>
      <c r="Q51" s="52" t="n">
        <v>25</v>
      </c>
      <c r="R51" s="52"/>
      <c r="S51" s="52" t="n">
        <v>2</v>
      </c>
      <c r="T51" s="52" t="s">
        <v>123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263</v>
      </c>
      <c r="B52" s="38" t="s">
        <v>264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265</v>
      </c>
      <c r="Q52" s="37"/>
      <c r="R52" s="39"/>
      <c r="S52" s="39" t="n">
        <v>1</v>
      </c>
      <c r="T52" s="39" t="s">
        <v>266</v>
      </c>
      <c r="U52" s="39"/>
      <c r="V52" s="47" t="n">
        <v>0</v>
      </c>
      <c r="W52" s="38" t="s">
        <v>80</v>
      </c>
      <c r="X52" s="39" t="s">
        <v>267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268</v>
      </c>
      <c r="B53" s="50" t="s">
        <v>269</v>
      </c>
      <c r="C53" s="50" t="s">
        <v>270</v>
      </c>
      <c r="D53" s="52" t="s">
        <v>120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271</v>
      </c>
      <c r="N53" s="55"/>
      <c r="O53" s="55"/>
      <c r="P53" s="50" t="s">
        <v>265</v>
      </c>
      <c r="Q53" s="52"/>
      <c r="R53" s="52"/>
      <c r="S53" s="52" t="n">
        <v>2</v>
      </c>
      <c r="T53" s="52" t="s">
        <v>266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272</v>
      </c>
      <c r="B54" s="50" t="s">
        <v>273</v>
      </c>
      <c r="C54" s="50" t="s">
        <v>274</v>
      </c>
      <c r="D54" s="52" t="s">
        <v>120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275</v>
      </c>
      <c r="N54" s="55"/>
      <c r="O54" s="55"/>
      <c r="P54" s="50" t="s">
        <v>265</v>
      </c>
      <c r="Q54" s="52"/>
      <c r="R54" s="52"/>
      <c r="S54" s="52" t="n">
        <v>2</v>
      </c>
      <c r="T54" s="52" t="s">
        <v>266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276</v>
      </c>
      <c r="B55" s="39" t="s">
        <v>277</v>
      </c>
      <c r="C55" s="38" t="s">
        <v>278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46300</v>
      </c>
      <c r="M55" s="43"/>
      <c r="N55" s="44" t="n">
        <v>46300</v>
      </c>
      <c r="O55" s="45" t="n">
        <v>46300</v>
      </c>
      <c r="P55" s="46" t="s">
        <v>60</v>
      </c>
      <c r="Q55" s="37" t="n">
        <v>29</v>
      </c>
      <c r="R55" s="39"/>
      <c r="S55" s="39" t="n">
        <v>1</v>
      </c>
      <c r="T55" s="39" t="s">
        <v>114</v>
      </c>
      <c r="U55" s="39"/>
      <c r="V55" s="47" t="n">
        <v>1</v>
      </c>
      <c r="W55" s="38" t="s">
        <v>80</v>
      </c>
      <c r="X55" s="39"/>
      <c r="Y55" s="38" t="s">
        <v>279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280</v>
      </c>
      <c r="B56" s="39" t="s">
        <v>281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265</v>
      </c>
      <c r="Q56" s="37"/>
      <c r="R56" s="39"/>
      <c r="S56" s="39" t="n">
        <v>1</v>
      </c>
      <c r="T56" s="39" t="s">
        <v>266</v>
      </c>
      <c r="U56" s="39"/>
      <c r="V56" s="47" t="n">
        <v>0</v>
      </c>
      <c r="W56" s="38" t="s">
        <v>80</v>
      </c>
      <c r="X56" s="39"/>
      <c r="Y56" s="38" t="s">
        <v>279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282</v>
      </c>
      <c r="B57" s="39" t="s">
        <v>28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46272</v>
      </c>
      <c r="J57" s="41" t="n">
        <v>46292</v>
      </c>
      <c r="K57" s="42" t="n">
        <v>46300</v>
      </c>
      <c r="L57" s="42"/>
      <c r="M57" s="43"/>
      <c r="N57" s="44" t="n">
        <v>46300</v>
      </c>
      <c r="O57" s="45" t="n">
        <v>46322</v>
      </c>
      <c r="P57" s="46" t="s">
        <v>75</v>
      </c>
      <c r="Q57" s="37" t="n">
        <v>30</v>
      </c>
      <c r="R57" s="39"/>
      <c r="S57" s="39" t="n">
        <v>1</v>
      </c>
      <c r="T57" s="39" t="s">
        <v>76</v>
      </c>
      <c r="U57" s="58" t="n">
        <v>46300.0057</v>
      </c>
      <c r="V57" s="47" t="n">
        <v>0</v>
      </c>
      <c r="W57" s="38" t="s">
        <v>80</v>
      </c>
      <c r="X57" s="39"/>
      <c r="Y57" s="38" t="s">
        <v>279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46323</v>
      </c>
      <c r="O58" s="45" t="n">
        <v>46329</v>
      </c>
      <c r="P58" s="46" t="s">
        <v>287</v>
      </c>
      <c r="Q58" s="37" t="n">
        <v>30</v>
      </c>
      <c r="R58" s="39"/>
      <c r="S58" s="39" t="n">
        <v>1</v>
      </c>
      <c r="T58" s="39" t="s">
        <v>288</v>
      </c>
      <c r="U58" s="58" t="n">
        <v>46323.0058</v>
      </c>
      <c r="V58" s="47" t="n">
        <v>0</v>
      </c>
      <c r="W58" s="38" t="s">
        <v>80</v>
      </c>
      <c r="X58" s="39"/>
      <c r="Y58" s="38" t="s">
        <v>289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290</v>
      </c>
      <c r="B59" s="39" t="s">
        <v>291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46364</v>
      </c>
      <c r="O59" s="45" t="n">
        <v>46364</v>
      </c>
      <c r="P59" s="46" t="s">
        <v>287</v>
      </c>
      <c r="Q59" s="37" t="n">
        <v>64</v>
      </c>
      <c r="R59" s="39"/>
      <c r="S59" s="39" t="n">
        <v>1</v>
      </c>
      <c r="T59" s="39" t="s">
        <v>288</v>
      </c>
      <c r="U59" s="58" t="n">
        <v>46364.0059</v>
      </c>
      <c r="V59" s="47" t="n">
        <v>0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46368</v>
      </c>
      <c r="O60" s="60" t="n">
        <v>46409</v>
      </c>
      <c r="P60" s="46" t="s">
        <v>287</v>
      </c>
      <c r="Q60" s="37" t="n">
        <v>93</v>
      </c>
      <c r="R60" s="39"/>
      <c r="S60" s="39" t="n">
        <v>1</v>
      </c>
      <c r="T60" s="39" t="s">
        <v>288</v>
      </c>
      <c r="U60" s="58" t="n">
        <v>46368.006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46241</v>
      </c>
      <c r="O61" s="33" t="n">
        <v>46268</v>
      </c>
      <c r="P61" s="34" t="s">
        <v>60</v>
      </c>
      <c r="Q61" s="31" t="n">
        <v>-2</v>
      </c>
      <c r="R61" s="31"/>
      <c r="S61" s="31" t="n">
        <v>0</v>
      </c>
      <c r="T61" s="31" t="s">
        <v>114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18</v>
      </c>
      <c r="I62" s="41" t="n">
        <v>46241</v>
      </c>
      <c r="J62" s="41" t="n">
        <v>46258</v>
      </c>
      <c r="K62" s="42"/>
      <c r="L62" s="42"/>
      <c r="M62" s="43" t="s">
        <v>175</v>
      </c>
      <c r="N62" s="44" t="n">
        <v>46241</v>
      </c>
      <c r="O62" s="45" t="n">
        <v>46258</v>
      </c>
      <c r="P62" s="46" t="s">
        <v>176</v>
      </c>
      <c r="Q62" s="37" t="n">
        <v>0</v>
      </c>
      <c r="R62" s="39"/>
      <c r="S62" s="39" t="n">
        <v>1</v>
      </c>
      <c r="T62" s="39" t="s">
        <v>123</v>
      </c>
      <c r="U62" s="39"/>
      <c r="V62" s="47" t="n">
        <v>1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307</v>
      </c>
      <c r="N63" s="55" t="n">
        <v>46241</v>
      </c>
      <c r="O63" s="55" t="n">
        <v>46243</v>
      </c>
      <c r="P63" s="50" t="s">
        <v>122</v>
      </c>
      <c r="Q63" s="52" t="n">
        <v>0</v>
      </c>
      <c r="R63" s="52"/>
      <c r="S63" s="52" t="n">
        <v>2</v>
      </c>
      <c r="T63" s="52" t="s">
        <v>123</v>
      </c>
      <c r="U63" s="52"/>
      <c r="V63" s="56" t="n">
        <v>1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311</v>
      </c>
      <c r="N64" s="55" t="n">
        <v>46241</v>
      </c>
      <c r="O64" s="55" t="n">
        <v>46244</v>
      </c>
      <c r="P64" s="50" t="s">
        <v>122</v>
      </c>
      <c r="Q64" s="52" t="n">
        <v>0</v>
      </c>
      <c r="R64" s="52"/>
      <c r="S64" s="52" t="n">
        <v>2</v>
      </c>
      <c r="T64" s="52" t="s">
        <v>123</v>
      </c>
      <c r="U64" s="52"/>
      <c r="V64" s="56" t="n">
        <v>1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315</v>
      </c>
      <c r="N65" s="55" t="n">
        <v>46243</v>
      </c>
      <c r="O65" s="55" t="n">
        <v>46250</v>
      </c>
      <c r="P65" s="50" t="s">
        <v>122</v>
      </c>
      <c r="Q65" s="52" t="n">
        <v>1</v>
      </c>
      <c r="R65" s="52"/>
      <c r="S65" s="52" t="n">
        <v>2</v>
      </c>
      <c r="T65" s="52" t="s">
        <v>123</v>
      </c>
      <c r="U65" s="52"/>
      <c r="V65" s="56" t="n">
        <v>1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319</v>
      </c>
      <c r="N66" s="55" t="n">
        <v>46248</v>
      </c>
      <c r="O66" s="55" t="n">
        <v>46255</v>
      </c>
      <c r="P66" s="50" t="s">
        <v>122</v>
      </c>
      <c r="Q66" s="52" t="n">
        <v>0</v>
      </c>
      <c r="R66" s="52"/>
      <c r="S66" s="52" t="n">
        <v>2</v>
      </c>
      <c r="T66" s="52" t="s">
        <v>123</v>
      </c>
      <c r="U66" s="52"/>
      <c r="V66" s="56" t="n">
        <v>1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323</v>
      </c>
      <c r="N67" s="55" t="n">
        <v>46251</v>
      </c>
      <c r="O67" s="55" t="n">
        <v>46257</v>
      </c>
      <c r="P67" s="50" t="s">
        <v>122</v>
      </c>
      <c r="Q67" s="52" t="n">
        <v>0</v>
      </c>
      <c r="R67" s="52"/>
      <c r="S67" s="52" t="n">
        <v>2</v>
      </c>
      <c r="T67" s="52" t="s">
        <v>123</v>
      </c>
      <c r="U67" s="52"/>
      <c r="V67" s="56" t="n">
        <v>1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327</v>
      </c>
      <c r="N68" s="55" t="n">
        <v>46255</v>
      </c>
      <c r="O68" s="55" t="n">
        <v>46258</v>
      </c>
      <c r="P68" s="50" t="s">
        <v>122</v>
      </c>
      <c r="Q68" s="52" t="n">
        <v>0</v>
      </c>
      <c r="R68" s="52"/>
      <c r="S68" s="52" t="n">
        <v>2</v>
      </c>
      <c r="T68" s="52" t="s">
        <v>123</v>
      </c>
      <c r="U68" s="52"/>
      <c r="V68" s="56" t="n">
        <v>1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331</v>
      </c>
      <c r="N69" s="55" t="n">
        <v>46257</v>
      </c>
      <c r="O69" s="55" t="n">
        <v>46258</v>
      </c>
      <c r="P69" s="50" t="s">
        <v>122</v>
      </c>
      <c r="Q69" s="52" t="n">
        <v>0</v>
      </c>
      <c r="R69" s="52"/>
      <c r="S69" s="52" t="n">
        <v>2</v>
      </c>
      <c r="T69" s="52" t="s">
        <v>123</v>
      </c>
      <c r="U69" s="52"/>
      <c r="V69" s="56" t="n">
        <v>1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 t="s">
        <v>175</v>
      </c>
      <c r="N70" s="44" t="n">
        <v>46262</v>
      </c>
      <c r="O70" s="45" t="n">
        <v>46265</v>
      </c>
      <c r="P70" s="46" t="s">
        <v>176</v>
      </c>
      <c r="Q70" s="37" t="n">
        <v>-3</v>
      </c>
      <c r="R70" s="39"/>
      <c r="S70" s="39" t="n">
        <v>1</v>
      </c>
      <c r="T70" s="39" t="s">
        <v>123</v>
      </c>
      <c r="U70" s="39"/>
      <c r="V70" s="47" t="n">
        <v>1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339</v>
      </c>
      <c r="N71" s="55" t="n">
        <v>46262</v>
      </c>
      <c r="O71" s="55" t="n">
        <v>46263</v>
      </c>
      <c r="P71" s="50" t="s">
        <v>122</v>
      </c>
      <c r="Q71" s="52" t="n">
        <v>0</v>
      </c>
      <c r="R71" s="52"/>
      <c r="S71" s="52" t="n">
        <v>2</v>
      </c>
      <c r="T71" s="52" t="s">
        <v>123</v>
      </c>
      <c r="U71" s="52"/>
      <c r="V71" s="56" t="n">
        <v>1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343</v>
      </c>
      <c r="N72" s="55" t="n">
        <v>46263</v>
      </c>
      <c r="O72" s="55" t="n">
        <v>46264</v>
      </c>
      <c r="P72" s="50" t="s">
        <v>122</v>
      </c>
      <c r="Q72" s="52" t="n">
        <v>-2</v>
      </c>
      <c r="R72" s="52"/>
      <c r="S72" s="52" t="n">
        <v>2</v>
      </c>
      <c r="T72" s="52" t="s">
        <v>123</v>
      </c>
      <c r="U72" s="52"/>
      <c r="V72" s="56" t="n">
        <v>1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347</v>
      </c>
      <c r="N73" s="55" t="n">
        <v>46263</v>
      </c>
      <c r="O73" s="55" t="n">
        <v>46264</v>
      </c>
      <c r="P73" s="50" t="s">
        <v>122</v>
      </c>
      <c r="Q73" s="52" t="n">
        <v>-2</v>
      </c>
      <c r="R73" s="52"/>
      <c r="S73" s="52" t="n">
        <v>2</v>
      </c>
      <c r="T73" s="52" t="s">
        <v>123</v>
      </c>
      <c r="U73" s="52"/>
      <c r="V73" s="56" t="n">
        <v>1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351</v>
      </c>
      <c r="N74" s="55" t="n">
        <v>46264</v>
      </c>
      <c r="O74" s="55" t="n">
        <v>46265</v>
      </c>
      <c r="P74" s="50" t="s">
        <v>122</v>
      </c>
      <c r="Q74" s="52" t="n">
        <v>-3</v>
      </c>
      <c r="R74" s="52"/>
      <c r="S74" s="52" t="n">
        <v>2</v>
      </c>
      <c r="T74" s="52" t="s">
        <v>123</v>
      </c>
      <c r="U74" s="52"/>
      <c r="V74" s="56" t="n">
        <v>1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355</v>
      </c>
      <c r="N75" s="55" t="n">
        <v>46264</v>
      </c>
      <c r="O75" s="55" t="n">
        <v>46265</v>
      </c>
      <c r="P75" s="50" t="s">
        <v>122</v>
      </c>
      <c r="Q75" s="52" t="n">
        <v>-3</v>
      </c>
      <c r="R75" s="52"/>
      <c r="S75" s="52" t="n">
        <v>2</v>
      </c>
      <c r="T75" s="52" t="s">
        <v>123</v>
      </c>
      <c r="U75" s="52"/>
      <c r="V75" s="56" t="n">
        <v>1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7</v>
      </c>
      <c r="I76" s="41" t="n">
        <v>46259</v>
      </c>
      <c r="J76" s="41" t="n">
        <v>46268</v>
      </c>
      <c r="K76" s="42"/>
      <c r="L76" s="42"/>
      <c r="M76" s="43" t="s">
        <v>175</v>
      </c>
      <c r="N76" s="44" t="n">
        <v>46260</v>
      </c>
      <c r="O76" s="45" t="n">
        <v>46266</v>
      </c>
      <c r="P76" s="46" t="s">
        <v>176</v>
      </c>
      <c r="Q76" s="37" t="n">
        <v>-2</v>
      </c>
      <c r="R76" s="39"/>
      <c r="S76" s="39" t="n">
        <v>1</v>
      </c>
      <c r="T76" s="39" t="s">
        <v>123</v>
      </c>
      <c r="U76" s="39"/>
      <c r="V76" s="47" t="n">
        <v>1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363</v>
      </c>
      <c r="N77" s="55" t="n">
        <v>46260</v>
      </c>
      <c r="O77" s="55" t="n">
        <v>46262</v>
      </c>
      <c r="P77" s="50" t="s">
        <v>122</v>
      </c>
      <c r="Q77" s="52" t="n">
        <v>0</v>
      </c>
      <c r="R77" s="52"/>
      <c r="S77" s="52" t="n">
        <v>2</v>
      </c>
      <c r="T77" s="52" t="s">
        <v>123</v>
      </c>
      <c r="U77" s="52"/>
      <c r="V77" s="56" t="n">
        <v>1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367</v>
      </c>
      <c r="N78" s="55" t="n">
        <v>46261</v>
      </c>
      <c r="O78" s="55" t="n">
        <v>46265</v>
      </c>
      <c r="P78" s="50" t="s">
        <v>122</v>
      </c>
      <c r="Q78" s="52" t="n">
        <v>-2</v>
      </c>
      <c r="R78" s="52"/>
      <c r="S78" s="52" t="n">
        <v>2</v>
      </c>
      <c r="T78" s="52" t="s">
        <v>123</v>
      </c>
      <c r="U78" s="52"/>
      <c r="V78" s="56" t="n">
        <v>1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371</v>
      </c>
      <c r="N79" s="55" t="n">
        <v>46262</v>
      </c>
      <c r="O79" s="55" t="n">
        <v>46266</v>
      </c>
      <c r="P79" s="50" t="s">
        <v>122</v>
      </c>
      <c r="Q79" s="52" t="n">
        <v>-2</v>
      </c>
      <c r="R79" s="52"/>
      <c r="S79" s="52" t="n">
        <v>2</v>
      </c>
      <c r="T79" s="52" t="s">
        <v>123</v>
      </c>
      <c r="U79" s="52"/>
      <c r="V79" s="56" t="n">
        <v>1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375</v>
      </c>
      <c r="N80" s="55" t="n">
        <v>46265</v>
      </c>
      <c r="O80" s="55" t="n">
        <v>46266</v>
      </c>
      <c r="P80" s="50" t="s">
        <v>122</v>
      </c>
      <c r="Q80" s="52" t="n">
        <v>-2</v>
      </c>
      <c r="R80" s="52"/>
      <c r="S80" s="52" t="n">
        <v>2</v>
      </c>
      <c r="T80" s="52" t="s">
        <v>123</v>
      </c>
      <c r="U80" s="52"/>
      <c r="V80" s="56" t="n">
        <v>1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379</v>
      </c>
      <c r="N81" s="55" t="n">
        <v>46266</v>
      </c>
      <c r="O81" s="55" t="n">
        <v>46266</v>
      </c>
      <c r="P81" s="50" t="s">
        <v>122</v>
      </c>
      <c r="Q81" s="52" t="n">
        <v>-2</v>
      </c>
      <c r="R81" s="52"/>
      <c r="S81" s="52" t="n">
        <v>2</v>
      </c>
      <c r="T81" s="52" t="s">
        <v>123</v>
      </c>
      <c r="U81" s="52"/>
      <c r="V81" s="56" t="n">
        <v>1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 t="s">
        <v>175</v>
      </c>
      <c r="N82" s="44" t="n">
        <v>46263</v>
      </c>
      <c r="O82" s="45" t="n">
        <v>46265</v>
      </c>
      <c r="P82" s="46" t="s">
        <v>176</v>
      </c>
      <c r="Q82" s="37" t="n">
        <v>0</v>
      </c>
      <c r="R82" s="39"/>
      <c r="S82" s="39" t="n">
        <v>1</v>
      </c>
      <c r="T82" s="39" t="s">
        <v>123</v>
      </c>
      <c r="U82" s="39"/>
      <c r="V82" s="47" t="n">
        <v>1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387</v>
      </c>
      <c r="N83" s="55" t="n">
        <v>46263</v>
      </c>
      <c r="O83" s="55" t="n">
        <v>46264</v>
      </c>
      <c r="P83" s="50" t="s">
        <v>122</v>
      </c>
      <c r="Q83" s="52" t="n">
        <v>0</v>
      </c>
      <c r="R83" s="52"/>
      <c r="S83" s="52" t="n">
        <v>2</v>
      </c>
      <c r="T83" s="52" t="s">
        <v>123</v>
      </c>
      <c r="U83" s="52"/>
      <c r="V83" s="56" t="n">
        <v>1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391</v>
      </c>
      <c r="N84" s="55" t="n">
        <v>46264</v>
      </c>
      <c r="O84" s="55" t="n">
        <v>46265</v>
      </c>
      <c r="P84" s="50" t="s">
        <v>122</v>
      </c>
      <c r="Q84" s="52" t="n">
        <v>0</v>
      </c>
      <c r="R84" s="52"/>
      <c r="S84" s="52" t="n">
        <v>2</v>
      </c>
      <c r="T84" s="52" t="s">
        <v>123</v>
      </c>
      <c r="U84" s="52"/>
      <c r="V84" s="56" t="n">
        <v>1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 t="s">
        <v>175</v>
      </c>
      <c r="N85" s="44" t="n">
        <v>46262</v>
      </c>
      <c r="O85" s="45" t="n">
        <v>46265</v>
      </c>
      <c r="P85" s="46" t="s">
        <v>176</v>
      </c>
      <c r="Q85" s="37" t="n">
        <v>-1</v>
      </c>
      <c r="R85" s="39"/>
      <c r="S85" s="39" t="n">
        <v>1</v>
      </c>
      <c r="T85" s="39" t="s">
        <v>123</v>
      </c>
      <c r="U85" s="39"/>
      <c r="V85" s="47" t="n">
        <v>1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399</v>
      </c>
      <c r="N86" s="55" t="n">
        <v>46262</v>
      </c>
      <c r="O86" s="55" t="n">
        <v>46264</v>
      </c>
      <c r="P86" s="50" t="s">
        <v>122</v>
      </c>
      <c r="Q86" s="52" t="n">
        <v>2</v>
      </c>
      <c r="R86" s="52"/>
      <c r="S86" s="52" t="n">
        <v>2</v>
      </c>
      <c r="T86" s="52" t="s">
        <v>123</v>
      </c>
      <c r="U86" s="52"/>
      <c r="V86" s="56" t="n">
        <v>1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403</v>
      </c>
      <c r="N87" s="55" t="n">
        <v>46263</v>
      </c>
      <c r="O87" s="55" t="n">
        <v>46265</v>
      </c>
      <c r="P87" s="50" t="s">
        <v>122</v>
      </c>
      <c r="Q87" s="52" t="n">
        <v>0</v>
      </c>
      <c r="R87" s="52"/>
      <c r="S87" s="52" t="n">
        <v>2</v>
      </c>
      <c r="T87" s="52" t="s">
        <v>123</v>
      </c>
      <c r="U87" s="52"/>
      <c r="V87" s="56" t="n">
        <v>1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407</v>
      </c>
      <c r="N88" s="55" t="n">
        <v>46264</v>
      </c>
      <c r="O88" s="55" t="n">
        <v>46265</v>
      </c>
      <c r="P88" s="50" t="s">
        <v>122</v>
      </c>
      <c r="Q88" s="52" t="n">
        <v>-1</v>
      </c>
      <c r="R88" s="52"/>
      <c r="S88" s="52" t="n">
        <v>2</v>
      </c>
      <c r="T88" s="52" t="s">
        <v>123</v>
      </c>
      <c r="U88" s="52"/>
      <c r="V88" s="56" t="n">
        <v>1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411</v>
      </c>
      <c r="N89" s="55" t="n">
        <v>46265</v>
      </c>
      <c r="O89" s="55" t="n">
        <v>46265</v>
      </c>
      <c r="P89" s="50" t="s">
        <v>122</v>
      </c>
      <c r="Q89" s="52" t="n">
        <v>-1</v>
      </c>
      <c r="R89" s="52"/>
      <c r="S89" s="52" t="n">
        <v>2</v>
      </c>
      <c r="T89" s="52" t="s">
        <v>123</v>
      </c>
      <c r="U89" s="52"/>
      <c r="V89" s="56" t="n">
        <v>1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 t="s">
        <v>175</v>
      </c>
      <c r="N90" s="44" t="n">
        <v>46263</v>
      </c>
      <c r="O90" s="45" t="n">
        <v>46266</v>
      </c>
      <c r="P90" s="46" t="s">
        <v>176</v>
      </c>
      <c r="Q90" s="37" t="n">
        <v>-1</v>
      </c>
      <c r="R90" s="39"/>
      <c r="S90" s="39" t="n">
        <v>1</v>
      </c>
      <c r="T90" s="39" t="s">
        <v>123</v>
      </c>
      <c r="U90" s="39"/>
      <c r="V90" s="47" t="n">
        <v>1</v>
      </c>
      <c r="W90" s="39" t="s">
        <v>86</v>
      </c>
      <c r="X90" s="39" t="s">
        <v>415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416</v>
      </c>
      <c r="B91" s="50" t="s">
        <v>417</v>
      </c>
      <c r="C91" s="50" t="s">
        <v>418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419</v>
      </c>
      <c r="N91" s="55" t="n">
        <v>46263</v>
      </c>
      <c r="O91" s="55" t="n">
        <v>46265</v>
      </c>
      <c r="P91" s="50" t="s">
        <v>122</v>
      </c>
      <c r="Q91" s="52" t="n">
        <v>2</v>
      </c>
      <c r="R91" s="52"/>
      <c r="S91" s="52" t="n">
        <v>2</v>
      </c>
      <c r="T91" s="52" t="s">
        <v>123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420</v>
      </c>
      <c r="B92" s="52" t="s">
        <v>421</v>
      </c>
      <c r="C92" s="52" t="s">
        <v>422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423</v>
      </c>
      <c r="N92" s="55" t="n">
        <v>46265</v>
      </c>
      <c r="O92" s="55" t="n">
        <v>46266</v>
      </c>
      <c r="P92" s="50" t="s">
        <v>122</v>
      </c>
      <c r="Q92" s="52" t="n">
        <v>-1</v>
      </c>
      <c r="R92" s="52"/>
      <c r="S92" s="52" t="n">
        <v>2</v>
      </c>
      <c r="T92" s="52" t="s">
        <v>123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424</v>
      </c>
      <c r="B93" s="50" t="s">
        <v>425</v>
      </c>
      <c r="C93" s="50" t="s">
        <v>426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427</v>
      </c>
      <c r="N93" s="55" t="n">
        <v>46263</v>
      </c>
      <c r="O93" s="55" t="n">
        <v>46265</v>
      </c>
      <c r="P93" s="50" t="s">
        <v>122</v>
      </c>
      <c r="Q93" s="52" t="n">
        <v>3</v>
      </c>
      <c r="R93" s="52"/>
      <c r="S93" s="52" t="n">
        <v>2</v>
      </c>
      <c r="T93" s="52" t="s">
        <v>123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428</v>
      </c>
      <c r="B94" s="50" t="s">
        <v>429</v>
      </c>
      <c r="C94" s="50" t="s">
        <v>430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431</v>
      </c>
      <c r="N94" s="55" t="n">
        <v>46265</v>
      </c>
      <c r="O94" s="55" t="n">
        <v>46266</v>
      </c>
      <c r="P94" s="50" t="s">
        <v>122</v>
      </c>
      <c r="Q94" s="52" t="n">
        <v>-1</v>
      </c>
      <c r="R94" s="52"/>
      <c r="S94" s="52" t="n">
        <v>2</v>
      </c>
      <c r="T94" s="52" t="s">
        <v>123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432</v>
      </c>
      <c r="B95" s="52" t="s">
        <v>433</v>
      </c>
      <c r="C95" s="50" t="s">
        <v>434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435</v>
      </c>
      <c r="N95" s="55" t="n">
        <v>46266</v>
      </c>
      <c r="O95" s="55" t="n">
        <v>46266</v>
      </c>
      <c r="P95" s="50" t="s">
        <v>122</v>
      </c>
      <c r="Q95" s="52" t="n">
        <v>-1</v>
      </c>
      <c r="R95" s="52"/>
      <c r="S95" s="52" t="n">
        <v>2</v>
      </c>
      <c r="T95" s="52" t="s">
        <v>123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436</v>
      </c>
      <c r="B96" s="39" t="s">
        <v>437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 t="s">
        <v>175</v>
      </c>
      <c r="N96" s="44" t="n">
        <v>46264</v>
      </c>
      <c r="O96" s="45" t="n">
        <v>46266</v>
      </c>
      <c r="P96" s="46" t="s">
        <v>176</v>
      </c>
      <c r="Q96" s="37" t="n">
        <v>-1</v>
      </c>
      <c r="R96" s="39"/>
      <c r="S96" s="39" t="n">
        <v>1</v>
      </c>
      <c r="T96" s="39" t="s">
        <v>123</v>
      </c>
      <c r="U96" s="39"/>
      <c r="V96" s="47" t="n">
        <v>1</v>
      </c>
      <c r="W96" s="39" t="s">
        <v>86</v>
      </c>
      <c r="X96" s="38" t="s">
        <v>438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439</v>
      </c>
      <c r="B97" s="50" t="s">
        <v>440</v>
      </c>
      <c r="C97" s="50" t="s">
        <v>441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442</v>
      </c>
      <c r="N97" s="55" t="n">
        <v>46264</v>
      </c>
      <c r="O97" s="55" t="n">
        <v>46266</v>
      </c>
      <c r="P97" s="50" t="s">
        <v>122</v>
      </c>
      <c r="Q97" s="52" t="n">
        <v>0</v>
      </c>
      <c r="R97" s="52"/>
      <c r="S97" s="52" t="n">
        <v>2</v>
      </c>
      <c r="T97" s="52" t="s">
        <v>123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443</v>
      </c>
      <c r="B98" s="50" t="s">
        <v>444</v>
      </c>
      <c r="C98" s="50" t="s">
        <v>445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446</v>
      </c>
      <c r="N98" s="55" t="n">
        <v>46265</v>
      </c>
      <c r="O98" s="55" t="n">
        <v>46266</v>
      </c>
      <c r="P98" s="50" t="s">
        <v>122</v>
      </c>
      <c r="Q98" s="52" t="n">
        <v>-1</v>
      </c>
      <c r="R98" s="52"/>
      <c r="S98" s="52" t="n">
        <v>2</v>
      </c>
      <c r="T98" s="52" t="s">
        <v>123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447</v>
      </c>
      <c r="B99" s="52" t="s">
        <v>448</v>
      </c>
      <c r="C99" s="50" t="s">
        <v>449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450</v>
      </c>
      <c r="N99" s="55" t="n">
        <v>46266</v>
      </c>
      <c r="O99" s="55" t="n">
        <v>46266</v>
      </c>
      <c r="P99" s="50" t="s">
        <v>122</v>
      </c>
      <c r="Q99" s="52" t="n">
        <v>-1</v>
      </c>
      <c r="R99" s="52"/>
      <c r="S99" s="52" t="n">
        <v>2</v>
      </c>
      <c r="T99" s="52" t="s">
        <v>123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451</v>
      </c>
      <c r="B100" s="39" t="s">
        <v>452</v>
      </c>
      <c r="C100" s="38" t="s">
        <v>453</v>
      </c>
      <c r="D100" s="39" t="s">
        <v>300</v>
      </c>
      <c r="E100" s="40" t="n">
        <v>5</v>
      </c>
      <c r="F100" s="39" t="s">
        <v>454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 t="s">
        <v>175</v>
      </c>
      <c r="N100" s="44" t="n">
        <v>46265</v>
      </c>
      <c r="O100" s="45" t="n">
        <v>46267</v>
      </c>
      <c r="P100" s="46" t="s">
        <v>176</v>
      </c>
      <c r="Q100" s="37" t="n">
        <v>-1</v>
      </c>
      <c r="R100" s="39"/>
      <c r="S100" s="39" t="n">
        <v>1</v>
      </c>
      <c r="T100" s="39" t="s">
        <v>123</v>
      </c>
      <c r="U100" s="39"/>
      <c r="V100" s="47" t="n">
        <v>1</v>
      </c>
      <c r="W100" s="39" t="s">
        <v>86</v>
      </c>
      <c r="X100" s="39" t="s">
        <v>455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456</v>
      </c>
      <c r="B101" s="50" t="s">
        <v>457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46263</v>
      </c>
      <c r="J101" s="53" t="n">
        <v>46264</v>
      </c>
      <c r="K101" s="52"/>
      <c r="L101" s="52"/>
      <c r="M101" s="61"/>
      <c r="N101" s="55" t="n">
        <v>46265</v>
      </c>
      <c r="O101" s="55" t="n">
        <v>46265</v>
      </c>
      <c r="P101" s="50" t="s">
        <v>122</v>
      </c>
      <c r="Q101" s="52" t="n">
        <v>1</v>
      </c>
      <c r="R101" s="52"/>
      <c r="S101" s="52" t="n">
        <v>2</v>
      </c>
      <c r="T101" s="52" t="s">
        <v>123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458</v>
      </c>
      <c r="B102" s="50" t="s">
        <v>459</v>
      </c>
      <c r="C102" s="50" t="s">
        <v>460</v>
      </c>
      <c r="D102" s="50" t="s">
        <v>91</v>
      </c>
      <c r="E102" s="51" t="n">
        <v>2</v>
      </c>
      <c r="F102" s="52"/>
      <c r="G102" s="52"/>
      <c r="H102" s="52"/>
      <c r="I102" s="53" t="n">
        <v>46264</v>
      </c>
      <c r="J102" s="53" t="n">
        <v>46267</v>
      </c>
      <c r="K102" s="52"/>
      <c r="L102" s="52"/>
      <c r="M102" s="54" t="s">
        <v>461</v>
      </c>
      <c r="N102" s="55" t="n">
        <v>46265</v>
      </c>
      <c r="O102" s="55" t="n">
        <v>46266</v>
      </c>
      <c r="P102" s="50" t="s">
        <v>122</v>
      </c>
      <c r="Q102" s="52" t="n">
        <v>-1</v>
      </c>
      <c r="R102" s="52"/>
      <c r="S102" s="52" t="n">
        <v>2</v>
      </c>
      <c r="T102" s="52" t="s">
        <v>123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462</v>
      </c>
      <c r="B103" s="52" t="s">
        <v>463</v>
      </c>
      <c r="C103" s="52" t="s">
        <v>464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465</v>
      </c>
      <c r="Q103" s="52"/>
      <c r="R103" s="52"/>
      <c r="S103" s="52" t="n">
        <v>2</v>
      </c>
      <c r="T103" s="52" t="s">
        <v>466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467</v>
      </c>
      <c r="B104" s="50" t="s">
        <v>468</v>
      </c>
      <c r="C104" s="50" t="s">
        <v>469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470</v>
      </c>
      <c r="N104" s="55" t="n">
        <v>46266</v>
      </c>
      <c r="O104" s="55" t="n">
        <v>46267</v>
      </c>
      <c r="P104" s="50" t="s">
        <v>122</v>
      </c>
      <c r="Q104" s="52" t="n">
        <v>0</v>
      </c>
      <c r="R104" s="52"/>
      <c r="S104" s="52" t="n">
        <v>2</v>
      </c>
      <c r="T104" s="52" t="s">
        <v>123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471</v>
      </c>
      <c r="B105" s="50" t="s">
        <v>472</v>
      </c>
      <c r="C105" s="50" t="s">
        <v>473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474</v>
      </c>
      <c r="N105" s="55" t="n">
        <v>46266</v>
      </c>
      <c r="O105" s="55" t="n">
        <v>46267</v>
      </c>
      <c r="P105" s="50" t="s">
        <v>122</v>
      </c>
      <c r="Q105" s="52" t="n">
        <v>-1</v>
      </c>
      <c r="R105" s="52"/>
      <c r="S105" s="52" t="n">
        <v>2</v>
      </c>
      <c r="T105" s="52" t="s">
        <v>123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475</v>
      </c>
      <c r="B106" s="52" t="s">
        <v>476</v>
      </c>
      <c r="C106" s="50" t="s">
        <v>477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478</v>
      </c>
      <c r="N106" s="55" t="n">
        <v>46267</v>
      </c>
      <c r="O106" s="55" t="n">
        <v>46267</v>
      </c>
      <c r="P106" s="50" t="s">
        <v>122</v>
      </c>
      <c r="Q106" s="52" t="n">
        <v>-1</v>
      </c>
      <c r="R106" s="52"/>
      <c r="S106" s="52" t="n">
        <v>2</v>
      </c>
      <c r="T106" s="52" t="s">
        <v>123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479</v>
      </c>
      <c r="B107" s="39" t="s">
        <v>480</v>
      </c>
      <c r="C107" s="39"/>
      <c r="D107" s="39" t="s">
        <v>300</v>
      </c>
      <c r="E107" s="40" t="n">
        <v>2.5</v>
      </c>
      <c r="F107" s="39" t="s">
        <v>454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 t="s">
        <v>175</v>
      </c>
      <c r="N107" s="44" t="n">
        <v>46266</v>
      </c>
      <c r="O107" s="45" t="n">
        <v>46267</v>
      </c>
      <c r="P107" s="46" t="s">
        <v>176</v>
      </c>
      <c r="Q107" s="37" t="n">
        <v>-2</v>
      </c>
      <c r="R107" s="39"/>
      <c r="S107" s="39" t="n">
        <v>1</v>
      </c>
      <c r="T107" s="39" t="s">
        <v>123</v>
      </c>
      <c r="U107" s="39"/>
      <c r="V107" s="47" t="n">
        <v>1</v>
      </c>
      <c r="W107" s="39" t="s">
        <v>86</v>
      </c>
      <c r="X107" s="39" t="s">
        <v>481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482</v>
      </c>
      <c r="B108" s="52" t="s">
        <v>483</v>
      </c>
      <c r="C108" s="52" t="s">
        <v>484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485</v>
      </c>
      <c r="N108" s="55" t="n">
        <v>46266</v>
      </c>
      <c r="O108" s="55" t="n">
        <v>46267</v>
      </c>
      <c r="P108" s="50" t="s">
        <v>122</v>
      </c>
      <c r="Q108" s="52" t="n">
        <v>-1</v>
      </c>
      <c r="R108" s="52"/>
      <c r="S108" s="52" t="n">
        <v>2</v>
      </c>
      <c r="T108" s="52" t="s">
        <v>123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486</v>
      </c>
      <c r="B109" s="50" t="s">
        <v>487</v>
      </c>
      <c r="C109" s="50" t="s">
        <v>488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489</v>
      </c>
      <c r="N109" s="55" t="n">
        <v>46267</v>
      </c>
      <c r="O109" s="55" t="n">
        <v>46267</v>
      </c>
      <c r="P109" s="50" t="s">
        <v>122</v>
      </c>
      <c r="Q109" s="52" t="n">
        <v>-2</v>
      </c>
      <c r="R109" s="52"/>
      <c r="S109" s="52" t="n">
        <v>2</v>
      </c>
      <c r="T109" s="52" t="s">
        <v>123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490</v>
      </c>
      <c r="B110" s="52" t="s">
        <v>491</v>
      </c>
      <c r="C110" s="50" t="s">
        <v>492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493</v>
      </c>
      <c r="N110" s="55" t="n">
        <v>46266</v>
      </c>
      <c r="O110" s="55" t="n">
        <v>46267</v>
      </c>
      <c r="P110" s="50" t="s">
        <v>122</v>
      </c>
      <c r="Q110" s="52" t="n">
        <v>-1</v>
      </c>
      <c r="R110" s="52"/>
      <c r="S110" s="52" t="n">
        <v>2</v>
      </c>
      <c r="T110" s="52" t="s">
        <v>123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494</v>
      </c>
      <c r="B111" s="39" t="s">
        <v>495</v>
      </c>
      <c r="C111" s="39" t="s">
        <v>496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 t="n">
        <v>46268</v>
      </c>
      <c r="M111" s="43"/>
      <c r="N111" s="44" t="n">
        <v>46268</v>
      </c>
      <c r="O111" s="45" t="n">
        <v>46268</v>
      </c>
      <c r="P111" s="46" t="s">
        <v>60</v>
      </c>
      <c r="Q111" s="37" t="n">
        <v>-2</v>
      </c>
      <c r="R111" s="39"/>
      <c r="S111" s="39" t="n">
        <v>1</v>
      </c>
      <c r="T111" s="39" t="s">
        <v>114</v>
      </c>
      <c r="U111" s="39"/>
      <c r="V111" s="47" t="n">
        <v>1</v>
      </c>
      <c r="W111" s="38" t="s">
        <v>80</v>
      </c>
      <c r="X111" s="39" t="s">
        <v>497</v>
      </c>
      <c r="Y111" s="38" t="s">
        <v>498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499</v>
      </c>
      <c r="B112" s="50" t="s">
        <v>500</v>
      </c>
      <c r="C112" s="50" t="s">
        <v>501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502</v>
      </c>
      <c r="N112" s="55" t="n">
        <v>46268</v>
      </c>
      <c r="O112" s="55" t="n">
        <v>46268</v>
      </c>
      <c r="P112" s="50" t="s">
        <v>122</v>
      </c>
      <c r="Q112" s="52" t="n">
        <v>-2</v>
      </c>
      <c r="R112" s="52"/>
      <c r="S112" s="52" t="n">
        <v>2</v>
      </c>
      <c r="T112" s="52" t="s">
        <v>123</v>
      </c>
      <c r="U112" s="52"/>
      <c r="V112" s="56" t="n">
        <v>1</v>
      </c>
      <c r="W112" s="50" t="s">
        <v>86</v>
      </c>
      <c r="X112" s="52"/>
      <c r="Y112" s="52" t="s">
        <v>498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503</v>
      </c>
      <c r="B113" s="50" t="s">
        <v>504</v>
      </c>
      <c r="C113" s="50" t="s">
        <v>505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506</v>
      </c>
      <c r="N113" s="55" t="n">
        <v>46268</v>
      </c>
      <c r="O113" s="55" t="n">
        <v>46268</v>
      </c>
      <c r="P113" s="50" t="s">
        <v>122</v>
      </c>
      <c r="Q113" s="52" t="n">
        <v>-2</v>
      </c>
      <c r="R113" s="52"/>
      <c r="S113" s="52" t="n">
        <v>2</v>
      </c>
      <c r="T113" s="52" t="s">
        <v>123</v>
      </c>
      <c r="U113" s="52"/>
      <c r="V113" s="56" t="n">
        <v>1</v>
      </c>
      <c r="W113" s="50" t="s">
        <v>86</v>
      </c>
      <c r="X113" s="52"/>
      <c r="Y113" s="52" t="s">
        <v>498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507</v>
      </c>
      <c r="B114" s="31" t="s">
        <v>508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46269</v>
      </c>
      <c r="O114" s="33" t="n">
        <v>46426</v>
      </c>
      <c r="P114" s="34" t="s">
        <v>75</v>
      </c>
      <c r="Q114" s="31" t="n">
        <v>93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509</v>
      </c>
      <c r="B115" s="39" t="s">
        <v>510</v>
      </c>
      <c r="C115" s="39"/>
      <c r="D115" s="39" t="s">
        <v>300</v>
      </c>
      <c r="E115" s="40" t="n">
        <v>2.5</v>
      </c>
      <c r="F115" s="38" t="s">
        <v>245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/>
      <c r="M115" s="43"/>
      <c r="N115" s="44" t="n">
        <v>46359</v>
      </c>
      <c r="O115" s="45" t="n">
        <v>46359</v>
      </c>
      <c r="P115" s="46" t="s">
        <v>287</v>
      </c>
      <c r="Q115" s="37" t="n">
        <v>86</v>
      </c>
      <c r="R115" s="39"/>
      <c r="S115" s="39" t="n">
        <v>1</v>
      </c>
      <c r="T115" s="39" t="s">
        <v>288</v>
      </c>
      <c r="U115" s="58" t="n">
        <v>46359.0115</v>
      </c>
      <c r="V115" s="47" t="n">
        <v>0</v>
      </c>
      <c r="W115" s="39" t="s">
        <v>86</v>
      </c>
      <c r="X115" s="39" t="s">
        <v>511</v>
      </c>
      <c r="Y115" s="38" t="s">
        <v>512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513</v>
      </c>
      <c r="B116" s="52" t="s">
        <v>514</v>
      </c>
      <c r="C116" s="52" t="s">
        <v>515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516</v>
      </c>
      <c r="N116" s="55" t="n">
        <v>46359</v>
      </c>
      <c r="O116" s="55" t="n">
        <v>46359</v>
      </c>
      <c r="P116" s="50" t="s">
        <v>287</v>
      </c>
      <c r="Q116" s="52" t="n">
        <v>88</v>
      </c>
      <c r="R116" s="52"/>
      <c r="S116" s="52" t="n">
        <v>2</v>
      </c>
      <c r="T116" s="52" t="s">
        <v>288</v>
      </c>
      <c r="U116" s="52"/>
      <c r="V116" s="56" t="n">
        <v>0</v>
      </c>
      <c r="W116" s="52" t="s">
        <v>80</v>
      </c>
      <c r="X116" s="52"/>
      <c r="Y116" s="52" t="s">
        <v>512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517</v>
      </c>
      <c r="B117" s="50" t="s">
        <v>518</v>
      </c>
      <c r="C117" s="50" t="s">
        <v>519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520</v>
      </c>
      <c r="N117" s="55" t="n">
        <v>46359</v>
      </c>
      <c r="O117" s="55" t="n">
        <v>46359</v>
      </c>
      <c r="P117" s="50" t="s">
        <v>287</v>
      </c>
      <c r="Q117" s="52" t="n">
        <v>87</v>
      </c>
      <c r="R117" s="52"/>
      <c r="S117" s="52" t="n">
        <v>2</v>
      </c>
      <c r="T117" s="52" t="s">
        <v>288</v>
      </c>
      <c r="U117" s="52"/>
      <c r="V117" s="56" t="n">
        <v>0</v>
      </c>
      <c r="W117" s="50" t="s">
        <v>86</v>
      </c>
      <c r="X117" s="52"/>
      <c r="Y117" s="52" t="s">
        <v>512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521</v>
      </c>
      <c r="B118" s="50" t="s">
        <v>522</v>
      </c>
      <c r="C118" s="50" t="s">
        <v>523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524</v>
      </c>
      <c r="N118" s="55" t="n">
        <v>46359</v>
      </c>
      <c r="O118" s="55" t="n">
        <v>46359</v>
      </c>
      <c r="P118" s="50" t="s">
        <v>287</v>
      </c>
      <c r="Q118" s="52" t="n">
        <v>87</v>
      </c>
      <c r="R118" s="52"/>
      <c r="S118" s="52" t="n">
        <v>2</v>
      </c>
      <c r="T118" s="52" t="s">
        <v>288</v>
      </c>
      <c r="U118" s="52"/>
      <c r="V118" s="56" t="n">
        <v>0</v>
      </c>
      <c r="W118" s="50" t="s">
        <v>86</v>
      </c>
      <c r="X118" s="52"/>
      <c r="Y118" s="52" t="s">
        <v>512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525</v>
      </c>
      <c r="B119" s="50" t="s">
        <v>526</v>
      </c>
      <c r="C119" s="50" t="s">
        <v>527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528</v>
      </c>
      <c r="N119" s="55" t="n">
        <v>46359</v>
      </c>
      <c r="O119" s="55" t="n">
        <v>46359</v>
      </c>
      <c r="P119" s="50" t="s">
        <v>287</v>
      </c>
      <c r="Q119" s="52" t="n">
        <v>87</v>
      </c>
      <c r="R119" s="52"/>
      <c r="S119" s="52" t="n">
        <v>2</v>
      </c>
      <c r="T119" s="52" t="s">
        <v>288</v>
      </c>
      <c r="U119" s="52"/>
      <c r="V119" s="56" t="n">
        <v>0</v>
      </c>
      <c r="W119" s="50" t="s">
        <v>86</v>
      </c>
      <c r="X119" s="52"/>
      <c r="Y119" s="52" t="s">
        <v>512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529</v>
      </c>
      <c r="B120" s="50" t="s">
        <v>530</v>
      </c>
      <c r="C120" s="50" t="s">
        <v>531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532</v>
      </c>
      <c r="N120" s="55" t="n">
        <v>46359</v>
      </c>
      <c r="O120" s="55" t="n">
        <v>46359</v>
      </c>
      <c r="P120" s="50" t="s">
        <v>287</v>
      </c>
      <c r="Q120" s="52" t="n">
        <v>86</v>
      </c>
      <c r="R120" s="52"/>
      <c r="S120" s="52" t="n">
        <v>2</v>
      </c>
      <c r="T120" s="52" t="s">
        <v>288</v>
      </c>
      <c r="U120" s="52"/>
      <c r="V120" s="56" t="n">
        <v>0</v>
      </c>
      <c r="W120" s="50" t="s">
        <v>86</v>
      </c>
      <c r="X120" s="52"/>
      <c r="Y120" s="52" t="s">
        <v>512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533</v>
      </c>
      <c r="B121" s="50" t="s">
        <v>534</v>
      </c>
      <c r="C121" s="50" t="s">
        <v>535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536</v>
      </c>
      <c r="N121" s="55" t="n">
        <v>46359</v>
      </c>
      <c r="O121" s="55" t="n">
        <v>46359</v>
      </c>
      <c r="P121" s="50" t="s">
        <v>287</v>
      </c>
      <c r="Q121" s="52" t="n">
        <v>86</v>
      </c>
      <c r="R121" s="52"/>
      <c r="S121" s="52" t="n">
        <v>2</v>
      </c>
      <c r="T121" s="52" t="s">
        <v>288</v>
      </c>
      <c r="U121" s="52"/>
      <c r="V121" s="56" t="n">
        <v>0</v>
      </c>
      <c r="W121" s="50" t="s">
        <v>86</v>
      </c>
      <c r="X121" s="52"/>
      <c r="Y121" s="52" t="s">
        <v>512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537</v>
      </c>
      <c r="B122" s="39" t="s">
        <v>538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46335</v>
      </c>
      <c r="O122" s="45" t="n">
        <v>46335</v>
      </c>
      <c r="P122" s="46" t="s">
        <v>287</v>
      </c>
      <c r="Q122" s="37" t="n">
        <v>62</v>
      </c>
      <c r="R122" s="39"/>
      <c r="S122" s="39" t="n">
        <v>1</v>
      </c>
      <c r="T122" s="39" t="s">
        <v>288</v>
      </c>
      <c r="U122" s="58" t="n">
        <v>46335.0122</v>
      </c>
      <c r="V122" s="47" t="n">
        <v>0</v>
      </c>
      <c r="W122" s="38" t="s">
        <v>80</v>
      </c>
      <c r="X122" s="39"/>
      <c r="Y122" s="38" t="s">
        <v>539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540</v>
      </c>
      <c r="B123" s="39" t="s">
        <v>541</v>
      </c>
      <c r="C123" s="38" t="s">
        <v>542</v>
      </c>
      <c r="D123" s="39" t="s">
        <v>79</v>
      </c>
      <c r="E123" s="40" t="n">
        <v>0</v>
      </c>
      <c r="F123" s="38" t="s">
        <v>494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46269</v>
      </c>
      <c r="L123" s="42" t="n">
        <v>46275</v>
      </c>
      <c r="M123" s="43"/>
      <c r="N123" s="44" t="n">
        <v>46269</v>
      </c>
      <c r="O123" s="45" t="n">
        <v>46275</v>
      </c>
      <c r="P123" s="46" t="s">
        <v>60</v>
      </c>
      <c r="Q123" s="37" t="n">
        <v>0</v>
      </c>
      <c r="R123" s="39"/>
      <c r="S123" s="39" t="n">
        <v>1</v>
      </c>
      <c r="T123" s="39" t="s">
        <v>114</v>
      </c>
      <c r="U123" s="39"/>
      <c r="V123" s="47" t="n">
        <v>1</v>
      </c>
      <c r="W123" s="38" t="s">
        <v>80</v>
      </c>
      <c r="X123" s="39"/>
      <c r="Y123" s="38" t="s">
        <v>543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544</v>
      </c>
      <c r="B124" s="39" t="s">
        <v>545</v>
      </c>
      <c r="C124" s="39"/>
      <c r="D124" s="39" t="s">
        <v>79</v>
      </c>
      <c r="E124" s="40" t="n">
        <v>2.5</v>
      </c>
      <c r="F124" s="38" t="s">
        <v>546</v>
      </c>
      <c r="G124" s="37" t="n">
        <v>0</v>
      </c>
      <c r="H124" s="57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46413</v>
      </c>
      <c r="O124" s="45" t="n">
        <v>46426</v>
      </c>
      <c r="P124" s="46" t="s">
        <v>287</v>
      </c>
      <c r="Q124" s="37" t="n">
        <v>93</v>
      </c>
      <c r="R124" s="39"/>
      <c r="S124" s="39" t="n">
        <v>1</v>
      </c>
      <c r="T124" s="39" t="s">
        <v>288</v>
      </c>
      <c r="U124" s="58" t="n">
        <v>46413.0124</v>
      </c>
      <c r="V124" s="47" t="n">
        <v>0</v>
      </c>
      <c r="W124" s="38" t="s">
        <v>80</v>
      </c>
      <c r="X124" s="39" t="s">
        <v>547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548</v>
      </c>
      <c r="B125" s="50" t="s">
        <v>549</v>
      </c>
      <c r="C125" s="50" t="s">
        <v>550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551</v>
      </c>
      <c r="N125" s="55" t="n">
        <v>46413</v>
      </c>
      <c r="O125" s="55" t="n">
        <v>46417</v>
      </c>
      <c r="P125" s="50" t="s">
        <v>287</v>
      </c>
      <c r="Q125" s="52" t="n">
        <v>93</v>
      </c>
      <c r="R125" s="52"/>
      <c r="S125" s="52" t="n">
        <v>2</v>
      </c>
      <c r="T125" s="52" t="s">
        <v>288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552</v>
      </c>
      <c r="B126" s="50" t="s">
        <v>553</v>
      </c>
      <c r="C126" s="52" t="s">
        <v>554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555</v>
      </c>
      <c r="N126" s="55" t="n">
        <v>46416</v>
      </c>
      <c r="O126" s="55" t="n">
        <v>46423</v>
      </c>
      <c r="P126" s="50" t="s">
        <v>287</v>
      </c>
      <c r="Q126" s="52" t="n">
        <v>93</v>
      </c>
      <c r="R126" s="52"/>
      <c r="S126" s="52" t="n">
        <v>2</v>
      </c>
      <c r="T126" s="52" t="s">
        <v>288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556</v>
      </c>
      <c r="B127" s="52" t="s">
        <v>557</v>
      </c>
      <c r="C127" s="52" t="s">
        <v>558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559</v>
      </c>
      <c r="N127" s="55" t="n">
        <v>46423</v>
      </c>
      <c r="O127" s="55" t="n">
        <v>46426</v>
      </c>
      <c r="P127" s="50" t="s">
        <v>287</v>
      </c>
      <c r="Q127" s="52" t="n">
        <v>93</v>
      </c>
      <c r="R127" s="52"/>
      <c r="S127" s="52" t="n">
        <v>2</v>
      </c>
      <c r="T127" s="52" t="s">
        <v>288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560</v>
      </c>
      <c r="B128" s="39" t="s">
        <v>561</v>
      </c>
      <c r="C128" s="39"/>
      <c r="D128" s="39" t="s">
        <v>300</v>
      </c>
      <c r="E128" s="40" t="n">
        <v>0</v>
      </c>
      <c r="F128" s="38" t="s">
        <v>245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/>
      <c r="M128" s="43"/>
      <c r="N128" s="44" t="n">
        <v>46367</v>
      </c>
      <c r="O128" s="45" t="n">
        <v>46367</v>
      </c>
      <c r="P128" s="46" t="s">
        <v>287</v>
      </c>
      <c r="Q128" s="37" t="n">
        <v>84</v>
      </c>
      <c r="R128" s="39"/>
      <c r="S128" s="39" t="n">
        <v>1</v>
      </c>
      <c r="T128" s="39" t="s">
        <v>288</v>
      </c>
      <c r="U128" s="58" t="n">
        <v>46367.0128</v>
      </c>
      <c r="V128" s="47" t="n">
        <v>0</v>
      </c>
      <c r="W128" s="39" t="s">
        <v>86</v>
      </c>
      <c r="X128" s="39"/>
      <c r="Y128" s="38" t="s">
        <v>562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563</v>
      </c>
      <c r="B129" s="38" t="s">
        <v>564</v>
      </c>
      <c r="C129" s="39"/>
      <c r="D129" s="39" t="s">
        <v>112</v>
      </c>
      <c r="E129" s="40" t="n">
        <v>0</v>
      </c>
      <c r="F129" s="38" t="s">
        <v>560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/>
      <c r="N129" s="44" t="n">
        <v>46368</v>
      </c>
      <c r="O129" s="45" t="n">
        <v>46370</v>
      </c>
      <c r="P129" s="46" t="s">
        <v>287</v>
      </c>
      <c r="Q129" s="37" t="n">
        <v>87</v>
      </c>
      <c r="R129" s="39"/>
      <c r="S129" s="39" t="n">
        <v>1</v>
      </c>
      <c r="T129" s="39" t="s">
        <v>288</v>
      </c>
      <c r="U129" s="58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565</v>
      </c>
      <c r="B130" s="38" t="s">
        <v>566</v>
      </c>
      <c r="C130" s="39" t="s">
        <v>567</v>
      </c>
      <c r="D130" s="39" t="s">
        <v>112</v>
      </c>
      <c r="E130" s="40" t="n">
        <v>0</v>
      </c>
      <c r="F130" s="38" t="s">
        <v>560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46368</v>
      </c>
      <c r="O130" s="45" t="n">
        <v>46372</v>
      </c>
      <c r="P130" s="46" t="s">
        <v>287</v>
      </c>
      <c r="Q130" s="37" t="n">
        <v>89</v>
      </c>
      <c r="R130" s="39"/>
      <c r="S130" s="39" t="n">
        <v>1</v>
      </c>
      <c r="T130" s="39" t="s">
        <v>288</v>
      </c>
      <c r="U130" s="58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568</v>
      </c>
      <c r="B131" s="39" t="s">
        <v>569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46410</v>
      </c>
      <c r="O131" s="45" t="n">
        <v>46412</v>
      </c>
      <c r="P131" s="46" t="s">
        <v>287</v>
      </c>
      <c r="Q131" s="37" t="n">
        <v>93</v>
      </c>
      <c r="R131" s="39"/>
      <c r="S131" s="39" t="n">
        <v>1</v>
      </c>
      <c r="T131" s="39" t="s">
        <v>288</v>
      </c>
      <c r="U131" s="58" t="n">
        <v>46410.0131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570</v>
      </c>
      <c r="D134" s="6" t="s">
        <v>571</v>
      </c>
    </row>
    <row r="135" customFormat="false" ht="15" hidden="false" customHeight="true" outlineLevel="0" collapsed="false">
      <c r="B135" s="63" t="s">
        <v>572</v>
      </c>
      <c r="D135" s="63" t="s">
        <v>573</v>
      </c>
      <c r="E135" s="63" t="s">
        <v>574</v>
      </c>
      <c r="I135" s="64" t="s">
        <v>575</v>
      </c>
      <c r="J135" s="64" t="s">
        <v>576</v>
      </c>
      <c r="K135" s="64" t="s">
        <v>577</v>
      </c>
      <c r="L135" s="64" t="s">
        <v>578</v>
      </c>
      <c r="O135" s="63" t="s">
        <v>579</v>
      </c>
      <c r="P135" s="63" t="s">
        <v>580</v>
      </c>
    </row>
    <row r="136" customFormat="false" ht="15" hidden="false" customHeight="true" outlineLevel="0" collapsed="false">
      <c r="B136" s="65" t="s">
        <v>581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582</v>
      </c>
    </row>
    <row r="137" customFormat="false" ht="15" hidden="false" customHeight="true" outlineLevel="0" collapsed="false">
      <c r="B137" s="65" t="s">
        <v>583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584</v>
      </c>
    </row>
    <row r="138" customFormat="false" ht="15" hidden="false" customHeight="true" outlineLevel="0" collapsed="false">
      <c r="B138" s="65" t="s">
        <v>585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586</v>
      </c>
    </row>
    <row r="139" customFormat="false" ht="15" hidden="false" customHeight="true" outlineLevel="0" collapsed="false">
      <c r="B139" s="65" t="s">
        <v>587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588</v>
      </c>
    </row>
    <row r="140" customFormat="false" ht="15" hidden="false" customHeight="true" outlineLevel="0" collapsed="false">
      <c r="B140" s="65" t="s">
        <v>589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590</v>
      </c>
    </row>
    <row r="141" customFormat="false" ht="15" hidden="false" customHeight="true" outlineLevel="0" collapsed="false">
      <c r="B141" s="70" t="s">
        <v>591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592</v>
      </c>
    </row>
    <row r="142" customFormat="false" ht="15" hidden="false" customHeight="true" outlineLevel="0" collapsed="false">
      <c r="B142" s="72" t="s">
        <v>593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594</v>
      </c>
    </row>
    <row r="145" customFormat="false" ht="15.75" hidden="false" customHeight="true" outlineLevel="0" collapsed="false">
      <c r="A145" s="77" t="s">
        <v>595</v>
      </c>
    </row>
    <row r="146" customFormat="false" ht="15" hidden="false" customHeight="true" outlineLevel="0" collapsed="false">
      <c r="B146" s="17" t="s">
        <v>596</v>
      </c>
      <c r="D146" s="78" t="s">
        <v>597</v>
      </c>
      <c r="E146" s="78"/>
      <c r="F146" s="78"/>
      <c r="G146" s="78"/>
      <c r="H146" s="78"/>
      <c r="I146" s="78"/>
      <c r="J146" s="78"/>
      <c r="K146" s="19" t="s">
        <v>598</v>
      </c>
    </row>
    <row r="147" customFormat="false" ht="15" hidden="false" customHeight="true" outlineLevel="0" collapsed="false">
      <c r="B147" s="79" t="s">
        <v>599</v>
      </c>
      <c r="E147" s="80" t="s">
        <v>600</v>
      </c>
      <c r="I147" s="79" t="s">
        <v>601</v>
      </c>
    </row>
    <row r="148" customFormat="false" ht="24" hidden="false" customHeight="true" outlineLevel="0" collapsed="false">
      <c r="A148" s="81" t="s">
        <v>602</v>
      </c>
      <c r="B148" s="82" t="s">
        <v>603</v>
      </c>
      <c r="E148" s="83" t="n">
        <v>5</v>
      </c>
      <c r="I148" s="61" t="s">
        <v>175</v>
      </c>
    </row>
    <row r="149" customFormat="false" ht="24" hidden="false" customHeight="true" outlineLevel="0" collapsed="false">
      <c r="A149" s="81" t="s">
        <v>604</v>
      </c>
      <c r="B149" s="82" t="s">
        <v>605</v>
      </c>
      <c r="E149" s="83" t="n">
        <v>20</v>
      </c>
      <c r="I149" s="61" t="s">
        <v>175</v>
      </c>
    </row>
    <row r="150" customFormat="false" ht="24" hidden="false" customHeight="true" outlineLevel="0" collapsed="false">
      <c r="A150" s="81" t="s">
        <v>606</v>
      </c>
      <c r="B150" s="82" t="s">
        <v>607</v>
      </c>
      <c r="E150" s="83" t="n">
        <v>30</v>
      </c>
      <c r="I150" s="61" t="s">
        <v>175</v>
      </c>
    </row>
    <row r="151" customFormat="false" ht="24" hidden="false" customHeight="true" outlineLevel="0" collapsed="false">
      <c r="A151" s="81" t="s">
        <v>608</v>
      </c>
      <c r="B151" s="82" t="s">
        <v>609</v>
      </c>
      <c r="E151" s="83" t="n">
        <v>25</v>
      </c>
      <c r="I151" s="61" t="s">
        <v>175</v>
      </c>
    </row>
    <row r="152" customFormat="false" ht="24" hidden="false" customHeight="true" outlineLevel="0" collapsed="false">
      <c r="A152" s="81" t="s">
        <v>610</v>
      </c>
      <c r="B152" s="82" t="s">
        <v>611</v>
      </c>
      <c r="E152" s="83" t="n">
        <v>10</v>
      </c>
      <c r="I152" s="61" t="s">
        <v>175</v>
      </c>
    </row>
    <row r="153" customFormat="false" ht="24" hidden="false" customHeight="true" outlineLevel="0" collapsed="false">
      <c r="A153" s="81" t="s">
        <v>612</v>
      </c>
      <c r="B153" s="82" t="s">
        <v>613</v>
      </c>
      <c r="E153" s="83" t="n">
        <v>10</v>
      </c>
      <c r="I153" s="61" t="s">
        <v>175</v>
      </c>
    </row>
    <row r="154" customFormat="false" ht="15" hidden="false" customHeight="true" outlineLevel="0" collapsed="false">
      <c r="B154" s="84" t="s">
        <v>614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615</v>
      </c>
    </row>
    <row r="2" customFormat="false" ht="15" hidden="false" customHeight="false" outlineLevel="0" collapsed="false">
      <c r="B2" s="87" t="s">
        <v>616</v>
      </c>
      <c r="C2" s="88" t="s">
        <v>617</v>
      </c>
    </row>
    <row r="3" customFormat="false" ht="15" hidden="false" customHeight="false" outlineLevel="0" collapsed="false">
      <c r="B3" s="87" t="s">
        <v>618</v>
      </c>
      <c r="C3" s="88" t="s">
        <v>619</v>
      </c>
    </row>
    <row r="4" customFormat="false" ht="15" hidden="false" customHeight="false" outlineLevel="0" collapsed="false">
      <c r="B4" s="89" t="s">
        <v>620</v>
      </c>
      <c r="C4" s="88" t="s">
        <v>621</v>
      </c>
    </row>
    <row r="5" customFormat="false" ht="15" hidden="false" customHeight="false" outlineLevel="0" collapsed="false">
      <c r="H5" s="90" t="s">
        <v>622</v>
      </c>
      <c r="I5" s="90"/>
      <c r="J5" s="90" t="s">
        <v>623</v>
      </c>
      <c r="K5" s="90"/>
      <c r="L5" s="90"/>
      <c r="M5" s="90"/>
      <c r="N5" s="90"/>
      <c r="O5" s="90" t="s">
        <v>624</v>
      </c>
      <c r="P5" s="90"/>
      <c r="Q5" s="90"/>
      <c r="R5" s="90"/>
      <c r="S5" s="90" t="s">
        <v>625</v>
      </c>
      <c r="T5" s="90"/>
      <c r="U5" s="90"/>
      <c r="V5" s="90"/>
      <c r="W5" s="90"/>
      <c r="X5" s="90" t="s">
        <v>626</v>
      </c>
      <c r="Y5" s="90"/>
      <c r="Z5" s="90"/>
      <c r="AA5" s="90"/>
      <c r="AB5" s="90" t="s">
        <v>627</v>
      </c>
      <c r="AC5" s="90"/>
      <c r="AD5" s="90"/>
      <c r="AE5" s="90"/>
      <c r="AF5" s="90" t="s">
        <v>628</v>
      </c>
      <c r="AG5" s="90"/>
      <c r="AH5" s="90"/>
      <c r="AI5" s="90"/>
      <c r="AJ5" s="90"/>
      <c r="AK5" s="90" t="s">
        <v>629</v>
      </c>
      <c r="AL5" s="90"/>
      <c r="AM5" s="90"/>
      <c r="AN5" s="90"/>
      <c r="AO5" s="90" t="s">
        <v>630</v>
      </c>
      <c r="AP5" s="90"/>
      <c r="AQ5" s="90"/>
      <c r="AR5" s="90"/>
      <c r="AS5" s="90" t="s">
        <v>631</v>
      </c>
      <c r="AT5" s="90"/>
      <c r="AU5" s="90"/>
      <c r="AV5" s="90"/>
      <c r="AW5" s="90" t="s">
        <v>632</v>
      </c>
      <c r="AX5" s="90"/>
      <c r="AY5" s="90"/>
      <c r="AZ5" s="90"/>
      <c r="BA5" s="90"/>
      <c r="BB5" s="90" t="s">
        <v>633</v>
      </c>
      <c r="BC5" s="90"/>
      <c r="BD5" s="90"/>
      <c r="BE5" s="90"/>
      <c r="BF5" s="90" t="s">
        <v>634</v>
      </c>
      <c r="BG5" s="90"/>
      <c r="BH5" s="90"/>
      <c r="BI5" s="90"/>
      <c r="BJ5" s="90"/>
      <c r="BK5" s="90" t="s">
        <v>635</v>
      </c>
      <c r="BL5" s="90"/>
      <c r="BM5" s="90"/>
      <c r="BN5" s="90"/>
      <c r="BO5" s="90" t="s">
        <v>636</v>
      </c>
      <c r="BP5" s="90"/>
      <c r="BQ5" s="90"/>
      <c r="BR5" s="90"/>
      <c r="BS5" s="90" t="s">
        <v>637</v>
      </c>
      <c r="BT5" s="90"/>
      <c r="BU5" s="90"/>
      <c r="BV5" s="90"/>
      <c r="BW5" s="90"/>
      <c r="BX5" s="90" t="s">
        <v>638</v>
      </c>
      <c r="BY5" s="90"/>
    </row>
    <row r="6" customFormat="false" ht="43.5" hidden="false" customHeight="true" outlineLevel="0" collapsed="false">
      <c r="A6" s="91" t="s">
        <v>639</v>
      </c>
      <c r="B6" s="91" t="s">
        <v>640</v>
      </c>
      <c r="C6" s="91" t="s">
        <v>641</v>
      </c>
      <c r="D6" s="91" t="s">
        <v>642</v>
      </c>
      <c r="E6" s="91" t="s">
        <v>643</v>
      </c>
      <c r="F6" s="91" t="s">
        <v>644</v>
      </c>
      <c r="G6" s="91" t="s">
        <v>645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171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172</v>
      </c>
      <c r="B8" s="95" t="s">
        <v>646</v>
      </c>
      <c r="C8" s="95" t="s">
        <v>647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648</v>
      </c>
      <c r="D9" s="96"/>
      <c r="E9" s="99" t="n">
        <v>46208</v>
      </c>
      <c r="F9" s="99" t="n">
        <v>46208</v>
      </c>
      <c r="G9" s="100"/>
      <c r="H9" s="101"/>
      <c r="I9" s="101"/>
      <c r="J9" s="101"/>
      <c r="K9" s="101"/>
      <c r="L9" s="101"/>
      <c r="M9" s="101"/>
      <c r="N9" s="101" t="n">
        <v>0.5</v>
      </c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649</v>
      </c>
      <c r="C10" s="95" t="s">
        <v>647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648</v>
      </c>
      <c r="D11" s="96"/>
      <c r="E11" s="99" t="n">
        <v>46214</v>
      </c>
      <c r="F11" s="99" t="n">
        <v>46223</v>
      </c>
      <c r="G11" s="100"/>
      <c r="H11" s="101"/>
      <c r="I11" s="101"/>
      <c r="J11" s="101"/>
      <c r="K11" s="101"/>
      <c r="L11" s="101"/>
      <c r="M11" s="101"/>
      <c r="N11" s="101"/>
      <c r="O11" s="101" t="n">
        <v>0.3333</v>
      </c>
      <c r="P11" s="101" t="n">
        <v>0.3333</v>
      </c>
      <c r="Q11" s="101" t="n">
        <v>0.3333</v>
      </c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650</v>
      </c>
      <c r="C12" s="95" t="s">
        <v>647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648</v>
      </c>
      <c r="D13" s="96"/>
      <c r="E13" s="99" t="n">
        <v>46233</v>
      </c>
      <c r="F13" s="99" t="n">
        <v>46233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 t="n">
        <v>0.5</v>
      </c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651</v>
      </c>
      <c r="C14" s="95" t="s">
        <v>647</v>
      </c>
      <c r="D14" s="96" t="n">
        <v>1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0.0714285714285714</v>
      </c>
      <c r="P14" s="98" t="n">
        <f aca="false">IF($E14="",0,IF(P$6+6&lt;$E14,0,IF(P$6&gt;$F14,0,$D14*(IF(P$6+6&lt;$F14,P$6+6,$F14)-IF(P$6&gt;$E14,P$6,$E14)+1)/($F14-$E14+1))))</f>
        <v>0.5</v>
      </c>
      <c r="Q14" s="98" t="n">
        <f aca="false">IF($E14="",0,IF(Q$6+6&lt;$E14,0,IF(Q$6&gt;$F14,0,$D14*(IF(Q$6+6&lt;$F14,Q$6+6,$F14)-IF(Q$6&gt;$E14,Q$6,$E14)+1)/($F14-$E14+1))))</f>
        <v>0.428571428571429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648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0.3333</v>
      </c>
      <c r="P15" s="101" t="n">
        <v>0.3333</v>
      </c>
      <c r="Q15" s="101" t="n">
        <v>0.3333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652</v>
      </c>
      <c r="C16" s="95" t="s">
        <v>647</v>
      </c>
      <c r="D16" s="96" t="n">
        <v>1</v>
      </c>
      <c r="E16" s="97" t="n">
        <v>46271</v>
      </c>
      <c r="F16" s="97" t="n">
        <v>46271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1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648</v>
      </c>
      <c r="D17" s="96"/>
      <c r="E17" s="99" t="n">
        <v>46296</v>
      </c>
      <c r="F17" s="99" t="n">
        <v>46296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 t="n">
        <v>1</v>
      </c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263</v>
      </c>
      <c r="B18" s="95" t="s">
        <v>653</v>
      </c>
      <c r="C18" s="95" t="s">
        <v>647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648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654</v>
      </c>
      <c r="B20" s="95" t="s">
        <v>655</v>
      </c>
      <c r="C20" s="95" t="s">
        <v>647</v>
      </c>
      <c r="D20" s="96" t="n">
        <v>1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0.0217391304347826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0.152173913043478</v>
      </c>
      <c r="AC20" s="98" t="n">
        <f aca="false">IF($E20="",0,IF(AC$6+6&lt;$E20,0,IF(AC$6&gt;$F20,0,$D20*(IF(AC$6+6&lt;$F20,AC$6+6,$F20)-IF(AC$6&gt;$E20,AC$6,$E20)+1)/($F20-$E20+1))))</f>
        <v>0.152173913043478</v>
      </c>
      <c r="AD20" s="98" t="n">
        <f aca="false">IF($E20="",0,IF(AD$6+6&lt;$E20,0,IF(AD$6&gt;$F20,0,$D20*(IF(AD$6+6&lt;$F20,AD$6+6,$F20)-IF(AD$6&gt;$E20,AD$6,$E20)+1)/($F20-$E20+1))))</f>
        <v>0.0652173913043478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648</v>
      </c>
      <c r="D21" s="96"/>
      <c r="E21" s="99" t="n">
        <v>46300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 t="n">
        <v>0.3333</v>
      </c>
      <c r="AC21" s="101" t="n">
        <v>0.3333</v>
      </c>
      <c r="AD21" s="101" t="n">
        <v>0.3333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656</v>
      </c>
      <c r="C23" s="95" t="s">
        <v>647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648</v>
      </c>
      <c r="D24" s="96"/>
      <c r="E24" s="99" t="n">
        <v>46241</v>
      </c>
      <c r="F24" s="99" t="n">
        <v>46258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 t="n">
        <v>5</v>
      </c>
      <c r="T24" s="101" t="n">
        <v>5</v>
      </c>
      <c r="U24" s="101" t="n">
        <v>5</v>
      </c>
      <c r="V24" s="101" t="n">
        <v>5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657</v>
      </c>
      <c r="C25" s="95" t="s">
        <v>647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648</v>
      </c>
      <c r="D26" s="96"/>
      <c r="E26" s="99" t="n">
        <v>46262</v>
      </c>
      <c r="F26" s="99" t="n">
        <v>46265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 t="n">
        <v>5</v>
      </c>
      <c r="W26" s="101" t="n">
        <v>5</v>
      </c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658</v>
      </c>
      <c r="C27" s="95" t="s">
        <v>647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648</v>
      </c>
      <c r="D28" s="96"/>
      <c r="E28" s="99" t="n">
        <v>46260</v>
      </c>
      <c r="F28" s="99" t="n">
        <v>46266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 t="n">
        <v>10</v>
      </c>
      <c r="W28" s="101" t="n">
        <v>10</v>
      </c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659</v>
      </c>
      <c r="C29" s="95" t="s">
        <v>647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648</v>
      </c>
      <c r="D30" s="96"/>
      <c r="E30" s="99" t="n">
        <v>46263</v>
      </c>
      <c r="F30" s="99" t="n">
        <v>46265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 t="n">
        <v>1.25</v>
      </c>
      <c r="W30" s="101" t="n">
        <v>1.25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660</v>
      </c>
      <c r="C31" s="95" t="s">
        <v>647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648</v>
      </c>
      <c r="D32" s="96"/>
      <c r="E32" s="99" t="n">
        <v>46262</v>
      </c>
      <c r="F32" s="99" t="n">
        <v>46265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 t="n">
        <v>7.5</v>
      </c>
      <c r="W32" s="101" t="n">
        <v>7.5</v>
      </c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661</v>
      </c>
      <c r="C33" s="95" t="s">
        <v>647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648</v>
      </c>
      <c r="D34" s="96"/>
      <c r="E34" s="99" t="n">
        <v>46263</v>
      </c>
      <c r="F34" s="99" t="n">
        <v>46266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 t="n">
        <v>5</v>
      </c>
      <c r="W34" s="101" t="n">
        <v>5</v>
      </c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436</v>
      </c>
      <c r="B35" s="95" t="s">
        <v>662</v>
      </c>
      <c r="C35" s="95" t="s">
        <v>647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648</v>
      </c>
      <c r="D36" s="96"/>
      <c r="E36" s="99" t="n">
        <v>46264</v>
      </c>
      <c r="F36" s="99" t="n">
        <v>46266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 t="n">
        <v>2.5</v>
      </c>
      <c r="W36" s="101" t="n">
        <v>2.5</v>
      </c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451</v>
      </c>
      <c r="B37" s="95" t="s">
        <v>663</v>
      </c>
      <c r="C37" s="95" t="s">
        <v>647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648</v>
      </c>
      <c r="D38" s="96"/>
      <c r="E38" s="99" t="n">
        <v>46265</v>
      </c>
      <c r="F38" s="99" t="n">
        <v>46267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 t="n">
        <v>5</v>
      </c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479</v>
      </c>
      <c r="B39" s="95" t="s">
        <v>664</v>
      </c>
      <c r="C39" s="95" t="s">
        <v>647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648</v>
      </c>
      <c r="D40" s="96"/>
      <c r="E40" s="99" t="n">
        <v>46266</v>
      </c>
      <c r="F40" s="99" t="n">
        <v>46267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 t="n">
        <v>2.5</v>
      </c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665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509</v>
      </c>
      <c r="B42" s="95" t="s">
        <v>666</v>
      </c>
      <c r="C42" s="95" t="s">
        <v>647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648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544</v>
      </c>
      <c r="B44" s="95" t="s">
        <v>667</v>
      </c>
      <c r="C44" s="95" t="s">
        <v>647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648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668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0.171428571428571</v>
      </c>
      <c r="P47" s="103" t="n">
        <f aca="false">SUMIF($C$7:$C$45,"Plan",P$7:P$45)</f>
        <v>1.2</v>
      </c>
      <c r="Q47" s="103" t="n">
        <f aca="false">SUMIF($C$7:$C$45,"Plan",Q$7:Q$45)</f>
        <v>0.628571428571429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28.7895962732919</v>
      </c>
      <c r="X47" s="103" t="n">
        <f aca="false">SUMIF($C$7:$C$45,"Plan",X$7:X$45)</f>
        <v>1.81884057971015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0.152173913043478</v>
      </c>
      <c r="AC47" s="103" t="n">
        <f aca="false">SUMIF($C$7:$C$45,"Plan",AC$7:AC$45)</f>
        <v>0.152173913043478</v>
      </c>
      <c r="AD47" s="103" t="n">
        <f aca="false">SUMIF($C$7:$C$45,"Plan",AD$7:AD$45)</f>
        <v>0.243788819875776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669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0.5</v>
      </c>
      <c r="O48" s="103" t="n">
        <f aca="false">SUMIF($C$7:$C$45,"Actual",O$7:O$45)</f>
        <v>0.6666</v>
      </c>
      <c r="P48" s="103" t="n">
        <f aca="false">SUMIF($C$7:$C$45,"Actual",P$7:P$45)</f>
        <v>0.6666</v>
      </c>
      <c r="Q48" s="103" t="n">
        <f aca="false">SUMIF($C$7:$C$45,"Actual",Q$7:Q$45)</f>
        <v>0.6666</v>
      </c>
      <c r="R48" s="103" t="n">
        <f aca="false">SUMIF($C$7:$C$45,"Actual",R$7:R$45)</f>
        <v>0.5</v>
      </c>
      <c r="S48" s="103" t="n">
        <f aca="false">SUMIF($C$7:$C$45,"Actual",S$7:S$45)</f>
        <v>5</v>
      </c>
      <c r="T48" s="103" t="n">
        <f aca="false">SUMIF($C$7:$C$45,"Actual",T$7:T$45)</f>
        <v>5</v>
      </c>
      <c r="U48" s="103" t="n">
        <f aca="false">SUMIF($C$7:$C$45,"Actual",U$7:U$45)</f>
        <v>5</v>
      </c>
      <c r="V48" s="103" t="n">
        <f aca="false">SUMIF($C$7:$C$45,"Actual",V$7:V$45)</f>
        <v>36.25</v>
      </c>
      <c r="W48" s="103" t="n">
        <f aca="false">SUMIF($C$7:$C$45,"Actual",W$7:W$45)</f>
        <v>38.75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1</v>
      </c>
      <c r="AB48" s="103" t="n">
        <f aca="false">SUMIF($C$7:$C$45,"Actual",AB$7:AB$45)</f>
        <v>0.3333</v>
      </c>
      <c r="AC48" s="103" t="n">
        <f aca="false">SUMIF($C$7:$C$45,"Actual",AC$7:AC$45)</f>
        <v>0.3333</v>
      </c>
      <c r="AD48" s="103" t="n">
        <f aca="false">SUMIF($C$7:$C$45,"Actual",AD$7:AD$45)</f>
        <v>0.3333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670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0.671428571428572</v>
      </c>
      <c r="P49" s="105" t="n">
        <f aca="false">O49+P47</f>
        <v>1.87142857142857</v>
      </c>
      <c r="Q49" s="105" t="n">
        <f aca="false">P49+Q47</f>
        <v>2.5</v>
      </c>
      <c r="R49" s="105" t="n">
        <f aca="false">Q49+R47</f>
        <v>2.5</v>
      </c>
      <c r="S49" s="105" t="n">
        <f aca="false">R49+S47</f>
        <v>6.33333333333333</v>
      </c>
      <c r="T49" s="105" t="n">
        <f aca="false">S49+T47</f>
        <v>14.1111111111111</v>
      </c>
      <c r="U49" s="105" t="n">
        <f aca="false">T49+U47</f>
        <v>21.8888888888889</v>
      </c>
      <c r="V49" s="105" t="n">
        <f aca="false">U49+V47</f>
        <v>66.0654761904762</v>
      </c>
      <c r="W49" s="105" t="n">
        <f aca="false">V49+W47</f>
        <v>94.8550724637681</v>
      </c>
      <c r="X49" s="105" t="n">
        <f aca="false">W49+X47</f>
        <v>96.6739130434783</v>
      </c>
      <c r="Y49" s="105" t="n">
        <f aca="false">X49+Y47</f>
        <v>96.8260869565218</v>
      </c>
      <c r="Z49" s="105" t="n">
        <f aca="false">Y49+Z47</f>
        <v>96.9782608695652</v>
      </c>
      <c r="AA49" s="105" t="n">
        <f aca="false">Z49+AA47</f>
        <v>97.1304347826087</v>
      </c>
      <c r="AB49" s="105" t="n">
        <f aca="false">AA49+AB47</f>
        <v>97.2826086956522</v>
      </c>
      <c r="AC49" s="105" t="n">
        <f aca="false">AB49+AC47</f>
        <v>97.4347826086957</v>
      </c>
      <c r="AD49" s="105" t="n">
        <f aca="false">AC49+AD47</f>
        <v>97.6785714285715</v>
      </c>
      <c r="AE49" s="105" t="n">
        <f aca="false">AD49+AE47</f>
        <v>98.9285714285715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671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0.5</v>
      </c>
      <c r="O50" s="105" t="n">
        <f aca="false">IF(O$6&gt;46314,"",N50+O48)</f>
        <v>1.1666</v>
      </c>
      <c r="P50" s="105" t="n">
        <f aca="false">IF(P$6&gt;46314,"",O50+P48)</f>
        <v>1.8332</v>
      </c>
      <c r="Q50" s="105" t="n">
        <f aca="false">IF(Q$6&gt;46314,"",P50+Q48)</f>
        <v>2.4998</v>
      </c>
      <c r="R50" s="105" t="n">
        <f aca="false">IF(R$6&gt;46314,"",Q50+R48)</f>
        <v>2.9998</v>
      </c>
      <c r="S50" s="105" t="n">
        <f aca="false">IF(S$6&gt;46314,"",R50+S48)</f>
        <v>7.9998</v>
      </c>
      <c r="T50" s="105" t="n">
        <f aca="false">IF(T$6&gt;46314,"",S50+T48)</f>
        <v>12.9998</v>
      </c>
      <c r="U50" s="105" t="n">
        <f aca="false">IF(U$6&gt;46314,"",T50+U48)</f>
        <v>17.9998</v>
      </c>
      <c r="V50" s="105" t="n">
        <f aca="false">IF(V$6&gt;46314,"",U50+V48)</f>
        <v>54.2498</v>
      </c>
      <c r="W50" s="105" t="n">
        <f aca="false">IF(W$6&gt;46314,"",V50+W48)</f>
        <v>92.9998</v>
      </c>
      <c r="X50" s="105" t="n">
        <f aca="false">IF(X$6&gt;46314,"",W50+X48)</f>
        <v>92.9998</v>
      </c>
      <c r="Y50" s="105" t="n">
        <f aca="false">IF(Y$6&gt;46314,"",X50+Y48)</f>
        <v>92.9998</v>
      </c>
      <c r="Z50" s="105" t="n">
        <f aca="false">IF(Z$6&gt;46314,"",Y50+Z48)</f>
        <v>92.9998</v>
      </c>
      <c r="AA50" s="105" t="n">
        <f aca="false">IF(AA$6&gt;46314,"",Z50+AA48)</f>
        <v>93.9998</v>
      </c>
      <c r="AB50" s="105" t="n">
        <f aca="false">IF(AB$6&gt;46314,"",AA50+AB48)</f>
        <v>94.3331</v>
      </c>
      <c r="AC50" s="105" t="n">
        <f aca="false">IF(AC$6&gt;46314,"",AB50+AC48)</f>
        <v>94.6664</v>
      </c>
      <c r="AD50" s="105" t="n">
        <f aca="false">IF(AD$6&gt;46314,"",AC50+AD48)</f>
        <v>94.9997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2026-10-26T04:43:22Z</dcterms:created>
  <dc:creator>openpyxl</dc:creator>
  <dc:description/>
  <dc:language>en-US</dc:language>
  <cp:lastModifiedBy/>
  <dcterms:modified xsi:type="dcterms:W3CDTF">2026-10-26T11:46:58Z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