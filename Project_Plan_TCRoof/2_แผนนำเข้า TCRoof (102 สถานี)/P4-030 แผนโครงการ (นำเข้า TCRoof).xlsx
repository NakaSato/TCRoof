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<sst xmlns="http://schemas.openxmlformats.org/spreadsheetml/2006/main" count="1285" uniqueCount="666">
  <si>
    <t xml:space="preserve">แผนโครงการ P4-030 – สถานีผลิตน้ำบ้านบอน 75.24 kWp</t>
  </si>
  <si>
    <t xml:space="preserve">กปภ.สาขาสมเด็จ, ภาคอีสาน, กฟภ. เขต ฉ.2, Inverter 80 kW (ไม่ต้อง พค.2), Zero export LV, คำขอ PPIM1A506494, วิศวกร น็อต, Admin เตย,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</si>
  <si>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</si>
  <si>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</si>
  <si>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</si>
  <si>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</si>
  <si>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</si>
  <si>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</si>
  <si>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</si>
  <si>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</si>
  <si>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</si>
  <si>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</si>
  <si>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</si>
  <si>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</si>
  <si>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</si>
  <si>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</si>
  <si>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</si>
  <si>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</si>
  <si>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</si>
  <si>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</si>
  <si>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</si>
  <si>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</si>
  <si>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</si>
  <si>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</si>
  <si>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</si>
  <si>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</si>
  <si>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</si>
  <si>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</si>
  <si>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</si>
  <si>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</si>
  <si>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</si>
  <si>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</si>
  <si>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</si>
  <si>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</si>
  <si>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</si>
  <si>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</si>
  <si>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</si>
  <si>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</si>
  <si>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</si>
  <si>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</si>
  <si>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</si>
  <si>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</si>
  <si>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</si>
  <si>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</si>
  <si>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</si>
  <si>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</si>
  <si>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</si>
  <si>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</si>
  <si>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</si>
  <si>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</si>
  <si>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</si>
  <si>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</si>
  <si>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</si>
  <si>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</si>
  <si>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</si>
  <si>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</si>
  <si>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</si>
  <si>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</si>
  <si>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</si>
  <si>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</si>
  <si>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</si>
  <si>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</si>
  <si>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</si>
  <si>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</si>
  <si>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</si>
  <si>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</si>
  <si>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</si>
  <si>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</si>
  <si>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</si>
  <si>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</si>
  <si>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</si>
  <si>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</si>
  <si>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</si>
  <si>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</si>
  <si>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</si>
  <si>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</si>
  <si>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</si>
  <si>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</si>
  <si>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</si>
  <si>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</si>
  <si>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</si>
  <si>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</si>
  <si>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</si>
  <si>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</si>
  <si>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</si>
  <si>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</si>
  <si>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</si>
  <si>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</si>
  <si>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</si>
  <si>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</si>
  <si>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</si>
  <si>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</si>
  <si>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</si>
  <si>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</si>
  <si>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</si>
  <si>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</si>
  <si>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</si>
  <si>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</si>
  <si>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</si>
  <si>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</si>
  <si>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</si>
  <si>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</si>
  <si>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</si>
  <si>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</si>
  <si>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</si>
  <si>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</si>
  <si>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</si>
  <si>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</si>
  <si>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</si>
  <si>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</si>
  <si>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</si>
  <si>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</si>
  <si>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</si>
  <si>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</si>
  <si>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</si>
  <si>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</si>
  <si>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</si>
  <si>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</si>
  <si>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</si>
  <si>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</si>
  <si>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</si>
  <si>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</si>
  <si>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</si>
  <si>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</si>
  <si>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</si>
  <si>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</si>
  <si>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</si>
  <si>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</si>
  <si>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</si>
  <si>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</si>
  <si>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</si>
  <si>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</si>
  <si>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</si>
  <si>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</si>
  <si>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</si>
  <si>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</si>
  <si>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</si>
  <si>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</si>
  <si>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</si>
  <si>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</si>
  <si>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</si>
  <si>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</si>
  <si>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</si>
  <si>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</si>
  <si>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WBS'!L914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</si>
  <si>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</si>
  <si>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</si>
  <si>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</si>
  <si>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</si>
  <si>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</si>
  <si>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</si>
  <si>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</si>
  <si>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</si>
  <si>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WBS'!L915</t>
    </r>
  </si>
  <si>
    <t xml:space="preserve">0.3</t>
  </si>
  <si>
    <t xml:space="preserve">หนังสือแจ้งขอดับไฟ</t>
  </si>
  <si>
    <t xml:space="preserve">TC-PML-2026-403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</si>
  <si>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</si>
  <si>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</si>
  <si>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</si>
  <si>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</si>
  <si>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</si>
  <si>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</si>
  <si>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</si>
  <si>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</si>
  <si>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</si>
  <si>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</si>
  <si>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</si>
  <si>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</si>
  <si>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</si>
  <si>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</si>
  <si>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</si>
  <si>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</si>
  <si>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</si>
  <si>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</si>
  <si>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</si>
  <si>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</si>
  <si>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</si>
  <si>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</si>
  <si>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</si>
  <si>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</si>
  <si>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</si>
  <si>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</si>
  <si>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</si>
  <si>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</si>
  <si>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</si>
  <si>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</si>
  <si>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</si>
  <si>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</si>
  <si>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</si>
  <si>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</si>
  <si>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</si>
  <si>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</si>
  <si>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</si>
  <si>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</si>
  <si>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</si>
  <si>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</si>
  <si>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</si>
  <si>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</si>
  <si>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</si>
  <si>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</si>
  <si>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</si>
  <si>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</si>
  <si>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</si>
  <si>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</si>
  <si>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</si>
  <si>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</si>
  <si>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</si>
  <si>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</si>
  <si>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</si>
  <si>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</si>
  <si>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</si>
  <si>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</si>
  <si>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</si>
  <si>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</si>
  <si>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</si>
  <si>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</si>
  <si>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</si>
  <si>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</si>
  <si>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</si>
  <si>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</si>
  <si>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</si>
  <si>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</si>
  <si>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</si>
  <si>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</si>
  <si>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</si>
  <si>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</si>
  <si>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</si>
  <si>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</si>
  <si>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</si>
  <si>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</si>
  <si>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</si>
  <si>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</si>
  <si>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</si>
  <si>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</si>
  <si>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</si>
  <si>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</si>
  <si>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</si>
  <si>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</si>
  <si>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</si>
  <si>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</si>
  <si>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</si>
  <si>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</si>
  <si>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WBS'!L931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</si>
  <si>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</si>
  <si>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</si>
  <si>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</si>
  <si>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</si>
  <si>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</si>
  <si>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</si>
  <si>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</si>
  <si>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</si>
  <si>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</si>
  <si>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</si>
  <si>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</si>
  <si>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</si>
  <si>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</si>
  <si>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</si>
  <si>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</si>
  <si>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</si>
  <si>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</si>
  <si>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</si>
  <si>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</si>
  <si>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</si>
  <si>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</si>
  <si>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</si>
  <si>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</si>
  <si>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</si>
  <si>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</si>
  <si>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</si>
  <si>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</si>
  <si>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</si>
  <si>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WBS'!L933</t>
    </r>
  </si>
  <si>
    <t xml:space="preserve">1.7.1</t>
  </si>
  <si>
    <t xml:space="preserve">คำขอขนานไฟ PPIM (ชุด 11 ไฟล์)</t>
  </si>
  <si>
    <t xml:space="preserve">PPIM1A506494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</si>
  <si>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</si>
  <si>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</si>
  <si>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</si>
  <si>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</si>
  <si>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</si>
  <si>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</si>
  <si>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</si>
  <si>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</si>
  <si>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</si>
  <si>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</si>
  <si>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</si>
  <si>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</si>
  <si>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</si>
  <si>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</si>
  <si>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</si>
  <si>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</si>
  <si>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</si>
  <si>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</si>
  <si>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</si>
  <si>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</si>
  <si>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</si>
  <si>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</si>
  <si>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</si>
  <si>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</si>
  <si>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</si>
  <si>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</si>
  <si>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</si>
  <si>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</si>
  <si>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</si>
  <si>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</si>
  <si>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</si>
  <si>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</si>
  <si>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</si>
  <si>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</si>
  <si>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</si>
  <si>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</si>
  <si>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</si>
  <si>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</si>
  <si>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</si>
  <si>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</si>
  <si>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</si>
  <si>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</si>
  <si>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</si>
  <si>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</si>
  <si>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</si>
  <si>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</si>
  <si>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</si>
  <si>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</si>
  <si>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</si>
  <si>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</si>
  <si>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</si>
  <si>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</si>
  <si>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</si>
  <si>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</si>
  <si>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</si>
  <si>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</si>
  <si>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</si>
  <si>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</si>
  <si>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</si>
  <si>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</si>
  <si>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</si>
  <si>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</si>
  <si>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</si>
  <si>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</si>
  <si>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</si>
  <si>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</si>
  <si>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</si>
  <si>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</si>
  <si>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</si>
  <si>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</si>
  <si>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</si>
  <si>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</si>
  <si>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</si>
  <si>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</si>
  <si>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</si>
  <si>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</si>
  <si>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</si>
  <si>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</si>
  <si>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</si>
  <si>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</si>
  <si>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</si>
  <si>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</si>
  <si>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</si>
  <si>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</si>
  <si>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</si>
  <si>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</si>
  <si>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</si>
  <si>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</si>
  <si>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</si>
  <si>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</si>
  <si>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</si>
  <si>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</si>
  <si>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</si>
  <si>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</si>
  <si>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</si>
  <si>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</si>
  <si>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</si>
  <si>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</si>
  <si>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</si>
  <si>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</si>
  <si>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</si>
  <si>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</si>
  <si>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</si>
  <si>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</si>
  <si>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</si>
  <si>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</si>
  <si>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</si>
  <si>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</si>
  <si>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</si>
  <si>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</si>
  <si>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</si>
  <si>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</si>
  <si>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WBS'!L952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</si>
  <si>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</si>
  <si>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</si>
  <si>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</si>
  <si>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</si>
  <si>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</si>
  <si>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</si>
  <si>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</si>
  <si>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</si>
  <si>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</si>
  <si>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</si>
  <si>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</si>
  <si>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</si>
  <si>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</si>
  <si>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</si>
  <si>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</si>
  <si>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</si>
  <si>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</si>
  <si>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</si>
  <si>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</si>
  <si>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WBS'!L956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</si>
  <si>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</si>
  <si>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</si>
  <si>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</si>
  <si>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</si>
  <si>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</si>
  <si>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</si>
  <si>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</si>
  <si>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</si>
  <si>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</si>
  <si>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</si>
  <si>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</si>
  <si>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</si>
  <si>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</si>
  <si>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</si>
  <si>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</si>
  <si>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</si>
  <si>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</si>
  <si>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</si>
  <si>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</si>
  <si>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</si>
  <si>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</si>
  <si>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</si>
  <si>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</si>
  <si>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</si>
  <si>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</si>
  <si>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</si>
  <si>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</si>
  <si>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</si>
  <si>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</si>
  <si>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</si>
  <si>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</si>
  <si>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</si>
  <si>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</si>
  <si>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</si>
  <si>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</si>
  <si>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</si>
  <si>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</si>
  <si>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</si>
  <si>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WBS'!L964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</si>
  <si>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</si>
  <si>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</si>
  <si>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</si>
  <si>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</si>
  <si>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</si>
  <si>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</si>
  <si>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</si>
  <si>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</si>
  <si>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</si>
  <si>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</si>
  <si>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</si>
  <si>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</si>
  <si>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</si>
  <si>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WBS'!L965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</si>
  <si>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</si>
  <si>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</si>
  <si>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</si>
  <si>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</si>
  <si>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</si>
  <si>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</si>
  <si>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</si>
  <si>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</si>
  <si>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</si>
  <si>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</si>
  <si>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</si>
  <si>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</si>
  <si>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</si>
  <si>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</si>
  <si>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</si>
  <si>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</si>
  <si>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</si>
  <si>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</si>
  <si>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</si>
  <si>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</si>
  <si>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</si>
  <si>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</si>
  <si>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</si>
  <si>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</si>
  <si>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</si>
  <si>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</si>
  <si>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WBS'!L971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</si>
  <si>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</si>
  <si>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</si>
  <si>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31/7/69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</si>
  <si>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</si>
  <si>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</si>
  <si>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</si>
  <si>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</si>
  <si>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</si>
  <si>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</si>
  <si>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</si>
  <si>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</si>
  <si>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</si>
  <si>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</si>
  <si>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</si>
  <si>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</si>
  <si>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</si>
  <si>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</si>
  <si>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</si>
  <si>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</si>
  <si>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</si>
  <si>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</si>
  <si>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</si>
  <si>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</si>
  <si>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</si>
  <si>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</si>
  <si>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</si>
  <si>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</si>
  <si>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</si>
  <si>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</si>
  <si>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</si>
  <si>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</si>
  <si>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</si>
  <si>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</si>
  <si>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</si>
  <si>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</si>
  <si>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</si>
  <si>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</si>
  <si>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</si>
  <si>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</si>
  <si>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</si>
  <si>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</si>
  <si>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</si>
  <si>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</si>
  <si>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</si>
  <si>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</si>
  <si>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</si>
  <si>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</si>
  <si>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</si>
  <si>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</si>
  <si>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</si>
  <si>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</si>
  <si>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</si>
  <si>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</si>
  <si>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</si>
  <si>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</si>
  <si>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</si>
  <si>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</si>
  <si>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</si>
  <si>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</si>
  <si>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</si>
  <si>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</si>
  <si>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</si>
  <si>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</si>
  <si>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</si>
  <si>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</si>
  <si>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</si>
  <si>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</si>
  <si>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</si>
  <si>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</si>
  <si>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</si>
  <si>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</si>
  <si>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</si>
  <si>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</si>
  <si>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</si>
  <si>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</si>
  <si>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</si>
  <si>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</si>
  <si>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</si>
  <si>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</si>
  <si>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</si>
  <si>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</si>
  <si>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</si>
  <si>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</si>
  <si>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</si>
  <si>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</si>
  <si>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</si>
  <si>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</si>
  <si>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</si>
  <si>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</si>
  <si>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</si>
  <si>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</si>
  <si>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</si>
  <si>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</si>
  <si>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</si>
  <si>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</si>
  <si>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</si>
  <si>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</si>
  <si>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</si>
  <si>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</si>
  <si>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</si>
  <si>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</si>
  <si>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</si>
  <si>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</si>
  <si>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</si>
  <si>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</si>
  <si>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</si>
  <si>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</si>
  <si>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</si>
  <si>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</si>
  <si>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</si>
  <si>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</si>
  <si>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</si>
  <si>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</si>
  <si>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</si>
  <si>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</si>
  <si>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</si>
  <si>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</si>
  <si>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</si>
  <si>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</si>
  <si>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</si>
  <si>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</si>
  <si>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</si>
  <si>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สถานีผลิตน้ำบ้านบอน การประปาส่วนภูมิภาคสาขาสมเด็จ ขนาดกำลังผลิต </t>
    </r>
    <r>
      <rPr>
        <sz val="10"/>
        <rFont val="Tahoma"/>
        <family val="0"/>
        <charset val="1"/>
      </rPr>
      <t xml:space="preserve">75.24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</si>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</sst>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3.5</c:v>
                </c:pt>
                <c:pt idx="7">
                  <c:v>13.5</c:v>
                </c:pt>
                <c:pt idx="8">
                  <c:v>23.5</c:v>
                </c:pt>
                <c:pt idx="9">
                  <c:v>92.25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584553"/>
        <c:axId val="14717111"/>
      </c:lineChart>
      <c:catAx>
        <c:axId val="7158455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17111"/>
        <c:crosses val="autoZero"/>
        <c:auto val="1"/>
        <c:lblAlgn val="ctr"/>
        <c:lblOffset val="100"/>
        <c:noMultiLvlLbl val="0"/>
      </c:catAx>
      <c:valAx>
        <c:axId val="14717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845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46414</v>
      </c>
      <c r="G4" s="10"/>
      <c r="H4" s="10"/>
      <c r="J4" s="11" t="n">
        <v>0.95</v>
      </c>
      <c r="K4" s="11"/>
      <c r="L4" s="12" t="n">
        <v>130</v>
      </c>
      <c r="M4" s="12"/>
      <c r="N4" s="12" t="n">
        <v>137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46433</v>
      </c>
      <c r="P8" s="34" t="s">
        <v>75</v>
      </c>
      <c r="Q8" s="31" t="n">
        <v>139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46433</v>
      </c>
      <c r="P9" s="46" t="s">
        <v>75</v>
      </c>
      <c r="Q9" s="37" t="n">
        <v>139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46195</v>
      </c>
      <c r="P10" s="50" t="s">
        <v>75</v>
      </c>
      <c r="Q10" s="52" t="n">
        <v>14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46195</v>
      </c>
      <c r="P11" s="50" t="s">
        <v>75</v>
      </c>
      <c r="Q11" s="52" t="n">
        <v>14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46195</v>
      </c>
      <c r="P12" s="50" t="s">
        <v>75</v>
      </c>
      <c r="Q12" s="52" t="n">
        <v>14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46209</v>
      </c>
      <c r="P13" s="50" t="s">
        <v>75</v>
      </c>
      <c r="Q13" s="52" t="n">
        <v>21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46195</v>
      </c>
      <c r="O14" s="55" t="n">
        <v>46433</v>
      </c>
      <c r="P14" s="50" t="s">
        <v>75</v>
      </c>
      <c r="Q14" s="52" t="n">
        <v>139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46195</v>
      </c>
      <c r="O15" s="55" t="n">
        <v>46433</v>
      </c>
      <c r="P15" s="50" t="s">
        <v>75</v>
      </c>
      <c r="Q15" s="52" t="n">
        <v>139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46216</v>
      </c>
      <c r="M25" s="43"/>
      <c r="N25" s="44" t="n">
        <v>46216</v>
      </c>
      <c r="O25" s="45" t="n">
        <v>46216</v>
      </c>
      <c r="P25" s="46" t="s">
        <v>60</v>
      </c>
      <c r="Q25" s="37" t="n">
        <v>23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46216</v>
      </c>
      <c r="O26" s="55" t="n">
        <v>46216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46216</v>
      </c>
      <c r="O27" s="55" t="n">
        <v>46216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46216</v>
      </c>
      <c r="O28" s="55" t="n">
        <v>46216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46414</v>
      </c>
      <c r="P29" s="34" t="s">
        <v>75</v>
      </c>
      <c r="Q29" s="31" t="n">
        <v>137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/>
      <c r="N57" s="44" t="n">
        <v>46259</v>
      </c>
      <c r="O57" s="45" t="n">
        <v>46315</v>
      </c>
      <c r="P57" s="46" t="s">
        <v>75</v>
      </c>
      <c r="Q57" s="37" t="n">
        <v>62</v>
      </c>
      <c r="R57" s="39"/>
      <c r="S57" s="39" t="n">
        <v>1</v>
      </c>
      <c r="T57" s="39" t="s">
        <v>76</v>
      </c>
      <c r="U57" s="58" t="n">
        <v>46259.0057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/>
      <c r="N58" s="44" t="n">
        <v>46316</v>
      </c>
      <c r="O58" s="45" t="n">
        <v>46322</v>
      </c>
      <c r="P58" s="46" t="s">
        <v>284</v>
      </c>
      <c r="Q58" s="37" t="n">
        <v>62</v>
      </c>
      <c r="R58" s="39"/>
      <c r="S58" s="39" t="n">
        <v>1</v>
      </c>
      <c r="T58" s="39" t="s">
        <v>285</v>
      </c>
      <c r="U58" s="58" t="n">
        <v>46316.0058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46370</v>
      </c>
      <c r="O59" s="45" t="n">
        <v>46370</v>
      </c>
      <c r="P59" s="46" t="s">
        <v>284</v>
      </c>
      <c r="Q59" s="37" t="n">
        <v>109</v>
      </c>
      <c r="R59" s="39"/>
      <c r="S59" s="39" t="n">
        <v>1</v>
      </c>
      <c r="T59" s="39" t="s">
        <v>285</v>
      </c>
      <c r="U59" s="58" t="n">
        <v>46370.0059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46373</v>
      </c>
      <c r="O60" s="60" t="n">
        <v>46414</v>
      </c>
      <c r="P60" s="46" t="s">
        <v>284</v>
      </c>
      <c r="Q60" s="37" t="n">
        <v>137</v>
      </c>
      <c r="R60" s="39"/>
      <c r="S60" s="39" t="n">
        <v>1</v>
      </c>
      <c r="T60" s="39" t="s">
        <v>285</v>
      </c>
      <c r="U60" s="58" t="n">
        <v>46373.006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46212</v>
      </c>
      <c r="O61" s="33" t="n">
        <v>46234</v>
      </c>
      <c r="P61" s="34" t="s">
        <v>60</v>
      </c>
      <c r="Q61" s="31" t="n">
        <v>3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8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46212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304</v>
      </c>
      <c r="N63" s="55" t="n">
        <v>46212</v>
      </c>
      <c r="O63" s="55" t="n">
        <v>46213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308</v>
      </c>
      <c r="N64" s="55" t="n">
        <v>46212</v>
      </c>
      <c r="O64" s="55" t="n">
        <v>46213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312</v>
      </c>
      <c r="N65" s="55" t="n">
        <v>46213</v>
      </c>
      <c r="O65" s="55" t="n">
        <v>46216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316</v>
      </c>
      <c r="N66" s="55" t="n">
        <v>46215</v>
      </c>
      <c r="O66" s="55" t="n">
        <v>46218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320</v>
      </c>
      <c r="N67" s="55" t="n">
        <v>46216</v>
      </c>
      <c r="O67" s="55" t="n">
        <v>46219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324</v>
      </c>
      <c r="N68" s="55" t="n">
        <v>46218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328</v>
      </c>
      <c r="N69" s="55" t="n">
        <v>46219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336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340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344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348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352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46227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360</v>
      </c>
      <c r="N77" s="55" t="n">
        <v>46227</v>
      </c>
      <c r="O77" s="55" t="n">
        <v>46228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364</v>
      </c>
      <c r="N78" s="55" t="n">
        <v>46227</v>
      </c>
      <c r="O78" s="55" t="n">
        <v>46229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368</v>
      </c>
      <c r="N79" s="55" t="n">
        <v>46228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372</v>
      </c>
      <c r="N80" s="55" t="n">
        <v>46229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376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384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388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396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400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404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408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416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420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424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428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432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439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443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447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461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465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469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473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480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484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488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 t="s">
        <v>491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46234</v>
      </c>
      <c r="M111" s="43"/>
      <c r="N111" s="44" t="n">
        <v>46234</v>
      </c>
      <c r="O111" s="45" t="n">
        <v>46234</v>
      </c>
      <c r="P111" s="46" t="s">
        <v>60</v>
      </c>
      <c r="Q111" s="37" t="n">
        <v>3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497</v>
      </c>
      <c r="N112" s="55" t="n">
        <v>46234</v>
      </c>
      <c r="O112" s="55" t="n">
        <v>46234</v>
      </c>
      <c r="P112" s="50" t="s">
        <v>124</v>
      </c>
      <c r="Q112" s="52" t="n">
        <v>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501</v>
      </c>
      <c r="N113" s="55" t="n">
        <v>46234</v>
      </c>
      <c r="O113" s="55" t="n">
        <v>46234</v>
      </c>
      <c r="P113" s="50" t="s">
        <v>124</v>
      </c>
      <c r="Q113" s="52" t="n">
        <v>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46433</v>
      </c>
      <c r="P114" s="34" t="s">
        <v>75</v>
      </c>
      <c r="Q114" s="31" t="n">
        <v>139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46367</v>
      </c>
      <c r="O115" s="45" t="n">
        <v>46367</v>
      </c>
      <c r="P115" s="46" t="s">
        <v>284</v>
      </c>
      <c r="Q115" s="37" t="n">
        <v>133</v>
      </c>
      <c r="R115" s="39"/>
      <c r="S115" s="39" t="n">
        <v>1</v>
      </c>
      <c r="T115" s="39" t="s">
        <v>285</v>
      </c>
      <c r="U115" s="58" t="n">
        <v>46367.0115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511</v>
      </c>
      <c r="N116" s="55" t="n">
        <v>46367</v>
      </c>
      <c r="O116" s="55" t="n">
        <v>46367</v>
      </c>
      <c r="P116" s="50" t="s">
        <v>284</v>
      </c>
      <c r="Q116" s="52" t="n">
        <v>135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515</v>
      </c>
      <c r="N117" s="55" t="n">
        <v>46367</v>
      </c>
      <c r="O117" s="55" t="n">
        <v>46367</v>
      </c>
      <c r="P117" s="50" t="s">
        <v>284</v>
      </c>
      <c r="Q117" s="52" t="n">
        <v>134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519</v>
      </c>
      <c r="N118" s="55" t="n">
        <v>46367</v>
      </c>
      <c r="O118" s="55" t="n">
        <v>46367</v>
      </c>
      <c r="P118" s="50" t="s">
        <v>284</v>
      </c>
      <c r="Q118" s="52" t="n">
        <v>134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523</v>
      </c>
      <c r="N119" s="55" t="n">
        <v>46367</v>
      </c>
      <c r="O119" s="55" t="n">
        <v>46367</v>
      </c>
      <c r="P119" s="50" t="s">
        <v>284</v>
      </c>
      <c r="Q119" s="52" t="n">
        <v>134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527</v>
      </c>
      <c r="N120" s="55" t="n">
        <v>46367</v>
      </c>
      <c r="O120" s="55" t="n">
        <v>46367</v>
      </c>
      <c r="P120" s="50" t="s">
        <v>284</v>
      </c>
      <c r="Q120" s="52" t="n">
        <v>133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531</v>
      </c>
      <c r="N121" s="55" t="n">
        <v>46367</v>
      </c>
      <c r="O121" s="55" t="n">
        <v>46367</v>
      </c>
      <c r="P121" s="50" t="s">
        <v>284</v>
      </c>
      <c r="Q121" s="52" t="n">
        <v>133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46342</v>
      </c>
      <c r="O122" s="45" t="n">
        <v>46342</v>
      </c>
      <c r="P122" s="46" t="s">
        <v>284</v>
      </c>
      <c r="Q122" s="37" t="n">
        <v>108</v>
      </c>
      <c r="R122" s="39"/>
      <c r="S122" s="39" t="n">
        <v>1</v>
      </c>
      <c r="T122" s="39" t="s">
        <v>285</v>
      </c>
      <c r="U122" s="58" t="n">
        <v>46342.0122</v>
      </c>
      <c r="V122" s="47" t="n">
        <v>0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8" t="s">
        <v>537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46420</v>
      </c>
      <c r="O124" s="45" t="n">
        <v>46433</v>
      </c>
      <c r="P124" s="46" t="s">
        <v>284</v>
      </c>
      <c r="Q124" s="37" t="n">
        <v>139</v>
      </c>
      <c r="R124" s="39"/>
      <c r="S124" s="39" t="n">
        <v>1</v>
      </c>
      <c r="T124" s="39" t="s">
        <v>285</v>
      </c>
      <c r="U124" s="58" t="n">
        <v>46420.0124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546</v>
      </c>
      <c r="N125" s="55" t="n">
        <v>46420</v>
      </c>
      <c r="O125" s="55" t="n">
        <v>46424</v>
      </c>
      <c r="P125" s="50" t="s">
        <v>284</v>
      </c>
      <c r="Q125" s="52" t="n">
        <v>139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550</v>
      </c>
      <c r="N126" s="55" t="n">
        <v>46423</v>
      </c>
      <c r="O126" s="55" t="n">
        <v>46430</v>
      </c>
      <c r="P126" s="50" t="s">
        <v>284</v>
      </c>
      <c r="Q126" s="52" t="n">
        <v>139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554</v>
      </c>
      <c r="N127" s="55" t="n">
        <v>46430</v>
      </c>
      <c r="O127" s="55" t="n">
        <v>46433</v>
      </c>
      <c r="P127" s="50" t="s">
        <v>284</v>
      </c>
      <c r="Q127" s="52" t="n">
        <v>139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46374</v>
      </c>
      <c r="O128" s="45" t="n">
        <v>46374</v>
      </c>
      <c r="P128" s="46" t="s">
        <v>284</v>
      </c>
      <c r="Q128" s="37" t="n">
        <v>130</v>
      </c>
      <c r="R128" s="39"/>
      <c r="S128" s="39" t="n">
        <v>1</v>
      </c>
      <c r="T128" s="39" t="s">
        <v>285</v>
      </c>
      <c r="U128" s="58" t="n">
        <v>46374.0128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46375</v>
      </c>
      <c r="O129" s="45" t="n">
        <v>46377</v>
      </c>
      <c r="P129" s="46" t="s">
        <v>284</v>
      </c>
      <c r="Q129" s="37" t="n">
        <v>133</v>
      </c>
      <c r="R129" s="39"/>
      <c r="S129" s="39" t="n">
        <v>1</v>
      </c>
      <c r="T129" s="39" t="s">
        <v>285</v>
      </c>
      <c r="U129" s="58" t="n">
        <v>46375.0129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46375</v>
      </c>
      <c r="O130" s="45" t="n">
        <v>46379</v>
      </c>
      <c r="P130" s="46" t="s">
        <v>284</v>
      </c>
      <c r="Q130" s="37" t="n">
        <v>135</v>
      </c>
      <c r="R130" s="39"/>
      <c r="S130" s="39" t="n">
        <v>1</v>
      </c>
      <c r="T130" s="39" t="s">
        <v>285</v>
      </c>
      <c r="U130" s="58" t="n">
        <v>46375.013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46415</v>
      </c>
      <c r="O131" s="45" t="n">
        <v>46419</v>
      </c>
      <c r="P131" s="46" t="s">
        <v>284</v>
      </c>
      <c r="Q131" s="37" t="n">
        <v>139</v>
      </c>
      <c r="R131" s="39"/>
      <c r="S131" s="39" t="n">
        <v>1</v>
      </c>
      <c r="T131" s="39" t="s">
        <v>285</v>
      </c>
      <c r="U131" s="58" t="n">
        <v>46415.0131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650</v>
      </c>
      <c r="C23" s="95" t="s">
        <v>641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 t="n">
        <v>46212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/>
      <c r="O24" s="101" t="n">
        <v>10</v>
      </c>
      <c r="P24" s="101" t="n">
        <v>10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651</v>
      </c>
      <c r="C25" s="95" t="s">
        <v>641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652</v>
      </c>
      <c r="C27" s="95" t="s">
        <v>641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 t="n">
        <v>46227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653</v>
      </c>
      <c r="C29" s="95" t="s">
        <v>641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654</v>
      </c>
      <c r="C31" s="95" t="s">
        <v>641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655</v>
      </c>
      <c r="C33" s="95" t="s">
        <v>641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656</v>
      </c>
      <c r="C35" s="95" t="s">
        <v>641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657</v>
      </c>
      <c r="C37" s="95" t="s">
        <v>641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658</v>
      </c>
      <c r="C39" s="95" t="s">
        <v>641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660</v>
      </c>
      <c r="C42" s="95" t="s">
        <v>641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0</v>
      </c>
      <c r="O48" s="103" t="n">
        <f aca="false">SUMIF($C$7:$C$45,"Actual",O$7:O$45)</f>
        <v>10</v>
      </c>
      <c r="P48" s="103" t="n">
        <f aca="false">SUMIF($C$7:$C$45,"Actual",P$7:P$45)</f>
        <v>10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3.5</v>
      </c>
      <c r="O50" s="105" t="n">
        <f aca="false">IF(O$6&gt;46314,"",N50+O48)</f>
        <v>13.5</v>
      </c>
      <c r="P50" s="105" t="n">
        <f aca="false">IF(P$6&gt;46314,"",O50+P48)</f>
        <v>23.5</v>
      </c>
      <c r="Q50" s="105" t="n">
        <f aca="false">IF(Q$6&gt;46314,"",P50+Q48)</f>
        <v>92.25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2026-10-26T04:43:49Z</dcterms:created>
  <dc:creator>openpyxl</dc:creator>
  <dc:description/>
  <dc:language>en-US</dc:language>
  <cp:lastModifiedBy/>
  <dcterms:modified xsi:type="dcterms:W3CDTF">2026-10-26T11:47:12Z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