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<sst xmlns="http://schemas.openxmlformats.org/spreadsheetml/2006/main" count="1306" uniqueCount="667">
  <si>
    <t xml:space="preserve">แผนโครงการ P4-013 – สถานีหนองขาหย่าง 144.78 kWp</t>
  </si>
  <si>
    <t xml:space="preserve">กปภ.สาขาอุทัยธานี, ภาคเหนือ-กลาง, กฟภ. เขต น.3, Inverter 125 kW (ไม่ต้อง พค.2), Zero export HV, คำขอ PPIM1A506736, วิศวกร เก้า, Admin บีม, ผรม. S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</si>
  <si>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</si>
  <si>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</si>
  <si>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</si>
  <si>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</si>
  <si>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</si>
  <si>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</si>
  <si>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</si>
  <si>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</si>
  <si>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</si>
  <si>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</si>
  <si>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</si>
  <si>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</si>
  <si>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</si>
  <si>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</si>
  <si>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</si>
  <si>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</si>
  <si>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</si>
  <si>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</si>
  <si>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</si>
  <si>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</si>
  <si>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</si>
  <si>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</si>
  <si>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</si>
  <si>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</si>
  <si>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</si>
  <si>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</si>
  <si>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</si>
  <si>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</si>
  <si>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</si>
  <si>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</si>
  <si>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</si>
  <si>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</si>
  <si>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</si>
  <si>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</si>
  <si>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</si>
  <si>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</si>
  <si>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</si>
  <si>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</si>
  <si>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</si>
  <si>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</si>
  <si>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</si>
  <si>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</si>
  <si>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</si>
  <si>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</si>
  <si>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</si>
  <si>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</si>
  <si>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</si>
  <si>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</si>
  <si>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</si>
  <si>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</si>
  <si>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</si>
  <si>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</si>
  <si>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</si>
  <si>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</si>
  <si>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</si>
  <si>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</si>
  <si>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</si>
  <si>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</si>
  <si>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</si>
  <si>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</si>
  <si>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</si>
  <si>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</si>
  <si>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</si>
  <si>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</si>
  <si>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</si>
  <si>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</si>
  <si>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</si>
  <si>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</si>
  <si>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</si>
  <si>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</si>
  <si>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</si>
  <si>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</si>
  <si>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</si>
  <si>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</si>
  <si>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</si>
  <si>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</si>
  <si>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</si>
  <si>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</si>
  <si>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</si>
  <si>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</si>
  <si>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</si>
  <si>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</si>
  <si>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</si>
  <si>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</si>
  <si>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</si>
  <si>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</si>
  <si>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</si>
  <si>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</si>
  <si>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</si>
  <si>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</si>
  <si>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</si>
  <si>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</si>
  <si>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</si>
  <si>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</si>
  <si>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</si>
  <si>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</si>
  <si>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</si>
  <si>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</si>
  <si>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</si>
  <si>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</si>
  <si>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</si>
  <si>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</si>
  <si>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</si>
  <si>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</si>
  <si>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</si>
  <si>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</si>
  <si>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</si>
  <si>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</si>
  <si>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</si>
  <si>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</si>
  <si>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</si>
  <si>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</si>
  <si>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</si>
  <si>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</si>
  <si>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</si>
  <si>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</si>
  <si>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</si>
  <si>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</si>
  <si>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</si>
  <si>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</si>
  <si>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</si>
  <si>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</si>
  <si>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</si>
  <si>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</si>
  <si>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</si>
  <si>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</si>
  <si>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</si>
  <si>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</si>
  <si>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</si>
  <si>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</si>
  <si>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</si>
  <si>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</si>
  <si>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</si>
  <si>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</si>
  <si>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</si>
  <si>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</si>
  <si>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</si>
  <si>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</si>
  <si>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</si>
  <si>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</si>
  <si>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</si>
  <si>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</si>
  <si>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WBS'!L1885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</si>
  <si>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</si>
  <si>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</si>
  <si>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</si>
  <si>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WBS'!L1886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</si>
  <si>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</si>
  <si>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</si>
  <si>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</si>
  <si>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WBS'!L1887</t>
    </r>
  </si>
  <si>
    <t xml:space="preserve">0.3</t>
  </si>
  <si>
    <t xml:space="preserve">หนังสือแจ้งขอดับไฟ</t>
  </si>
  <si>
    <t xml:space="preserve">TC-PML-2026-423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</si>
  <si>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</si>
  <si>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</si>
  <si>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</si>
  <si>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</si>
  <si>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</si>
  <si>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</si>
  <si>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</si>
  <si>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</si>
  <si>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</si>
  <si>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</si>
  <si>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</si>
  <si>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</si>
  <si>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</si>
  <si>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</si>
  <si>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</si>
  <si>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</si>
  <si>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</si>
  <si>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</si>
  <si>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</si>
  <si>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</si>
  <si>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</si>
  <si>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</si>
  <si>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</si>
  <si>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</si>
  <si>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</si>
  <si>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</si>
  <si>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</si>
  <si>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</si>
  <si>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</si>
  <si>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</si>
  <si>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</si>
  <si>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</si>
  <si>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</si>
  <si>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</si>
  <si>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</si>
  <si>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</si>
  <si>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</si>
  <si>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</si>
  <si>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</si>
  <si>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</si>
  <si>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</si>
  <si>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</si>
  <si>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</si>
  <si>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</si>
  <si>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</si>
  <si>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</si>
  <si>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</si>
  <si>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</si>
  <si>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</si>
  <si>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</si>
  <si>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</si>
  <si>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</si>
  <si>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</si>
  <si>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</si>
  <si>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</si>
  <si>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</si>
  <si>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</si>
  <si>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</si>
  <si>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</si>
  <si>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</si>
  <si>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</si>
  <si>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</si>
  <si>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</si>
  <si>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</si>
  <si>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</si>
  <si>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</si>
  <si>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</si>
  <si>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</si>
  <si>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</si>
  <si>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</si>
  <si>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</si>
  <si>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</si>
  <si>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</si>
  <si>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</si>
  <si>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</si>
  <si>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</si>
  <si>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</si>
  <si>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</si>
  <si>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</si>
  <si>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</si>
  <si>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</si>
  <si>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</si>
  <si>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</si>
  <si>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</si>
  <si>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</si>
  <si>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</si>
  <si>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WBS'!L1903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</si>
  <si>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</si>
  <si>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</si>
  <si>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</si>
  <si>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</si>
  <si>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</si>
  <si>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</si>
  <si>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</si>
  <si>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</si>
  <si>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</si>
  <si>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</si>
  <si>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</si>
  <si>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</si>
  <si>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</si>
  <si>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</si>
  <si>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</si>
  <si>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</si>
  <si>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</si>
  <si>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</si>
  <si>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</si>
  <si>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</si>
  <si>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</si>
  <si>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</si>
  <si>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</si>
  <si>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</si>
  <si>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</si>
  <si>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</si>
  <si>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</si>
  <si>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</si>
  <si>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</si>
  <si>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</si>
  <si>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WBS'!L1905</t>
    </r>
  </si>
  <si>
    <t xml:space="preserve">1.7.1</t>
  </si>
  <si>
    <t xml:space="preserve">คำขอขนานไฟ PPIM (ชุด 11 ไฟล์)</t>
  </si>
  <si>
    <t xml:space="preserve">PPIM1A506736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</si>
  <si>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</si>
  <si>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</si>
  <si>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</si>
  <si>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</si>
  <si>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</si>
  <si>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</si>
  <si>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</si>
  <si>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</si>
  <si>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</si>
  <si>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</si>
  <si>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</si>
  <si>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</si>
  <si>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</si>
  <si>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</si>
  <si>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</si>
  <si>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</si>
  <si>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</si>
  <si>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</si>
  <si>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</si>
  <si>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</si>
  <si>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</si>
  <si>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</si>
  <si>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</si>
  <si>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</si>
  <si>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</si>
  <si>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</si>
  <si>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</si>
  <si>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</si>
  <si>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</si>
  <si>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</si>
  <si>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</si>
  <si>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</si>
  <si>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</si>
  <si>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</si>
  <si>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</si>
  <si>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</si>
  <si>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</si>
  <si>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</si>
  <si>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</si>
  <si>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</si>
  <si>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</si>
  <si>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</si>
  <si>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</si>
  <si>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</si>
  <si>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</si>
  <si>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</si>
  <si>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</si>
  <si>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</si>
  <si>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</si>
  <si>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</si>
  <si>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</si>
  <si>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</si>
  <si>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</si>
  <si>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</si>
  <si>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</si>
  <si>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</si>
  <si>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</si>
  <si>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</si>
  <si>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</si>
  <si>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</si>
  <si>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</si>
  <si>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</si>
  <si>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</si>
  <si>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</si>
  <si>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</si>
  <si>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</si>
  <si>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</si>
  <si>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</si>
  <si>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</si>
  <si>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</si>
  <si>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</si>
  <si>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</si>
  <si>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</si>
  <si>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</si>
  <si>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</si>
  <si>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</si>
  <si>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</si>
  <si>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</si>
  <si>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</si>
  <si>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</si>
  <si>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</si>
  <si>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</si>
  <si>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</si>
  <si>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</si>
  <si>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</si>
  <si>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</si>
  <si>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</si>
  <si>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</si>
  <si>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</si>
  <si>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</si>
  <si>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</si>
  <si>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</si>
  <si>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</si>
  <si>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</si>
  <si>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</si>
  <si>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</si>
  <si>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</si>
  <si>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</si>
  <si>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</si>
  <si>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</si>
  <si>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</si>
  <si>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</si>
  <si>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</si>
  <si>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</si>
  <si>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</si>
  <si>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</si>
  <si>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</si>
  <si>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</si>
  <si>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</si>
  <si>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</si>
  <si>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</si>
  <si>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</si>
  <si>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WBS'!L1924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</si>
  <si>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</si>
  <si>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</si>
  <si>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</si>
  <si>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</si>
  <si>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</si>
  <si>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</si>
  <si>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</si>
  <si>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</si>
  <si>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</si>
  <si>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</si>
  <si>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</si>
  <si>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</si>
  <si>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</si>
  <si>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</si>
  <si>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</si>
  <si>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</si>
  <si>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</si>
  <si>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</si>
  <si>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</si>
  <si>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WBS'!L1928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</si>
  <si>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</si>
  <si>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</si>
  <si>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</si>
  <si>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</si>
  <si>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</si>
  <si>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</si>
  <si>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</si>
  <si>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</si>
  <si>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</si>
  <si>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</si>
  <si>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</si>
  <si>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</si>
  <si>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</si>
  <si>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</si>
  <si>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</si>
  <si>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</si>
  <si>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</si>
  <si>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</si>
  <si>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</si>
  <si>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</si>
  <si>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</si>
  <si>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</si>
  <si>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</si>
  <si>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</si>
  <si>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</si>
  <si>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</si>
  <si>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</si>
  <si>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</si>
  <si>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</si>
  <si>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</si>
  <si>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</si>
  <si>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</si>
  <si>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</si>
  <si>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</si>
  <si>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</si>
  <si>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</si>
  <si>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</si>
  <si>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</si>
  <si>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</si>
  <si>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WBS'!L1936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</si>
  <si>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</si>
  <si>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</si>
  <si>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</si>
  <si>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</si>
  <si>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</si>
  <si>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</si>
  <si>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</si>
  <si>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</si>
  <si>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</si>
  <si>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</si>
  <si>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WBS'!L1937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</si>
  <si>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</si>
  <si>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</si>
  <si>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</si>
  <si>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</si>
  <si>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</si>
  <si>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</si>
  <si>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</si>
  <si>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</si>
  <si>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</si>
  <si>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</si>
  <si>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</si>
  <si>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</si>
  <si>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</si>
  <si>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</si>
  <si>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</si>
  <si>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</si>
  <si>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</si>
  <si>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</si>
  <si>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</si>
  <si>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</si>
  <si>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</si>
  <si>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</si>
  <si>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</si>
  <si>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</si>
  <si>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</si>
  <si>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</si>
  <si>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</si>
  <si>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</si>
  <si>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</si>
  <si>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WBS'!L1943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</si>
  <si>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</si>
  <si>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</si>
  <si>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</si>
  <si>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</si>
  <si>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</si>
  <si>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</si>
  <si>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</si>
  <si>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</si>
  <si>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</si>
  <si>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</si>
  <si>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</si>
  <si>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</si>
  <si>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</si>
  <si>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</si>
  <si>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</si>
  <si>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</si>
  <si>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</si>
  <si>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</si>
  <si>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</si>
  <si>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</si>
  <si>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</si>
  <si>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</si>
  <si>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</si>
  <si>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</si>
  <si>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</si>
  <si>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</si>
  <si>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</si>
  <si>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</si>
  <si>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</si>
  <si>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</si>
  <si>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</si>
  <si>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</si>
  <si>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</si>
  <si>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</si>
  <si>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</si>
  <si>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</si>
  <si>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</si>
  <si>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</si>
  <si>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</si>
  <si>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</si>
  <si>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</si>
  <si>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</si>
  <si>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</si>
  <si>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</si>
  <si>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</si>
  <si>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</si>
  <si>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</si>
  <si>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</si>
  <si>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</si>
  <si>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</si>
  <si>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</si>
  <si>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</si>
  <si>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</si>
  <si>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</si>
  <si>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</si>
  <si>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</si>
  <si>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</si>
  <si>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</si>
  <si>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</si>
  <si>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</si>
  <si>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</si>
  <si>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</si>
  <si>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</si>
  <si>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</si>
  <si>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</si>
  <si>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</si>
  <si>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</si>
  <si>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</si>
  <si>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</si>
  <si>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</si>
  <si>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</si>
  <si>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</si>
  <si>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</si>
  <si>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</si>
  <si>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</si>
  <si>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</si>
  <si>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</si>
  <si>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</si>
  <si>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</si>
  <si>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</si>
  <si>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</si>
  <si>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</si>
  <si>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</si>
  <si>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</si>
  <si>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</si>
  <si>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</si>
  <si>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</si>
  <si>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</si>
  <si>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</si>
  <si>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</si>
  <si>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</si>
  <si>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</si>
  <si>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</si>
  <si>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</si>
  <si>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</si>
  <si>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</si>
  <si>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</si>
  <si>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</si>
  <si>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</si>
  <si>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</si>
  <si>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</si>
  <si>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</si>
  <si>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</si>
  <si>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</si>
  <si>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</si>
  <si>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</si>
  <si>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</si>
  <si>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</si>
  <si>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</si>
  <si>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</si>
  <si>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</si>
  <si>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</si>
  <si>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</si>
  <si>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</si>
  <si>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</si>
  <si>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</si>
  <si>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</si>
  <si>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</si>
  <si>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</si>
  <si>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</si>
  <si>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</si>
  <si>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สถานีหนองขาหย่าง การประปาส่วนภูมิภาคสาขาอุทัยธานี ขนาดกำลังผลิต </t>
    </r>
    <r>
      <rPr>
        <sz val="10"/>
        <rFont val="Tahoma"/>
        <family val="0"/>
        <charset val="1"/>
      </rPr>
      <t xml:space="preserve">144.78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</si>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</sst>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10.1667</c:v>
                </c:pt>
                <c:pt idx="9">
                  <c:v>16.8334</c:v>
                </c:pt>
                <c:pt idx="10">
                  <c:v>23.5001</c:v>
                </c:pt>
                <c:pt idx="11">
                  <c:v>89.7501</c:v>
                </c:pt>
                <c:pt idx="12">
                  <c:v>93.5001</c:v>
                </c:pt>
                <c:pt idx="13">
                  <c:v>93.5001</c:v>
                </c:pt>
                <c:pt idx="14">
                  <c:v>93.6668</c:v>
                </c:pt>
                <c:pt idx="15">
                  <c:v>93.8335</c:v>
                </c:pt>
                <c:pt idx="16">
                  <c:v>94.0002</c:v>
                </c:pt>
                <c:pt idx="17">
                  <c:v>94.1669</c:v>
                </c:pt>
                <c:pt idx="18">
                  <c:v>94.3336</c:v>
                </c:pt>
                <c:pt idx="19">
                  <c:v>94.5003</c:v>
                </c:pt>
                <c:pt idx="20">
                  <c:v>94.667</c:v>
                </c:pt>
                <c:pt idx="21">
                  <c:v>94.8337000000001</c:v>
                </c:pt>
                <c:pt idx="22">
                  <c:v>95.0004000000001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493991"/>
        <c:axId val="43886036"/>
      </c:lineChart>
      <c:catAx>
        <c:axId val="8649399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86036"/>
        <c:crosses val="autoZero"/>
        <c:auto val="1"/>
        <c:lblAlgn val="ctr"/>
        <c:lblOffset val="100"/>
        <c:noMultiLvlLbl val="0"/>
      </c:catAx>
      <c:valAx>
        <c:axId val="43886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939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46378</v>
      </c>
      <c r="G4" s="10"/>
      <c r="H4" s="10"/>
      <c r="J4" s="11" t="n">
        <v>0.95</v>
      </c>
      <c r="K4" s="11"/>
      <c r="L4" s="12" t="n">
        <v>80</v>
      </c>
      <c r="M4" s="12"/>
      <c r="N4" s="12" t="n">
        <v>86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46395</v>
      </c>
      <c r="P8" s="34" t="s">
        <v>75</v>
      </c>
      <c r="Q8" s="31" t="n">
        <v>86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46395</v>
      </c>
      <c r="P9" s="46" t="s">
        <v>75</v>
      </c>
      <c r="Q9" s="37" t="n">
        <v>86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46205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46205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46205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46216</v>
      </c>
      <c r="P13" s="50" t="s">
        <v>75</v>
      </c>
      <c r="Q13" s="52" t="n">
        <v>13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46205</v>
      </c>
      <c r="O14" s="55" t="n">
        <v>46395</v>
      </c>
      <c r="P14" s="50" t="s">
        <v>75</v>
      </c>
      <c r="Q14" s="52" t="n">
        <v>86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46205</v>
      </c>
      <c r="O15" s="55" t="n">
        <v>46395</v>
      </c>
      <c r="P15" s="50" t="s">
        <v>75</v>
      </c>
      <c r="Q15" s="52" t="n">
        <v>86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46210</v>
      </c>
      <c r="O23" s="55" t="n">
        <v>46214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46223</v>
      </c>
      <c r="M25" s="43"/>
      <c r="N25" s="44" t="n">
        <v>46223</v>
      </c>
      <c r="O25" s="45" t="n">
        <v>46223</v>
      </c>
      <c r="P25" s="46" t="s">
        <v>60</v>
      </c>
      <c r="Q25" s="37" t="n">
        <v>15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46223</v>
      </c>
      <c r="O26" s="55" t="n">
        <v>46223</v>
      </c>
      <c r="P26" s="50" t="s">
        <v>124</v>
      </c>
      <c r="Q26" s="52" t="n">
        <v>15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46223</v>
      </c>
      <c r="O27" s="55" t="n">
        <v>46223</v>
      </c>
      <c r="P27" s="50" t="s">
        <v>124</v>
      </c>
      <c r="Q27" s="52" t="n">
        <v>15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46223</v>
      </c>
      <c r="O28" s="55" t="n">
        <v>46223</v>
      </c>
      <c r="P28" s="50" t="s">
        <v>124</v>
      </c>
      <c r="Q28" s="52" t="n">
        <v>15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46378</v>
      </c>
      <c r="P29" s="34" t="s">
        <v>75</v>
      </c>
      <c r="Q29" s="31" t="n">
        <v>86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46191</v>
      </c>
      <c r="O34" s="45" t="n">
        <v>46200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46191</v>
      </c>
      <c r="O35" s="55" t="n">
        <v>46196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46191</v>
      </c>
      <c r="O36" s="55" t="n">
        <v>46196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46194</v>
      </c>
      <c r="O37" s="55" t="n">
        <v>46197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46196</v>
      </c>
      <c r="O38" s="55" t="n">
        <v>46200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46210</v>
      </c>
      <c r="O39" s="45" t="n">
        <v>46210</v>
      </c>
      <c r="P39" s="46" t="s">
        <v>115</v>
      </c>
      <c r="Q39" s="37" t="n">
        <v>-4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46210</v>
      </c>
      <c r="O40" s="55" t="n">
        <v>46210</v>
      </c>
      <c r="P40" s="50" t="s">
        <v>124</v>
      </c>
      <c r="Q40" s="52" t="n">
        <v>-4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46210</v>
      </c>
      <c r="O41" s="55" t="n">
        <v>46210</v>
      </c>
      <c r="P41" s="50" t="s">
        <v>124</v>
      </c>
      <c r="Q41" s="52" t="n">
        <v>-4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46210</v>
      </c>
      <c r="O42" s="55" t="n">
        <v>46210</v>
      </c>
      <c r="P42" s="50" t="s">
        <v>124</v>
      </c>
      <c r="Q42" s="52" t="n">
        <v>-4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46262</v>
      </c>
      <c r="M55" s="43"/>
      <c r="N55" s="44" t="n">
        <v>46262</v>
      </c>
      <c r="O55" s="45" t="n">
        <v>46262</v>
      </c>
      <c r="P55" s="46" t="s">
        <v>60</v>
      </c>
      <c r="Q55" s="37" t="n">
        <v>15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46289</v>
      </c>
      <c r="M56" s="43"/>
      <c r="N56" s="44" t="n">
        <v>46289</v>
      </c>
      <c r="O56" s="45" t="n">
        <v>46289</v>
      </c>
      <c r="P56" s="46" t="s">
        <v>60</v>
      </c>
      <c r="Q56" s="37"/>
      <c r="R56" s="39"/>
      <c r="S56" s="39" t="n">
        <v>1</v>
      </c>
      <c r="T56" s="39" t="s">
        <v>157</v>
      </c>
      <c r="U56" s="39"/>
      <c r="V56" s="47" t="n">
        <v>1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46289</v>
      </c>
      <c r="L57" s="42"/>
      <c r="M57" s="43"/>
      <c r="N57" s="44" t="n">
        <v>46289</v>
      </c>
      <c r="O57" s="45" t="n">
        <v>46315</v>
      </c>
      <c r="P57" s="46" t="s">
        <v>75</v>
      </c>
      <c r="Q57" s="37" t="n">
        <v>47</v>
      </c>
      <c r="R57" s="39"/>
      <c r="S57" s="39" t="n">
        <v>1</v>
      </c>
      <c r="T57" s="39" t="s">
        <v>76</v>
      </c>
      <c r="U57" s="58" t="n">
        <v>46289.0057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/>
      <c r="N58" s="44" t="n">
        <v>46316</v>
      </c>
      <c r="O58" s="45" t="n">
        <v>46322</v>
      </c>
      <c r="P58" s="46" t="s">
        <v>285</v>
      </c>
      <c r="Q58" s="37" t="n">
        <v>47</v>
      </c>
      <c r="R58" s="39"/>
      <c r="S58" s="39" t="n">
        <v>1</v>
      </c>
      <c r="T58" s="39" t="s">
        <v>286</v>
      </c>
      <c r="U58" s="58" t="n">
        <v>46316.0058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46332</v>
      </c>
      <c r="O59" s="45" t="n">
        <v>46332</v>
      </c>
      <c r="P59" s="46" t="s">
        <v>285</v>
      </c>
      <c r="Q59" s="37" t="n">
        <v>56</v>
      </c>
      <c r="R59" s="39"/>
      <c r="S59" s="39" t="n">
        <v>1</v>
      </c>
      <c r="T59" s="39" t="s">
        <v>286</v>
      </c>
      <c r="U59" s="58" t="n">
        <v>46332.0059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46337</v>
      </c>
      <c r="O60" s="60" t="n">
        <v>46378</v>
      </c>
      <c r="P60" s="46" t="s">
        <v>285</v>
      </c>
      <c r="Q60" s="37" t="n">
        <v>86</v>
      </c>
      <c r="R60" s="39"/>
      <c r="S60" s="39" t="n">
        <v>1</v>
      </c>
      <c r="T60" s="39" t="s">
        <v>286</v>
      </c>
      <c r="U60" s="58" t="n">
        <v>46337.006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46221</v>
      </c>
      <c r="O61" s="33" t="n">
        <v>46245</v>
      </c>
      <c r="P61" s="34" t="s">
        <v>60</v>
      </c>
      <c r="Q61" s="31" t="n">
        <v>-1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14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46221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305</v>
      </c>
      <c r="N63" s="55" t="n">
        <v>46221</v>
      </c>
      <c r="O63" s="55" t="n">
        <v>46222</v>
      </c>
      <c r="P63" s="50" t="s">
        <v>124</v>
      </c>
      <c r="Q63" s="52" t="n">
        <v>3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309</v>
      </c>
      <c r="N64" s="55" t="n">
        <v>46221</v>
      </c>
      <c r="O64" s="55" t="n">
        <v>46224</v>
      </c>
      <c r="P64" s="50" t="s">
        <v>124</v>
      </c>
      <c r="Q64" s="52" t="n">
        <v>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313</v>
      </c>
      <c r="N65" s="55" t="n">
        <v>46222</v>
      </c>
      <c r="O65" s="55" t="n">
        <v>46228</v>
      </c>
      <c r="P65" s="50" t="s">
        <v>124</v>
      </c>
      <c r="Q65" s="52" t="n">
        <v>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317</v>
      </c>
      <c r="N66" s="55" t="n">
        <v>46226</v>
      </c>
      <c r="O66" s="55" t="n">
        <v>46232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321</v>
      </c>
      <c r="N67" s="55" t="n">
        <v>46229</v>
      </c>
      <c r="O67" s="55" t="n">
        <v>46233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325</v>
      </c>
      <c r="N68" s="55" t="n">
        <v>46231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329</v>
      </c>
      <c r="N69" s="55" t="n">
        <v>46233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46239</v>
      </c>
      <c r="O70" s="45" t="n">
        <v>46242</v>
      </c>
      <c r="P70" s="46" t="s">
        <v>115</v>
      </c>
      <c r="Q70" s="37" t="n">
        <v>-2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337</v>
      </c>
      <c r="N71" s="55" t="n">
        <v>46239</v>
      </c>
      <c r="O71" s="55" t="n">
        <v>46240</v>
      </c>
      <c r="P71" s="50" t="s">
        <v>124</v>
      </c>
      <c r="Q71" s="52" t="n">
        <v>1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341</v>
      </c>
      <c r="N72" s="55" t="n">
        <v>46240</v>
      </c>
      <c r="O72" s="55" t="n">
        <v>46241</v>
      </c>
      <c r="P72" s="50" t="s">
        <v>124</v>
      </c>
      <c r="Q72" s="52" t="n">
        <v>-1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345</v>
      </c>
      <c r="N73" s="55" t="n">
        <v>46240</v>
      </c>
      <c r="O73" s="55" t="n">
        <v>46241</v>
      </c>
      <c r="P73" s="50" t="s">
        <v>124</v>
      </c>
      <c r="Q73" s="52" t="n">
        <v>-1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349</v>
      </c>
      <c r="N74" s="55" t="n">
        <v>46241</v>
      </c>
      <c r="O74" s="55" t="n">
        <v>46242</v>
      </c>
      <c r="P74" s="50" t="s">
        <v>124</v>
      </c>
      <c r="Q74" s="52" t="n">
        <v>-2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353</v>
      </c>
      <c r="N75" s="55" t="n">
        <v>46241</v>
      </c>
      <c r="O75" s="55" t="n">
        <v>46242</v>
      </c>
      <c r="P75" s="50" t="s">
        <v>124</v>
      </c>
      <c r="Q75" s="52" t="n">
        <v>-2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6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46238</v>
      </c>
      <c r="O76" s="45" t="n">
        <v>46243</v>
      </c>
      <c r="P76" s="46" t="s">
        <v>115</v>
      </c>
      <c r="Q76" s="37" t="n">
        <v>-1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361</v>
      </c>
      <c r="N77" s="55" t="n">
        <v>46238</v>
      </c>
      <c r="O77" s="55" t="n">
        <v>46240</v>
      </c>
      <c r="P77" s="50" t="s">
        <v>124</v>
      </c>
      <c r="Q77" s="52" t="n">
        <v>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365</v>
      </c>
      <c r="N78" s="55" t="n">
        <v>46239</v>
      </c>
      <c r="O78" s="55" t="n">
        <v>46242</v>
      </c>
      <c r="P78" s="50" t="s">
        <v>124</v>
      </c>
      <c r="Q78" s="52" t="n">
        <v>-1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369</v>
      </c>
      <c r="N79" s="55" t="n">
        <v>46240</v>
      </c>
      <c r="O79" s="55" t="n">
        <v>46243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373</v>
      </c>
      <c r="N80" s="55" t="n">
        <v>46242</v>
      </c>
      <c r="O80" s="55" t="n">
        <v>46243</v>
      </c>
      <c r="P80" s="50" t="s">
        <v>124</v>
      </c>
      <c r="Q80" s="52" t="n">
        <v>-1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377</v>
      </c>
      <c r="N81" s="55" t="n">
        <v>46243</v>
      </c>
      <c r="O81" s="55" t="n">
        <v>46243</v>
      </c>
      <c r="P81" s="50" t="s">
        <v>124</v>
      </c>
      <c r="Q81" s="52" t="n">
        <v>-1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385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389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46239</v>
      </c>
      <c r="O85" s="45" t="n">
        <v>46242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397</v>
      </c>
      <c r="N86" s="55" t="n">
        <v>46239</v>
      </c>
      <c r="O86" s="55" t="n">
        <v>46241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401</v>
      </c>
      <c r="N87" s="55" t="n">
        <v>46240</v>
      </c>
      <c r="O87" s="55" t="n">
        <v>46242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405</v>
      </c>
      <c r="N88" s="55" t="n">
        <v>46241</v>
      </c>
      <c r="O88" s="55" t="n">
        <v>46242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409</v>
      </c>
      <c r="N89" s="55" t="n">
        <v>46242</v>
      </c>
      <c r="O89" s="55" t="n">
        <v>46242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46240</v>
      </c>
      <c r="O90" s="45" t="n">
        <v>46243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418</v>
      </c>
      <c r="N91" s="55" t="n">
        <v>46240</v>
      </c>
      <c r="O91" s="55" t="n">
        <v>46242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422</v>
      </c>
      <c r="N92" s="55" t="n">
        <v>46242</v>
      </c>
      <c r="O92" s="55" t="n">
        <v>46243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426</v>
      </c>
      <c r="N93" s="55" t="n">
        <v>46240</v>
      </c>
      <c r="O93" s="55" t="n">
        <v>46242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430</v>
      </c>
      <c r="N94" s="55" t="n">
        <v>46242</v>
      </c>
      <c r="O94" s="55" t="n">
        <v>46243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434</v>
      </c>
      <c r="N95" s="55" t="n">
        <v>46243</v>
      </c>
      <c r="O95" s="55" t="n">
        <v>46243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46241</v>
      </c>
      <c r="O96" s="45" t="n">
        <v>46243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441</v>
      </c>
      <c r="N97" s="55" t="n">
        <v>46241</v>
      </c>
      <c r="O97" s="55" t="n">
        <v>46243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445</v>
      </c>
      <c r="N98" s="55" t="n">
        <v>46242</v>
      </c>
      <c r="O98" s="55" t="n">
        <v>46243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449</v>
      </c>
      <c r="N99" s="55" t="n">
        <v>46243</v>
      </c>
      <c r="O99" s="55" t="n">
        <v>46243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46242</v>
      </c>
      <c r="O100" s="45" t="n">
        <v>46244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46242</v>
      </c>
      <c r="O101" s="55" t="n">
        <v>46242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460</v>
      </c>
      <c r="N102" s="55" t="n">
        <v>46242</v>
      </c>
      <c r="O102" s="55" t="n">
        <v>46243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467</v>
      </c>
      <c r="N104" s="55" t="n">
        <v>46243</v>
      </c>
      <c r="O104" s="55" t="n">
        <v>46244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471</v>
      </c>
      <c r="N105" s="55" t="n">
        <v>46243</v>
      </c>
      <c r="O105" s="55" t="n">
        <v>46244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475</v>
      </c>
      <c r="N106" s="55" t="n">
        <v>46244</v>
      </c>
      <c r="O106" s="55" t="n">
        <v>46244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46243</v>
      </c>
      <c r="O107" s="45" t="n">
        <v>46244</v>
      </c>
      <c r="P107" s="46" t="s">
        <v>115</v>
      </c>
      <c r="Q107" s="37" t="n">
        <v>-1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482</v>
      </c>
      <c r="N108" s="55" t="n">
        <v>46243</v>
      </c>
      <c r="O108" s="55" t="n">
        <v>46244</v>
      </c>
      <c r="P108" s="50" t="s">
        <v>124</v>
      </c>
      <c r="Q108" s="52" t="n">
        <v>0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486</v>
      </c>
      <c r="N109" s="55" t="n">
        <v>46244</v>
      </c>
      <c r="O109" s="55" t="n">
        <v>46244</v>
      </c>
      <c r="P109" s="50" t="s">
        <v>124</v>
      </c>
      <c r="Q109" s="52" t="n">
        <v>-1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490</v>
      </c>
      <c r="N110" s="55" t="n">
        <v>46243</v>
      </c>
      <c r="O110" s="55" t="n">
        <v>46244</v>
      </c>
      <c r="P110" s="50" t="s">
        <v>124</v>
      </c>
      <c r="Q110" s="52" t="n">
        <v>0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46245</v>
      </c>
      <c r="M111" s="43"/>
      <c r="N111" s="44" t="n">
        <v>46245</v>
      </c>
      <c r="O111" s="45" t="n">
        <v>46245</v>
      </c>
      <c r="P111" s="46" t="s">
        <v>60</v>
      </c>
      <c r="Q111" s="37" t="n">
        <v>-1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498</v>
      </c>
      <c r="N112" s="55" t="n">
        <v>46245</v>
      </c>
      <c r="O112" s="55" t="n">
        <v>46245</v>
      </c>
      <c r="P112" s="50" t="s">
        <v>124</v>
      </c>
      <c r="Q112" s="52" t="n">
        <v>-1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502</v>
      </c>
      <c r="N113" s="55" t="n">
        <v>46245</v>
      </c>
      <c r="O113" s="55" t="n">
        <v>46245</v>
      </c>
      <c r="P113" s="50" t="s">
        <v>124</v>
      </c>
      <c r="Q113" s="52" t="n">
        <v>-1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46252</v>
      </c>
      <c r="O114" s="33" t="n">
        <v>46395</v>
      </c>
      <c r="P114" s="34" t="s">
        <v>75</v>
      </c>
      <c r="Q114" s="31" t="n">
        <v>86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46329</v>
      </c>
      <c r="O115" s="45" t="n">
        <v>46329</v>
      </c>
      <c r="P115" s="46" t="s">
        <v>285</v>
      </c>
      <c r="Q115" s="37" t="n">
        <v>80</v>
      </c>
      <c r="R115" s="39"/>
      <c r="S115" s="39" t="n">
        <v>1</v>
      </c>
      <c r="T115" s="39" t="s">
        <v>286</v>
      </c>
      <c r="U115" s="58" t="n">
        <v>46329.0115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512</v>
      </c>
      <c r="N116" s="55" t="n">
        <v>46329</v>
      </c>
      <c r="O116" s="55" t="n">
        <v>46329</v>
      </c>
      <c r="P116" s="50" t="s">
        <v>285</v>
      </c>
      <c r="Q116" s="52" t="n">
        <v>82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516</v>
      </c>
      <c r="N117" s="55" t="n">
        <v>46329</v>
      </c>
      <c r="O117" s="55" t="n">
        <v>46329</v>
      </c>
      <c r="P117" s="50" t="s">
        <v>285</v>
      </c>
      <c r="Q117" s="52" t="n">
        <v>81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520</v>
      </c>
      <c r="N118" s="55" t="n">
        <v>46329</v>
      </c>
      <c r="O118" s="55" t="n">
        <v>46329</v>
      </c>
      <c r="P118" s="50" t="s">
        <v>285</v>
      </c>
      <c r="Q118" s="52" t="n">
        <v>81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524</v>
      </c>
      <c r="N119" s="55" t="n">
        <v>46329</v>
      </c>
      <c r="O119" s="55" t="n">
        <v>46329</v>
      </c>
      <c r="P119" s="50" t="s">
        <v>285</v>
      </c>
      <c r="Q119" s="52" t="n">
        <v>81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528</v>
      </c>
      <c r="N120" s="55" t="n">
        <v>46329</v>
      </c>
      <c r="O120" s="55" t="n">
        <v>46329</v>
      </c>
      <c r="P120" s="50" t="s">
        <v>285</v>
      </c>
      <c r="Q120" s="52" t="n">
        <v>80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532</v>
      </c>
      <c r="N121" s="55" t="n">
        <v>46329</v>
      </c>
      <c r="O121" s="55" t="n">
        <v>46329</v>
      </c>
      <c r="P121" s="50" t="s">
        <v>285</v>
      </c>
      <c r="Q121" s="52" t="n">
        <v>80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 t="n">
        <v>46277</v>
      </c>
      <c r="M122" s="43"/>
      <c r="N122" s="44" t="n">
        <v>46277</v>
      </c>
      <c r="O122" s="45" t="n">
        <v>46277</v>
      </c>
      <c r="P122" s="46" t="s">
        <v>60</v>
      </c>
      <c r="Q122" s="37" t="n">
        <v>28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46252</v>
      </c>
      <c r="L123" s="42" t="n">
        <v>46255</v>
      </c>
      <c r="M123" s="43"/>
      <c r="N123" s="44" t="n">
        <v>46252</v>
      </c>
      <c r="O123" s="45" t="n">
        <v>46255</v>
      </c>
      <c r="P123" s="46" t="s">
        <v>60</v>
      </c>
      <c r="Q123" s="37" t="n">
        <v>4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46382</v>
      </c>
      <c r="O124" s="45" t="n">
        <v>46395</v>
      </c>
      <c r="P124" s="46" t="s">
        <v>285</v>
      </c>
      <c r="Q124" s="37" t="n">
        <v>86</v>
      </c>
      <c r="R124" s="39"/>
      <c r="S124" s="39" t="n">
        <v>1</v>
      </c>
      <c r="T124" s="39" t="s">
        <v>286</v>
      </c>
      <c r="U124" s="58" t="n">
        <v>46382.0124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547</v>
      </c>
      <c r="N125" s="55" t="n">
        <v>46382</v>
      </c>
      <c r="O125" s="55" t="n">
        <v>46386</v>
      </c>
      <c r="P125" s="50" t="s">
        <v>285</v>
      </c>
      <c r="Q125" s="52" t="n">
        <v>86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551</v>
      </c>
      <c r="N126" s="55" t="n">
        <v>46385</v>
      </c>
      <c r="O126" s="55" t="n">
        <v>46392</v>
      </c>
      <c r="P126" s="50" t="s">
        <v>285</v>
      </c>
      <c r="Q126" s="52" t="n">
        <v>86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555</v>
      </c>
      <c r="N127" s="55" t="n">
        <v>46392</v>
      </c>
      <c r="O127" s="55" t="n">
        <v>46395</v>
      </c>
      <c r="P127" s="50" t="s">
        <v>285</v>
      </c>
      <c r="Q127" s="52" t="n">
        <v>86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46339</v>
      </c>
      <c r="O128" s="45" t="n">
        <v>46339</v>
      </c>
      <c r="P128" s="46" t="s">
        <v>285</v>
      </c>
      <c r="Q128" s="37" t="n">
        <v>80</v>
      </c>
      <c r="R128" s="39"/>
      <c r="S128" s="39" t="n">
        <v>1</v>
      </c>
      <c r="T128" s="39" t="s">
        <v>286</v>
      </c>
      <c r="U128" s="58" t="n">
        <v>46339.0128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46340</v>
      </c>
      <c r="O129" s="45" t="n">
        <v>46342</v>
      </c>
      <c r="P129" s="46" t="s">
        <v>285</v>
      </c>
      <c r="Q129" s="37" t="n">
        <v>83</v>
      </c>
      <c r="R129" s="39"/>
      <c r="S129" s="39" t="n">
        <v>1</v>
      </c>
      <c r="T129" s="39" t="s">
        <v>286</v>
      </c>
      <c r="U129" s="58" t="n">
        <v>46340.0129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46340</v>
      </c>
      <c r="O130" s="45" t="n">
        <v>46344</v>
      </c>
      <c r="P130" s="46" t="s">
        <v>285</v>
      </c>
      <c r="Q130" s="37" t="n">
        <v>85</v>
      </c>
      <c r="R130" s="39"/>
      <c r="S130" s="39" t="n">
        <v>1</v>
      </c>
      <c r="T130" s="39" t="s">
        <v>286</v>
      </c>
      <c r="U130" s="58" t="n">
        <v>46340.013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46379</v>
      </c>
      <c r="O131" s="45" t="n">
        <v>46381</v>
      </c>
      <c r="P131" s="46" t="s">
        <v>285</v>
      </c>
      <c r="Q131" s="37" t="n">
        <v>86</v>
      </c>
      <c r="R131" s="39"/>
      <c r="S131" s="39" t="n">
        <v>1</v>
      </c>
      <c r="T131" s="39" t="s">
        <v>286</v>
      </c>
      <c r="U131" s="58" t="n">
        <v>46379.0131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565</v>
      </c>
      <c r="D134" s="6" t="s">
        <v>566</v>
      </c>
    </row>
    <row r="135" customFormat="false" ht="15" hidden="false" customHeight="true" outlineLevel="0" collapsed="false">
      <c r="B135" s="63" t="s">
        <v>567</v>
      </c>
      <c r="D135" s="63" t="s">
        <v>568</v>
      </c>
      <c r="E135" s="63" t="s">
        <v>569</v>
      </c>
      <c r="I135" s="64" t="s">
        <v>570</v>
      </c>
      <c r="J135" s="64" t="s">
        <v>571</v>
      </c>
      <c r="K135" s="64" t="s">
        <v>572</v>
      </c>
      <c r="L135" s="64" t="s">
        <v>573</v>
      </c>
      <c r="O135" s="63" t="s">
        <v>574</v>
      </c>
      <c r="P135" s="63" t="s">
        <v>575</v>
      </c>
    </row>
    <row r="136" customFormat="false" ht="15" hidden="false" customHeight="true" outlineLevel="0" collapsed="false">
      <c r="B136" s="65" t="s">
        <v>576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577</v>
      </c>
    </row>
    <row r="137" customFormat="false" ht="15" hidden="false" customHeight="true" outlineLevel="0" collapsed="false">
      <c r="B137" s="65" t="s">
        <v>578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579</v>
      </c>
    </row>
    <row r="138" customFormat="false" ht="15" hidden="false" customHeight="true" outlineLevel="0" collapsed="false">
      <c r="B138" s="65" t="s">
        <v>580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581</v>
      </c>
    </row>
    <row r="139" customFormat="false" ht="15" hidden="false" customHeight="true" outlineLevel="0" collapsed="false">
      <c r="B139" s="65" t="s">
        <v>582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583</v>
      </c>
    </row>
    <row r="140" customFormat="false" ht="15" hidden="false" customHeight="true" outlineLevel="0" collapsed="false">
      <c r="B140" s="65" t="s">
        <v>584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585</v>
      </c>
    </row>
    <row r="141" customFormat="false" ht="15" hidden="false" customHeight="true" outlineLevel="0" collapsed="false">
      <c r="B141" s="70" t="s">
        <v>586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587</v>
      </c>
    </row>
    <row r="142" customFormat="false" ht="15" hidden="false" customHeight="true" outlineLevel="0" collapsed="false">
      <c r="B142" s="72" t="s">
        <v>588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7" t="s">
        <v>590</v>
      </c>
    </row>
    <row r="146" customFormat="false" ht="15" hidden="false" customHeight="true" outlineLevel="0" collapsed="false">
      <c r="B146" s="17" t="s">
        <v>591</v>
      </c>
      <c r="D146" s="78" t="s">
        <v>592</v>
      </c>
      <c r="E146" s="78"/>
      <c r="F146" s="78"/>
      <c r="G146" s="78"/>
      <c r="H146" s="78"/>
      <c r="I146" s="78"/>
      <c r="J146" s="78"/>
      <c r="K146" s="19" t="s">
        <v>593</v>
      </c>
    </row>
    <row r="147" customFormat="false" ht="15" hidden="false" customHeight="true" outlineLevel="0" collapsed="false">
      <c r="B147" s="79" t="s">
        <v>594</v>
      </c>
      <c r="E147" s="80" t="s">
        <v>595</v>
      </c>
      <c r="I147" s="79" t="s">
        <v>596</v>
      </c>
    </row>
    <row r="148" customFormat="false" ht="24" hidden="false" customHeight="true" outlineLevel="0" collapsed="false">
      <c r="A148" s="81" t="s">
        <v>597</v>
      </c>
      <c r="B148" s="82" t="s">
        <v>598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599</v>
      </c>
      <c r="B149" s="82" t="s">
        <v>600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601</v>
      </c>
      <c r="B150" s="82" t="s">
        <v>602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603</v>
      </c>
      <c r="B151" s="82" t="s">
        <v>604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605</v>
      </c>
      <c r="B152" s="82" t="s">
        <v>606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607</v>
      </c>
      <c r="B153" s="82" t="s">
        <v>608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641</v>
      </c>
      <c r="C8" s="95" t="s">
        <v>642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644</v>
      </c>
      <c r="C10" s="95" t="s">
        <v>642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46191</v>
      </c>
      <c r="F11" s="99" t="n">
        <v>46200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645</v>
      </c>
      <c r="C12" s="95" t="s">
        <v>642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46210</v>
      </c>
      <c r="F13" s="99" t="n">
        <v>46210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646</v>
      </c>
      <c r="C14" s="95" t="s">
        <v>642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46262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651</v>
      </c>
      <c r="C23" s="95" t="s">
        <v>642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46221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6.6667</v>
      </c>
      <c r="Q24" s="101" t="n">
        <v>6.6667</v>
      </c>
      <c r="R24" s="101" t="n">
        <v>6.6667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652</v>
      </c>
      <c r="C25" s="95" t="s">
        <v>642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46239</v>
      </c>
      <c r="F26" s="99" t="n">
        <v>46242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10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653</v>
      </c>
      <c r="C27" s="95" t="s">
        <v>642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46238</v>
      </c>
      <c r="F28" s="99" t="n">
        <v>46243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20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654</v>
      </c>
      <c r="C29" s="95" t="s">
        <v>642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655</v>
      </c>
      <c r="C31" s="95" t="s">
        <v>642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46239</v>
      </c>
      <c r="F32" s="99" t="n">
        <v>46242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656</v>
      </c>
      <c r="C33" s="95" t="s">
        <v>642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46240</v>
      </c>
      <c r="F34" s="99" t="n">
        <v>46243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657</v>
      </c>
      <c r="C35" s="95" t="s">
        <v>642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46241</v>
      </c>
      <c r="F36" s="99" t="n">
        <v>46243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658</v>
      </c>
      <c r="C37" s="95" t="s">
        <v>642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46242</v>
      </c>
      <c r="F38" s="99" t="n">
        <v>46244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2.5</v>
      </c>
      <c r="T38" s="101" t="n">
        <v>2.5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659</v>
      </c>
      <c r="C39" s="95" t="s">
        <v>642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46243</v>
      </c>
      <c r="F40" s="99" t="n">
        <v>46244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1.25</v>
      </c>
      <c r="T40" s="101" t="n">
        <v>1.25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661</v>
      </c>
      <c r="C42" s="95" t="s">
        <v>642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6.6667</v>
      </c>
      <c r="Q48" s="103" t="n">
        <f aca="false">SUMIF($C$7:$C$45,"Actual",Q$7:Q$45)</f>
        <v>6.6667</v>
      </c>
      <c r="R48" s="103" t="n">
        <f aca="false">SUMIF($C$7:$C$45,"Actual",R$7:R$45)</f>
        <v>6.6667</v>
      </c>
      <c r="S48" s="103" t="n">
        <f aca="false">SUMIF($C$7:$C$45,"Actual",S$7:S$45)</f>
        <v>66.25</v>
      </c>
      <c r="T48" s="103" t="n">
        <f aca="false">SUMIF($C$7:$C$45,"Actual",T$7:T$45)</f>
        <v>3.75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3.5</v>
      </c>
      <c r="P50" s="105" t="n">
        <f aca="false">IF(P$6&gt;46314,"",O50+P48)</f>
        <v>10.1667</v>
      </c>
      <c r="Q50" s="105" t="n">
        <f aca="false">IF(Q$6&gt;46314,"",P50+Q48)</f>
        <v>16.8334</v>
      </c>
      <c r="R50" s="105" t="n">
        <f aca="false">IF(R$6&gt;46314,"",Q50+R48)</f>
        <v>23.5001</v>
      </c>
      <c r="S50" s="105" t="n">
        <f aca="false">IF(S$6&gt;46314,"",R50+S48)</f>
        <v>89.7501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93.6668</v>
      </c>
      <c r="W50" s="105" t="n">
        <f aca="false">IF(W$6&gt;46314,"",V50+W48)</f>
        <v>93.8335</v>
      </c>
      <c r="X50" s="105" t="n">
        <f aca="false">IF(X$6&gt;46314,"",W50+X48)</f>
        <v>94.0002</v>
      </c>
      <c r="Y50" s="105" t="n">
        <f aca="false">IF(Y$6&gt;46314,"",X50+Y48)</f>
        <v>94.1669</v>
      </c>
      <c r="Z50" s="105" t="n">
        <f aca="false">IF(Z$6&gt;46314,"",Y50+Z48)</f>
        <v>94.3336</v>
      </c>
      <c r="AA50" s="105" t="n">
        <f aca="false">IF(AA$6&gt;46314,"",Z50+AA48)</f>
        <v>94.5003</v>
      </c>
      <c r="AB50" s="105" t="n">
        <f aca="false">IF(AB$6&gt;46314,"",AA50+AB48)</f>
        <v>94.667</v>
      </c>
      <c r="AC50" s="105" t="n">
        <f aca="false">IF(AC$6&gt;46314,"",AB50+AC48)</f>
        <v>94.8337000000001</v>
      </c>
      <c r="AD50" s="105" t="n">
        <f aca="false">IF(AD$6&gt;46314,"",AC50+AD48)</f>
        <v>95.0004000000001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2026-10-26T04:42:59Z</dcterms:created>
  <dc:creator>openpyxl</dc:creator>
  <dc:description/>
  <dc:language>en-US</dc:language>
  <cp:lastModifiedBy/>
  <dcterms:modified xsi:type="dcterms:W3CDTF">2026-10-26T11:46:46Z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