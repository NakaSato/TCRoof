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<sst xmlns="http://schemas.openxmlformats.org/spreadsheetml/2006/main" count="1314" uniqueCount="673">
  <si>
    <t xml:space="preserve">แผนโครงการ P4-031 – สถานีผลิตน้ำศูนย์ราชการ 400.14 kWp</t>
  </si>
  <si>
    <t xml:space="preserve">กปภ.สาขามหาสารคาม, ภาคอีสาน, กฟภ. เขต ฉ.2, Inverter 375 kW (ต้องยื่น พค.2), Zero export HV, คำขอ PPIM1A5081BD, วิศวกร อ๋อง, Admin เตย, ผรม. S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</si>
  <si>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</si>
  <si>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</si>
  <si>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</si>
  <si>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</si>
  <si>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</si>
  <si>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</si>
  <si>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</si>
  <si>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</si>
  <si>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</si>
  <si>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</si>
  <si>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</si>
  <si>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</si>
  <si>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</si>
  <si>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</si>
  <si>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</si>
  <si>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</si>
  <si>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</si>
  <si>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</si>
  <si>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</si>
  <si>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</si>
  <si>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</si>
  <si>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</si>
  <si>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</si>
  <si>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</si>
  <si>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</si>
  <si>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</si>
  <si>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</si>
  <si>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</si>
  <si>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</si>
  <si>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</si>
  <si>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</si>
  <si>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</si>
  <si>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</si>
  <si>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</si>
  <si>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</si>
  <si>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</si>
  <si>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</si>
  <si>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</si>
  <si>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</si>
  <si>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</si>
  <si>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</si>
  <si>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</si>
  <si>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</si>
  <si>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</si>
  <si>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</si>
  <si>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</si>
  <si>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</si>
  <si>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</si>
  <si>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</si>
  <si>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</si>
  <si>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</si>
  <si>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</si>
  <si>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</si>
  <si>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</si>
  <si>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</si>
  <si>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</si>
  <si>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</si>
  <si>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</si>
  <si>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</si>
  <si>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</si>
  <si>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</si>
  <si>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</si>
  <si>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</si>
  <si>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</si>
  <si>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</si>
  <si>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</si>
  <si>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</si>
  <si>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</si>
  <si>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</si>
  <si>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</si>
  <si>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</si>
  <si>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</si>
  <si>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</si>
  <si>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</si>
  <si>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</si>
  <si>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</si>
  <si>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</si>
  <si>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</si>
  <si>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</si>
  <si>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</si>
  <si>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</si>
  <si>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</si>
  <si>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</si>
  <si>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</si>
  <si>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</si>
  <si>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</si>
  <si>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</si>
  <si>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</si>
  <si>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</si>
  <si>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</si>
  <si>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</si>
  <si>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</si>
  <si>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</si>
  <si>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</si>
  <si>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</si>
  <si>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</si>
  <si>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</si>
  <si>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</si>
  <si>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</si>
  <si>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</si>
  <si>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</si>
  <si>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</si>
  <si>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</si>
  <si>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</si>
  <si>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</si>
  <si>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</si>
  <si>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</si>
  <si>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</si>
  <si>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</si>
  <si>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TC-PML-2026-544,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</si>
  <si>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</si>
  <si>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</si>
  <si>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</si>
  <si>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</si>
  <si>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</si>
  <si>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</si>
  <si>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</si>
  <si>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</si>
  <si>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</si>
  <si>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</si>
  <si>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</si>
  <si>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WBS'!L7863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</si>
  <si>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</si>
  <si>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</si>
  <si>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</si>
  <si>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</si>
  <si>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</si>
  <si>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</si>
  <si>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</si>
  <si>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</si>
  <si>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</si>
  <si>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</si>
  <si>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</si>
  <si>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</si>
  <si>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</si>
  <si>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</si>
  <si>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</si>
  <si>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</si>
  <si>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</si>
  <si>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</si>
  <si>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</si>
  <si>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</si>
  <si>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</si>
  <si>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</si>
  <si>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</si>
  <si>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</si>
  <si>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</si>
  <si>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</si>
  <si>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</si>
  <si>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</si>
  <si>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WBS'!L7870</t>
    </r>
  </si>
  <si>
    <t xml:space="preserve">0.3</t>
  </si>
  <si>
    <t xml:space="preserve">หนังสือแจ้งขอดับไฟ</t>
  </si>
  <si>
    <t xml:space="preserve">TC-PML-2026-578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</si>
  <si>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</si>
  <si>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</si>
  <si>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</si>
  <si>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</si>
  <si>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</si>
  <si>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</si>
  <si>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</si>
  <si>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</si>
  <si>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</si>
  <si>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</si>
  <si>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</si>
  <si>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</si>
  <si>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</si>
  <si>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</si>
  <si>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</si>
  <si>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</si>
  <si>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</si>
  <si>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</si>
  <si>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</si>
  <si>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</si>
  <si>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</si>
  <si>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</si>
  <si>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</si>
  <si>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</si>
  <si>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</si>
  <si>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</si>
  <si>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</si>
  <si>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</si>
  <si>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</si>
  <si>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</si>
  <si>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</si>
  <si>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</si>
  <si>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</si>
  <si>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</si>
  <si>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</si>
  <si>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</si>
  <si>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</si>
  <si>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</si>
  <si>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</si>
  <si>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</si>
  <si>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</si>
  <si>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</si>
  <si>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</si>
  <si>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</si>
  <si>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</si>
  <si>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</si>
  <si>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</si>
  <si>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</si>
  <si>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</si>
  <si>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</si>
  <si>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</si>
  <si>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</si>
  <si>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</si>
  <si>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</si>
  <si>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</si>
  <si>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</si>
  <si>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</si>
  <si>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</si>
  <si>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</si>
  <si>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</si>
  <si>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</si>
  <si>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</si>
  <si>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</si>
  <si>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</si>
  <si>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</si>
  <si>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</si>
  <si>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</si>
  <si>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</si>
  <si>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</si>
  <si>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</si>
  <si>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</si>
  <si>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</si>
  <si>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</si>
  <si>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</si>
  <si>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</si>
  <si>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</si>
  <si>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</si>
  <si>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</si>
  <si>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</si>
  <si>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</si>
  <si>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</si>
  <si>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</si>
  <si>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</si>
  <si>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</si>
  <si>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</si>
  <si>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</si>
  <si>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WBS'!L7886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</si>
  <si>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</si>
  <si>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</si>
  <si>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</si>
  <si>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</si>
  <si>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</si>
  <si>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</si>
  <si>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</si>
  <si>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</si>
  <si>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WBS'!L7887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</si>
  <si>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</si>
  <si>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</si>
  <si>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</si>
  <si>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WBS'!L7888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</si>
  <si>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</si>
  <si>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</si>
  <si>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</si>
  <si>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</si>
  <si>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</si>
  <si>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</si>
  <si>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WBS'!L7889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</si>
  <si>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</si>
  <si>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</si>
  <si>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</si>
  <si>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</si>
  <si>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</si>
  <si>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</si>
  <si>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</si>
  <si>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</si>
  <si>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</si>
  <si>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</si>
  <si>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</si>
  <si>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</si>
  <si>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WBS'!L7891</t>
    </r>
  </si>
  <si>
    <t xml:space="preserve">1.7.1</t>
  </si>
  <si>
    <t xml:space="preserve">คำขอขนานไฟ PPIM (ชุด 11 ไฟล์)</t>
  </si>
  <si>
    <t xml:space="preserve">PPIM1A5081BD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</si>
  <si>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</si>
  <si>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</si>
  <si>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</si>
  <si>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</si>
  <si>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</si>
  <si>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</si>
  <si>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</si>
  <si>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</si>
  <si>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</si>
  <si>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</si>
  <si>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</si>
  <si>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</si>
  <si>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</si>
  <si>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</si>
  <si>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</si>
  <si>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</si>
  <si>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</si>
  <si>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</si>
  <si>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</si>
  <si>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</si>
  <si>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</si>
  <si>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</si>
  <si>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</si>
  <si>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</si>
  <si>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</si>
  <si>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</si>
  <si>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</si>
  <si>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</si>
  <si>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</si>
  <si>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</si>
  <si>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</si>
  <si>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</si>
  <si>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</si>
  <si>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</si>
  <si>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</si>
  <si>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</si>
  <si>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</si>
  <si>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</si>
  <si>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</si>
  <si>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</si>
  <si>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</si>
  <si>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</si>
  <si>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</si>
  <si>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</si>
  <si>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</si>
  <si>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</si>
  <si>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</si>
  <si>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</si>
  <si>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</si>
  <si>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</si>
  <si>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</si>
  <si>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</si>
  <si>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</si>
  <si>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</si>
  <si>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</si>
  <si>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</si>
  <si>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</si>
  <si>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</si>
  <si>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</si>
  <si>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</si>
  <si>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</si>
  <si>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</si>
  <si>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</si>
  <si>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</si>
  <si>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</si>
  <si>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</si>
  <si>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</si>
  <si>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</si>
  <si>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</si>
  <si>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</si>
  <si>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</si>
  <si>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</si>
  <si>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</si>
  <si>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</si>
  <si>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</si>
  <si>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</si>
  <si>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</si>
  <si>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</si>
  <si>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</si>
  <si>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</si>
  <si>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</si>
  <si>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</si>
  <si>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</si>
  <si>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</si>
  <si>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</si>
  <si>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</si>
  <si>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</si>
  <si>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</si>
  <si>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</si>
  <si>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</si>
  <si>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</si>
  <si>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</si>
  <si>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</si>
  <si>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</si>
  <si>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</si>
  <si>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</si>
  <si>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</si>
  <si>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</si>
  <si>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</si>
  <si>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</si>
  <si>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</si>
  <si>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</si>
  <si>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</si>
  <si>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</si>
  <si>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</si>
  <si>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</si>
  <si>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</si>
  <si>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</si>
  <si>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</si>
  <si>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</si>
  <si>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</si>
  <si>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</si>
  <si>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WBS'!L7910</t>
    </r>
  </si>
  <si>
    <t xml:space="preserve">2.5</t>
  </si>
  <si>
    <t xml:space="preserve">ติดตั้ง Inverter</t>
  </si>
  <si>
    <t xml:space="preserve">Inverter 375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</si>
  <si>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</si>
  <si>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</si>
  <si>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</si>
  <si>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</si>
  <si>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</si>
  <si>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</si>
  <si>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</si>
  <si>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</si>
  <si>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</si>
  <si>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</si>
  <si>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</si>
  <si>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</si>
  <si>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</si>
  <si>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</si>
  <si>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</si>
  <si>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</si>
  <si>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</si>
  <si>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</si>
  <si>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</si>
  <si>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</si>
  <si>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</si>
  <si>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</si>
  <si>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</si>
  <si>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</si>
  <si>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</si>
  <si>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</si>
  <si>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</si>
  <si>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</si>
  <si>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</si>
  <si>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</si>
  <si>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</si>
  <si>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</si>
  <si>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</si>
  <si>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</si>
  <si>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</si>
  <si>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</si>
  <si>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</si>
  <si>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</si>
  <si>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</si>
  <si>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</si>
  <si>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</si>
  <si>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</si>
  <si>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</si>
  <si>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</si>
  <si>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</si>
  <si>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</si>
  <si>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</si>
  <si>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</si>
  <si>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</si>
  <si>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</si>
  <si>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</si>
  <si>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</si>
  <si>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</si>
  <si>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</si>
  <si>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</si>
  <si>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</si>
  <si>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</si>
  <si>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</si>
  <si>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</si>
  <si>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</si>
  <si>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</si>
  <si>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</si>
  <si>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</si>
  <si>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</si>
  <si>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</si>
  <si>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</si>
  <si>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</si>
  <si>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</si>
  <si>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</si>
  <si>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</si>
  <si>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</si>
  <si>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</si>
  <si>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</si>
  <si>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</si>
  <si>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</si>
  <si>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</si>
  <si>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</si>
  <si>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</si>
  <si>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</si>
  <si>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</si>
  <si>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</si>
  <si>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</si>
  <si>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</si>
  <si>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</si>
  <si>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</si>
  <si>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</si>
  <si>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</si>
  <si>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</si>
  <si>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</si>
  <si>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</si>
  <si>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</si>
  <si>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</si>
  <si>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</si>
  <si>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</si>
  <si>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</si>
  <si>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</si>
  <si>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</si>
  <si>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</si>
  <si>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</si>
  <si>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WBS'!L7929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</si>
  <si>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</si>
  <si>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</si>
  <si>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</si>
  <si>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</si>
  <si>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</si>
  <si>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</si>
  <si>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</si>
  <si>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</si>
  <si>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</si>
  <si>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</si>
  <si>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</si>
  <si>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</si>
  <si>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</si>
  <si>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</si>
  <si>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</si>
  <si>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</si>
  <si>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</si>
  <si>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</si>
  <si>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</si>
  <si>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</si>
  <si>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</si>
  <si>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</si>
  <si>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</si>
  <si>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</si>
  <si>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</si>
  <si>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</si>
  <si>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</si>
  <si>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</si>
  <si>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</si>
  <si>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</si>
  <si>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</si>
  <si>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</si>
  <si>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</si>
  <si>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</si>
  <si>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</si>
  <si>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</si>
  <si>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</si>
  <si>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</si>
  <si>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</si>
  <si>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</si>
  <si>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</si>
  <si>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</si>
  <si>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</si>
  <si>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</si>
  <si>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</si>
  <si>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</si>
  <si>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</si>
  <si>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</si>
  <si>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</si>
  <si>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</si>
  <si>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</si>
  <si>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</si>
  <si>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</si>
  <si>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</si>
  <si>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</si>
  <si>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</si>
  <si>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</si>
  <si>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</si>
  <si>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</si>
  <si>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</si>
  <si>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</si>
  <si>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</si>
  <si>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</si>
  <si>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</si>
  <si>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WBS'!L7940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</si>
  <si>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</si>
  <si>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</si>
  <si>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</si>
  <si>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</si>
  <si>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</si>
  <si>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</si>
  <si>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</si>
  <si>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</si>
  <si>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</si>
  <si>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</si>
  <si>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</si>
  <si>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</si>
  <si>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</si>
  <si>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</si>
  <si>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</si>
  <si>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</si>
  <si>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</si>
  <si>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</si>
  <si>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</si>
  <si>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</si>
  <si>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</si>
  <si>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</si>
  <si>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</si>
  <si>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</si>
  <si>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</si>
  <si>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</si>
  <si>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</si>
  <si>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</si>
  <si>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</si>
  <si>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</si>
  <si>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</si>
  <si>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</si>
  <si>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</si>
  <si>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</si>
  <si>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</si>
  <si>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</si>
  <si>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</si>
  <si>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</si>
  <si>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</si>
  <si>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</si>
  <si>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</si>
  <si>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</si>
  <si>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</si>
  <si>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</si>
  <si>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</si>
  <si>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</si>
  <si>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</si>
  <si>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</si>
  <si>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</si>
  <si>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</si>
  <si>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</si>
  <si>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</si>
  <si>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</si>
  <si>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</si>
  <si>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</si>
  <si>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</si>
  <si>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</si>
  <si>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</si>
  <si>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สถานีผลิตน้ำศูนย์ราชการ การประปาส่วนภูมิภาคสาขามหาสารคาม ขนาดกำลังผลิต </t>
    </r>
    <r>
      <rPr>
        <sz val="10"/>
        <rFont val="Tahoma"/>
        <family val="0"/>
        <charset val="1"/>
      </rPr>
      <t xml:space="preserve">400.14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</si>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</sst>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0.842857142857143</c:v>
                </c:pt>
                <c:pt idx="9">
                  <c:v>2.04285714285714</c:v>
                </c:pt>
                <c:pt idx="10">
                  <c:v>2.5</c:v>
                </c:pt>
                <c:pt idx="11">
                  <c:v>2.5</c:v>
                </c:pt>
                <c:pt idx="12">
                  <c:v>7.44444444444445</c:v>
                </c:pt>
                <c:pt idx="13">
                  <c:v>15.2222222222222</c:v>
                </c:pt>
                <c:pt idx="14">
                  <c:v>25.6666666666667</c:v>
                </c:pt>
                <c:pt idx="15">
                  <c:v>74.4047619047619</c:v>
                </c:pt>
                <c:pt idx="16">
                  <c:v>95.7101449275362</c:v>
                </c:pt>
                <c:pt idx="17">
                  <c:v>96.695652173913</c:v>
                </c:pt>
                <c:pt idx="18">
                  <c:v>96.8478260869565</c:v>
                </c:pt>
                <c:pt idx="19">
                  <c:v>97</c:v>
                </c:pt>
                <c:pt idx="20">
                  <c:v>97.1521739130435</c:v>
                </c:pt>
                <c:pt idx="21">
                  <c:v>97.304347826087</c:v>
                </c:pt>
                <c:pt idx="22">
                  <c:v>97.4565217391305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1.1666</c:v>
                </c:pt>
                <c:pt idx="9">
                  <c:v>5.1665</c:v>
                </c:pt>
                <c:pt idx="10">
                  <c:v>9.1664</c:v>
                </c:pt>
                <c:pt idx="11">
                  <c:v>12.4997</c:v>
                </c:pt>
                <c:pt idx="12">
                  <c:v>16.333</c:v>
                </c:pt>
                <c:pt idx="13">
                  <c:v>19.6663</c:v>
                </c:pt>
                <c:pt idx="14">
                  <c:v>29.6663</c:v>
                </c:pt>
                <c:pt idx="15">
                  <c:v>58.833</c:v>
                </c:pt>
                <c:pt idx="16">
                  <c:v>92.9997</c:v>
                </c:pt>
                <c:pt idx="17">
                  <c:v>92.9997</c:v>
                </c:pt>
                <c:pt idx="18">
                  <c:v>92.9997</c:v>
                </c:pt>
                <c:pt idx="19">
                  <c:v>92.9997</c:v>
                </c:pt>
                <c:pt idx="20">
                  <c:v>93.9997</c:v>
                </c:pt>
                <c:pt idx="21">
                  <c:v>94.4997</c:v>
                </c:pt>
                <c:pt idx="22">
                  <c:v>94.9997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193796"/>
        <c:axId val="40688045"/>
      </c:lineChart>
      <c:catAx>
        <c:axId val="5219379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88045"/>
        <c:crosses val="autoZero"/>
        <c:auto val="1"/>
        <c:lblAlgn val="ctr"/>
        <c:lblOffset val="100"/>
        <c:noMultiLvlLbl val="0"/>
      </c:catAx>
      <c:valAx>
        <c:axId val="40688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937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46421</v>
      </c>
      <c r="G4" s="10"/>
      <c r="H4" s="10"/>
      <c r="J4" s="11" t="n">
        <v>0.95</v>
      </c>
      <c r="K4" s="11"/>
      <c r="L4" s="12" t="n">
        <v>32</v>
      </c>
      <c r="M4" s="12"/>
      <c r="N4" s="12" t="n">
        <v>99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46214</v>
      </c>
      <c r="O8" s="33" t="n">
        <v>46441</v>
      </c>
      <c r="P8" s="34" t="s">
        <v>75</v>
      </c>
      <c r="Q8" s="31" t="n">
        <v>102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46214</v>
      </c>
      <c r="O9" s="45" t="n">
        <v>46441</v>
      </c>
      <c r="P9" s="46" t="s">
        <v>75</v>
      </c>
      <c r="Q9" s="37" t="n">
        <v>102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46214</v>
      </c>
      <c r="O10" s="55" t="n">
        <v>46237</v>
      </c>
      <c r="P10" s="50" t="s">
        <v>75</v>
      </c>
      <c r="Q10" s="52" t="n">
        <v>11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46214</v>
      </c>
      <c r="O11" s="55" t="n">
        <v>46237</v>
      </c>
      <c r="P11" s="50" t="s">
        <v>75</v>
      </c>
      <c r="Q11" s="52" t="n">
        <v>11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46214</v>
      </c>
      <c r="O12" s="55" t="n">
        <v>46237</v>
      </c>
      <c r="P12" s="50" t="s">
        <v>75</v>
      </c>
      <c r="Q12" s="52" t="n">
        <v>11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46214</v>
      </c>
      <c r="O13" s="55" t="n">
        <v>46248</v>
      </c>
      <c r="P13" s="50" t="s">
        <v>75</v>
      </c>
      <c r="Q13" s="52" t="n">
        <v>15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46237</v>
      </c>
      <c r="O14" s="55" t="n">
        <v>46441</v>
      </c>
      <c r="P14" s="50" t="s">
        <v>75</v>
      </c>
      <c r="Q14" s="52" t="n">
        <v>102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46237</v>
      </c>
      <c r="O15" s="55" t="n">
        <v>46441</v>
      </c>
      <c r="P15" s="50" t="s">
        <v>75</v>
      </c>
      <c r="Q15" s="52" t="n">
        <v>102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46235</v>
      </c>
      <c r="O16" s="45" t="n">
        <v>46244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46235</v>
      </c>
      <c r="O17" s="55" t="n">
        <v>46237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46236</v>
      </c>
      <c r="O18" s="55" t="n">
        <v>46239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46238</v>
      </c>
      <c r="O19" s="55" t="n">
        <v>46241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46238</v>
      </c>
      <c r="O20" s="55" t="n">
        <v>46241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46239</v>
      </c>
      <c r="O21" s="55" t="n">
        <v>46242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46240</v>
      </c>
      <c r="O22" s="55" t="n">
        <v>46243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148</v>
      </c>
      <c r="N23" s="55" t="n">
        <v>46240</v>
      </c>
      <c r="O23" s="55" t="n">
        <v>46244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152</v>
      </c>
      <c r="N24" s="55" t="n">
        <v>46240</v>
      </c>
      <c r="O24" s="55" t="n">
        <v>46244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163</v>
      </c>
      <c r="N26" s="55" t="n">
        <v>46261</v>
      </c>
      <c r="O26" s="55" t="n">
        <v>46261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167</v>
      </c>
      <c r="N27" s="55" t="n">
        <v>46261</v>
      </c>
      <c r="O27" s="55" t="n">
        <v>46261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171</v>
      </c>
      <c r="N28" s="55" t="n">
        <v>46261</v>
      </c>
      <c r="O28" s="55" t="n">
        <v>46261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46214</v>
      </c>
      <c r="O29" s="33" t="n">
        <v>46421</v>
      </c>
      <c r="P29" s="34" t="s">
        <v>75</v>
      </c>
      <c r="Q29" s="31" t="n">
        <v>99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46214</v>
      </c>
      <c r="O30" s="45" t="n">
        <v>46214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181</v>
      </c>
      <c r="N31" s="55" t="n">
        <v>46214</v>
      </c>
      <c r="O31" s="55" t="n">
        <v>46214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185</v>
      </c>
      <c r="N32" s="55" t="n">
        <v>46214</v>
      </c>
      <c r="O32" s="55" t="n">
        <v>46214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189</v>
      </c>
      <c r="N33" s="55" t="n">
        <v>46214</v>
      </c>
      <c r="O33" s="55" t="n">
        <v>46214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46221</v>
      </c>
      <c r="O34" s="45" t="n">
        <v>46230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197</v>
      </c>
      <c r="N35" s="55" t="n">
        <v>46221</v>
      </c>
      <c r="O35" s="55" t="n">
        <v>46226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201</v>
      </c>
      <c r="N36" s="55" t="n">
        <v>46221</v>
      </c>
      <c r="O36" s="55" t="n">
        <v>46226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205</v>
      </c>
      <c r="N37" s="55" t="n">
        <v>46224</v>
      </c>
      <c r="O37" s="55" t="n">
        <v>46227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209</v>
      </c>
      <c r="N38" s="55" t="n">
        <v>46226</v>
      </c>
      <c r="O38" s="55" t="n">
        <v>46230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46244</v>
      </c>
      <c r="O39" s="45" t="n">
        <v>46244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217</v>
      </c>
      <c r="N40" s="55" t="n">
        <v>46244</v>
      </c>
      <c r="O40" s="55" t="n">
        <v>46244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221</v>
      </c>
      <c r="N41" s="55" t="n">
        <v>46244</v>
      </c>
      <c r="O41" s="55" t="n">
        <v>46244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225</v>
      </c>
      <c r="N42" s="55" t="n">
        <v>46244</v>
      </c>
      <c r="O42" s="55" t="n">
        <v>46244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46221</v>
      </c>
      <c r="O43" s="45" t="n">
        <v>46234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234</v>
      </c>
      <c r="N44" s="55" t="n">
        <v>46221</v>
      </c>
      <c r="O44" s="55" t="n">
        <v>46224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238</v>
      </c>
      <c r="N45" s="55" t="n">
        <v>46222</v>
      </c>
      <c r="O45" s="55" t="n">
        <v>46228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242</v>
      </c>
      <c r="N46" s="55" t="n">
        <v>46228</v>
      </c>
      <c r="O46" s="55" t="n">
        <v>46234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46277</v>
      </c>
      <c r="J47" s="41" t="n">
        <v>46277</v>
      </c>
      <c r="K47" s="42"/>
      <c r="L47" s="42" t="n">
        <v>46300</v>
      </c>
      <c r="M47" s="43"/>
      <c r="N47" s="44" t="n">
        <v>46300</v>
      </c>
      <c r="O47" s="45" t="n">
        <v>46300</v>
      </c>
      <c r="P47" s="46" t="s">
        <v>60</v>
      </c>
      <c r="Q47" s="37" t="n">
        <v>23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46277</v>
      </c>
      <c r="J48" s="53" t="n">
        <v>46277</v>
      </c>
      <c r="K48" s="52"/>
      <c r="L48" s="52"/>
      <c r="M48" s="54" t="s">
        <v>251</v>
      </c>
      <c r="N48" s="55" t="n">
        <v>46300</v>
      </c>
      <c r="O48" s="55" t="n">
        <v>46300</v>
      </c>
      <c r="P48" s="50" t="s">
        <v>124</v>
      </c>
      <c r="Q48" s="52" t="n">
        <v>23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46277</v>
      </c>
      <c r="J49" s="53" t="n">
        <v>46277</v>
      </c>
      <c r="K49" s="52"/>
      <c r="L49" s="52"/>
      <c r="M49" s="54" t="s">
        <v>255</v>
      </c>
      <c r="N49" s="55" t="n">
        <v>46300</v>
      </c>
      <c r="O49" s="55" t="n">
        <v>46300</v>
      </c>
      <c r="P49" s="50" t="s">
        <v>124</v>
      </c>
      <c r="Q49" s="52" t="n">
        <v>23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46278</v>
      </c>
      <c r="J50" s="41" t="n">
        <v>46307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36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46277</v>
      </c>
      <c r="J51" s="53" t="n">
        <v>46277</v>
      </c>
      <c r="K51" s="52"/>
      <c r="L51" s="52"/>
      <c r="M51" s="54" t="s">
        <v>262</v>
      </c>
      <c r="N51" s="55" t="n">
        <v>46300</v>
      </c>
      <c r="O51" s="55" t="n">
        <v>46300</v>
      </c>
      <c r="P51" s="50" t="s">
        <v>124</v>
      </c>
      <c r="Q51" s="52" t="n">
        <v>23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46278</v>
      </c>
      <c r="J57" s="41" t="n">
        <v>46298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31</v>
      </c>
      <c r="R57" s="39"/>
      <c r="S57" s="39" t="n">
        <v>1</v>
      </c>
      <c r="T57" s="39" t="s">
        <v>76</v>
      </c>
      <c r="U57" s="58" t="n">
        <v>46307.0057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46330</v>
      </c>
      <c r="O58" s="45" t="n">
        <v>46336</v>
      </c>
      <c r="P58" s="46" t="s">
        <v>287</v>
      </c>
      <c r="Q58" s="37" t="n">
        <v>31</v>
      </c>
      <c r="R58" s="39"/>
      <c r="S58" s="39" t="n">
        <v>1</v>
      </c>
      <c r="T58" s="39" t="s">
        <v>288</v>
      </c>
      <c r="U58" s="58" t="n">
        <v>46330.0058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46377</v>
      </c>
      <c r="O59" s="45" t="n">
        <v>46377</v>
      </c>
      <c r="P59" s="46" t="s">
        <v>287</v>
      </c>
      <c r="Q59" s="37" t="n">
        <v>71</v>
      </c>
      <c r="R59" s="39"/>
      <c r="S59" s="39" t="n">
        <v>1</v>
      </c>
      <c r="T59" s="39" t="s">
        <v>288</v>
      </c>
      <c r="U59" s="58" t="n">
        <v>46377.0059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46380</v>
      </c>
      <c r="O60" s="60" t="n">
        <v>46421</v>
      </c>
      <c r="P60" s="46" t="s">
        <v>287</v>
      </c>
      <c r="Q60" s="37" t="n">
        <v>99</v>
      </c>
      <c r="R60" s="39"/>
      <c r="S60" s="39" t="n">
        <v>1</v>
      </c>
      <c r="T60" s="39" t="s">
        <v>288</v>
      </c>
      <c r="U60" s="58" t="n">
        <v>46380.006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46224</v>
      </c>
      <c r="O61" s="33" t="n">
        <v>46281</v>
      </c>
      <c r="P61" s="34" t="s">
        <v>60</v>
      </c>
      <c r="Q61" s="31" t="n">
        <v>5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40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46224</v>
      </c>
      <c r="O62" s="45" t="n">
        <v>46263</v>
      </c>
      <c r="P62" s="46" t="s">
        <v>115</v>
      </c>
      <c r="Q62" s="37" t="n">
        <v>-1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307</v>
      </c>
      <c r="N63" s="55" t="n">
        <v>46224</v>
      </c>
      <c r="O63" s="55" t="n">
        <v>46228</v>
      </c>
      <c r="P63" s="50" t="s">
        <v>124</v>
      </c>
      <c r="Q63" s="52" t="n">
        <v>-21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311</v>
      </c>
      <c r="N64" s="55" t="n">
        <v>46224</v>
      </c>
      <c r="O64" s="55" t="n">
        <v>46232</v>
      </c>
      <c r="P64" s="50" t="s">
        <v>124</v>
      </c>
      <c r="Q64" s="52" t="n">
        <v>-18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315</v>
      </c>
      <c r="N65" s="55" t="n">
        <v>46228</v>
      </c>
      <c r="O65" s="55" t="n">
        <v>46244</v>
      </c>
      <c r="P65" s="50" t="s">
        <v>124</v>
      </c>
      <c r="Q65" s="52" t="n">
        <v>-11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319</v>
      </c>
      <c r="N66" s="55" t="n">
        <v>46240</v>
      </c>
      <c r="O66" s="55" t="n">
        <v>46257</v>
      </c>
      <c r="P66" s="50" t="s">
        <v>124</v>
      </c>
      <c r="Q66" s="52" t="n">
        <v>-4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323</v>
      </c>
      <c r="N67" s="55" t="n">
        <v>46247</v>
      </c>
      <c r="O67" s="55" t="n">
        <v>46261</v>
      </c>
      <c r="P67" s="50" t="s">
        <v>124</v>
      </c>
      <c r="Q67" s="52" t="n">
        <v>-2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327</v>
      </c>
      <c r="N68" s="55" t="n">
        <v>46255</v>
      </c>
      <c r="O68" s="55" t="n">
        <v>46263</v>
      </c>
      <c r="P68" s="50" t="s">
        <v>124</v>
      </c>
      <c r="Q68" s="52" t="n">
        <v>-1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331</v>
      </c>
      <c r="N69" s="55" t="n">
        <v>46261</v>
      </c>
      <c r="O69" s="55" t="n">
        <v>46263</v>
      </c>
      <c r="P69" s="50" t="s">
        <v>124</v>
      </c>
      <c r="Q69" s="52" t="n">
        <v>-1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46271</v>
      </c>
      <c r="O70" s="45" t="n">
        <v>46274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339</v>
      </c>
      <c r="N71" s="55" t="n">
        <v>46271</v>
      </c>
      <c r="O71" s="55" t="n">
        <v>46272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343</v>
      </c>
      <c r="N72" s="55" t="n">
        <v>46272</v>
      </c>
      <c r="O72" s="55" t="n">
        <v>46273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347</v>
      </c>
      <c r="N73" s="55" t="n">
        <v>46272</v>
      </c>
      <c r="O73" s="55" t="n">
        <v>46273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351</v>
      </c>
      <c r="N74" s="55" t="n">
        <v>46273</v>
      </c>
      <c r="O74" s="55" t="n">
        <v>46274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355</v>
      </c>
      <c r="N75" s="55" t="n">
        <v>46273</v>
      </c>
      <c r="O75" s="55" t="n">
        <v>46274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16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46259</v>
      </c>
      <c r="O76" s="45" t="n">
        <v>46274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363</v>
      </c>
      <c r="N77" s="55" t="n">
        <v>46259</v>
      </c>
      <c r="O77" s="55" t="n">
        <v>46264</v>
      </c>
      <c r="P77" s="50" t="s">
        <v>124</v>
      </c>
      <c r="Q77" s="52" t="n">
        <v>-4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367</v>
      </c>
      <c r="N78" s="55" t="n">
        <v>46261</v>
      </c>
      <c r="O78" s="55" t="n">
        <v>46272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371</v>
      </c>
      <c r="N79" s="55" t="n">
        <v>46265</v>
      </c>
      <c r="O79" s="55" t="n">
        <v>46273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375</v>
      </c>
      <c r="N80" s="55" t="n">
        <v>46271</v>
      </c>
      <c r="O80" s="55" t="n">
        <v>46274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379</v>
      </c>
      <c r="N81" s="55" t="n">
        <v>46273</v>
      </c>
      <c r="O81" s="55" t="n">
        <v>46274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46269</v>
      </c>
      <c r="O82" s="45" t="n">
        <v>46271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387</v>
      </c>
      <c r="N83" s="55" t="n">
        <v>46269</v>
      </c>
      <c r="O83" s="55" t="n">
        <v>46270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391</v>
      </c>
      <c r="N84" s="55" t="n">
        <v>46270</v>
      </c>
      <c r="O84" s="55" t="n">
        <v>46271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46269</v>
      </c>
      <c r="O85" s="45" t="n">
        <v>46272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399</v>
      </c>
      <c r="N86" s="55" t="n">
        <v>46269</v>
      </c>
      <c r="O86" s="55" t="n">
        <v>46271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403</v>
      </c>
      <c r="N87" s="55" t="n">
        <v>46270</v>
      </c>
      <c r="O87" s="55" t="n">
        <v>46272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407</v>
      </c>
      <c r="N88" s="55" t="n">
        <v>46271</v>
      </c>
      <c r="O88" s="55" t="n">
        <v>46272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411</v>
      </c>
      <c r="N89" s="55" t="n">
        <v>46272</v>
      </c>
      <c r="O89" s="55" t="n">
        <v>46272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46270</v>
      </c>
      <c r="O90" s="45" t="n">
        <v>46273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8" t="s">
        <v>416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420</v>
      </c>
      <c r="N91" s="55" t="n">
        <v>46270</v>
      </c>
      <c r="O91" s="55" t="n">
        <v>46272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416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424</v>
      </c>
      <c r="N92" s="55" t="n">
        <v>46272</v>
      </c>
      <c r="O92" s="55" t="n">
        <v>46273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416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428</v>
      </c>
      <c r="N93" s="55" t="n">
        <v>46270</v>
      </c>
      <c r="O93" s="55" t="n">
        <v>46272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416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432</v>
      </c>
      <c r="N94" s="55" t="n">
        <v>46272</v>
      </c>
      <c r="O94" s="55" t="n">
        <v>46273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416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436</v>
      </c>
      <c r="N95" s="55" t="n">
        <v>46273</v>
      </c>
      <c r="O95" s="55" t="n">
        <v>46273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416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46271</v>
      </c>
      <c r="O96" s="45" t="n">
        <v>46273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8" t="s">
        <v>416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443</v>
      </c>
      <c r="N97" s="55" t="n">
        <v>46271</v>
      </c>
      <c r="O97" s="55" t="n">
        <v>46273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416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447</v>
      </c>
      <c r="N98" s="55" t="n">
        <v>46272</v>
      </c>
      <c r="O98" s="55" t="n">
        <v>46273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416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451</v>
      </c>
      <c r="N99" s="55" t="n">
        <v>46273</v>
      </c>
      <c r="O99" s="55" t="n">
        <v>46273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416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300</v>
      </c>
      <c r="E100" s="40" t="n">
        <v>5</v>
      </c>
      <c r="F100" s="39" t="s">
        <v>455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46272</v>
      </c>
      <c r="O100" s="45" t="n">
        <v>46274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8" t="s">
        <v>416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46272</v>
      </c>
      <c r="O101" s="55" t="n">
        <v>46272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416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462</v>
      </c>
      <c r="N102" s="55" t="n">
        <v>46272</v>
      </c>
      <c r="O102" s="55" t="n">
        <v>46273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416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466</v>
      </c>
      <c r="Q103" s="52"/>
      <c r="R103" s="52"/>
      <c r="S103" s="52" t="n">
        <v>2</v>
      </c>
      <c r="T103" s="52" t="s">
        <v>467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471</v>
      </c>
      <c r="N104" s="55" t="n">
        <v>46273</v>
      </c>
      <c r="O104" s="55" t="n">
        <v>46274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416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475</v>
      </c>
      <c r="N105" s="55" t="n">
        <v>46273</v>
      </c>
      <c r="O105" s="55" t="n">
        <v>46274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416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479</v>
      </c>
      <c r="N106" s="55" t="n">
        <v>46274</v>
      </c>
      <c r="O106" s="55" t="n">
        <v>46274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416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300</v>
      </c>
      <c r="E107" s="40" t="n">
        <v>2.5</v>
      </c>
      <c r="F107" s="39" t="s">
        <v>455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46274</v>
      </c>
      <c r="O107" s="45" t="n">
        <v>46275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8" t="s">
        <v>416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486</v>
      </c>
      <c r="N108" s="55" t="n">
        <v>46274</v>
      </c>
      <c r="O108" s="55" t="n">
        <v>46275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416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490</v>
      </c>
      <c r="N109" s="55" t="n">
        <v>46275</v>
      </c>
      <c r="O109" s="55" t="n">
        <v>46275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416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494</v>
      </c>
      <c r="N110" s="55" t="n">
        <v>46274</v>
      </c>
      <c r="O110" s="55" t="n">
        <v>46275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416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46281</v>
      </c>
      <c r="M111" s="43"/>
      <c r="N111" s="44" t="n">
        <v>46281</v>
      </c>
      <c r="O111" s="45" t="n">
        <v>46281</v>
      </c>
      <c r="P111" s="46" t="s">
        <v>60</v>
      </c>
      <c r="Q111" s="37" t="n">
        <v>5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502</v>
      </c>
      <c r="N112" s="55" t="n">
        <v>46281</v>
      </c>
      <c r="O112" s="55" t="n">
        <v>46281</v>
      </c>
      <c r="P112" s="50" t="s">
        <v>124</v>
      </c>
      <c r="Q112" s="52" t="n">
        <v>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506</v>
      </c>
      <c r="N113" s="55" t="n">
        <v>46281</v>
      </c>
      <c r="O113" s="55" t="n">
        <v>46281</v>
      </c>
      <c r="P113" s="50" t="s">
        <v>124</v>
      </c>
      <c r="Q113" s="52" t="n">
        <v>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46273</v>
      </c>
      <c r="O114" s="33" t="n">
        <v>46441</v>
      </c>
      <c r="P114" s="34" t="s">
        <v>75</v>
      </c>
      <c r="Q114" s="31" t="n">
        <v>102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46373</v>
      </c>
      <c r="O115" s="45" t="n">
        <v>46373</v>
      </c>
      <c r="P115" s="46" t="s">
        <v>287</v>
      </c>
      <c r="Q115" s="37" t="n">
        <v>94</v>
      </c>
      <c r="R115" s="39"/>
      <c r="S115" s="39" t="n">
        <v>1</v>
      </c>
      <c r="T115" s="39" t="s">
        <v>288</v>
      </c>
      <c r="U115" s="58" t="n">
        <v>46373.0115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516</v>
      </c>
      <c r="N116" s="55" t="n">
        <v>46373</v>
      </c>
      <c r="O116" s="55" t="n">
        <v>46373</v>
      </c>
      <c r="P116" s="50" t="s">
        <v>287</v>
      </c>
      <c r="Q116" s="52" t="n">
        <v>96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520</v>
      </c>
      <c r="N117" s="55" t="n">
        <v>46373</v>
      </c>
      <c r="O117" s="55" t="n">
        <v>46373</v>
      </c>
      <c r="P117" s="50" t="s">
        <v>287</v>
      </c>
      <c r="Q117" s="52" t="n">
        <v>95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524</v>
      </c>
      <c r="N118" s="55" t="n">
        <v>46373</v>
      </c>
      <c r="O118" s="55" t="n">
        <v>46373</v>
      </c>
      <c r="P118" s="50" t="s">
        <v>287</v>
      </c>
      <c r="Q118" s="52" t="n">
        <v>95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528</v>
      </c>
      <c r="N119" s="55" t="n">
        <v>46373</v>
      </c>
      <c r="O119" s="55" t="n">
        <v>46373</v>
      </c>
      <c r="P119" s="50" t="s">
        <v>287</v>
      </c>
      <c r="Q119" s="52" t="n">
        <v>95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532</v>
      </c>
      <c r="N120" s="55" t="n">
        <v>46373</v>
      </c>
      <c r="O120" s="55" t="n">
        <v>46373</v>
      </c>
      <c r="P120" s="50" t="s">
        <v>287</v>
      </c>
      <c r="Q120" s="52" t="n">
        <v>94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536</v>
      </c>
      <c r="N121" s="55" t="n">
        <v>46373</v>
      </c>
      <c r="O121" s="55" t="n">
        <v>46373</v>
      </c>
      <c r="P121" s="50" t="s">
        <v>287</v>
      </c>
      <c r="Q121" s="52" t="n">
        <v>94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46342</v>
      </c>
      <c r="O122" s="45" t="n">
        <v>46342</v>
      </c>
      <c r="P122" s="46" t="s">
        <v>287</v>
      </c>
      <c r="Q122" s="37" t="n">
        <v>63</v>
      </c>
      <c r="R122" s="39"/>
      <c r="S122" s="39" t="n">
        <v>1</v>
      </c>
      <c r="T122" s="39" t="s">
        <v>288</v>
      </c>
      <c r="U122" s="58" t="n">
        <v>46342.0122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8" t="s">
        <v>542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46273</v>
      </c>
      <c r="L123" s="42" t="n">
        <v>25461</v>
      </c>
      <c r="M123" s="43"/>
      <c r="N123" s="44" t="n">
        <v>46273</v>
      </c>
      <c r="O123" s="45" t="n">
        <v>25461</v>
      </c>
      <c r="P123" s="46" t="s">
        <v>60</v>
      </c>
      <c r="Q123" s="37" t="n">
        <v>-20820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46427</v>
      </c>
      <c r="O124" s="45" t="n">
        <v>46441</v>
      </c>
      <c r="P124" s="46" t="s">
        <v>287</v>
      </c>
      <c r="Q124" s="37" t="n">
        <v>102</v>
      </c>
      <c r="R124" s="39"/>
      <c r="S124" s="39" t="n">
        <v>1</v>
      </c>
      <c r="T124" s="39" t="s">
        <v>288</v>
      </c>
      <c r="U124" s="58" t="n">
        <v>46427.0124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551</v>
      </c>
      <c r="N125" s="55" t="n">
        <v>46427</v>
      </c>
      <c r="O125" s="55" t="n">
        <v>46431</v>
      </c>
      <c r="P125" s="50" t="s">
        <v>287</v>
      </c>
      <c r="Q125" s="52" t="n">
        <v>101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555</v>
      </c>
      <c r="N126" s="55" t="n">
        <v>46430</v>
      </c>
      <c r="O126" s="55" t="n">
        <v>46438</v>
      </c>
      <c r="P126" s="50" t="s">
        <v>287</v>
      </c>
      <c r="Q126" s="52" t="n">
        <v>102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559</v>
      </c>
      <c r="N127" s="55" t="n">
        <v>46438</v>
      </c>
      <c r="O127" s="55" t="n">
        <v>46441</v>
      </c>
      <c r="P127" s="50" t="s">
        <v>287</v>
      </c>
      <c r="Q127" s="52" t="n">
        <v>102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 t="n">
        <v>46321</v>
      </c>
      <c r="M128" s="43"/>
      <c r="N128" s="44" t="n">
        <v>46321</v>
      </c>
      <c r="O128" s="45" t="n">
        <v>46321</v>
      </c>
      <c r="P128" s="46" t="s">
        <v>562</v>
      </c>
      <c r="Q128" s="37" t="n">
        <v>32</v>
      </c>
      <c r="R128" s="39"/>
      <c r="S128" s="39" t="n">
        <v>1</v>
      </c>
      <c r="T128" s="39" t="s">
        <v>563</v>
      </c>
      <c r="U128" s="58" t="n">
        <v>46321.0128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/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46322</v>
      </c>
      <c r="O129" s="45" t="n">
        <v>46322</v>
      </c>
      <c r="P129" s="46" t="s">
        <v>287</v>
      </c>
      <c r="Q129" s="37" t="n">
        <v>33</v>
      </c>
      <c r="R129" s="39"/>
      <c r="S129" s="39" t="n">
        <v>1</v>
      </c>
      <c r="T129" s="39" t="s">
        <v>288</v>
      </c>
      <c r="U129" s="58" t="n">
        <v>46322.0129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/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46322</v>
      </c>
      <c r="O130" s="45" t="n">
        <v>46328</v>
      </c>
      <c r="P130" s="46" t="s">
        <v>287</v>
      </c>
      <c r="Q130" s="37" t="n">
        <v>39</v>
      </c>
      <c r="R130" s="39"/>
      <c r="S130" s="39" t="n">
        <v>1</v>
      </c>
      <c r="T130" s="39" t="s">
        <v>288</v>
      </c>
      <c r="U130" s="58" t="n">
        <v>46322.013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569</v>
      </c>
      <c r="B131" s="39" t="s">
        <v>570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46422</v>
      </c>
      <c r="O131" s="45" t="n">
        <v>46426</v>
      </c>
      <c r="P131" s="46" t="s">
        <v>287</v>
      </c>
      <c r="Q131" s="37" t="n">
        <v>101</v>
      </c>
      <c r="R131" s="39"/>
      <c r="S131" s="39" t="n">
        <v>1</v>
      </c>
      <c r="T131" s="39" t="s">
        <v>288</v>
      </c>
      <c r="U131" s="58" t="n">
        <v>46422.0131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571</v>
      </c>
      <c r="D134" s="6" t="s">
        <v>572</v>
      </c>
    </row>
    <row r="135" customFormat="false" ht="15" hidden="false" customHeight="true" outlineLevel="0" collapsed="false">
      <c r="B135" s="63" t="s">
        <v>573</v>
      </c>
      <c r="D135" s="63" t="s">
        <v>574</v>
      </c>
      <c r="E135" s="63" t="s">
        <v>575</v>
      </c>
      <c r="I135" s="64" t="s">
        <v>576</v>
      </c>
      <c r="J135" s="64" t="s">
        <v>577</v>
      </c>
      <c r="K135" s="64" t="s">
        <v>578</v>
      </c>
      <c r="L135" s="64" t="s">
        <v>579</v>
      </c>
      <c r="O135" s="63" t="s">
        <v>580</v>
      </c>
      <c r="P135" s="63" t="s">
        <v>581</v>
      </c>
    </row>
    <row r="136" customFormat="false" ht="15" hidden="false" customHeight="true" outlineLevel="0" collapsed="false">
      <c r="B136" s="65" t="s">
        <v>582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583</v>
      </c>
    </row>
    <row r="137" customFormat="false" ht="15" hidden="false" customHeight="true" outlineLevel="0" collapsed="false">
      <c r="B137" s="65" t="s">
        <v>584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585</v>
      </c>
    </row>
    <row r="138" customFormat="false" ht="15" hidden="false" customHeight="true" outlineLevel="0" collapsed="false">
      <c r="B138" s="65" t="s">
        <v>586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587</v>
      </c>
    </row>
    <row r="139" customFormat="false" ht="15" hidden="false" customHeight="true" outlineLevel="0" collapsed="false">
      <c r="B139" s="65" t="s">
        <v>588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7" t="s">
        <v>596</v>
      </c>
    </row>
    <row r="146" customFormat="false" ht="15" hidden="false" customHeight="true" outlineLevel="0" collapsed="false">
      <c r="B146" s="17" t="s">
        <v>597</v>
      </c>
      <c r="D146" s="78" t="s">
        <v>598</v>
      </c>
      <c r="E146" s="78"/>
      <c r="F146" s="78"/>
      <c r="G146" s="78"/>
      <c r="H146" s="78"/>
      <c r="I146" s="78"/>
      <c r="J146" s="78"/>
      <c r="K146" s="19" t="s">
        <v>599</v>
      </c>
    </row>
    <row r="147" customFormat="false" ht="15" hidden="false" customHeight="true" outlineLevel="0" collapsed="false">
      <c r="B147" s="79" t="s">
        <v>600</v>
      </c>
      <c r="E147" s="80" t="s">
        <v>601</v>
      </c>
      <c r="I147" s="79" t="s">
        <v>602</v>
      </c>
    </row>
    <row r="148" customFormat="false" ht="24" hidden="false" customHeight="true" outlineLevel="0" collapsed="false">
      <c r="A148" s="81" t="s">
        <v>603</v>
      </c>
      <c r="B148" s="82" t="s">
        <v>604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605</v>
      </c>
      <c r="B149" s="82" t="s">
        <v>606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607</v>
      </c>
      <c r="B150" s="82" t="s">
        <v>608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609</v>
      </c>
      <c r="B151" s="82" t="s">
        <v>610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611</v>
      </c>
      <c r="B152" s="82" t="s">
        <v>612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613</v>
      </c>
      <c r="B153" s="82" t="s">
        <v>614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647</v>
      </c>
      <c r="C8" s="95" t="s">
        <v>648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46214</v>
      </c>
      <c r="F9" s="99" t="n">
        <v>46214</v>
      </c>
      <c r="G9" s="100"/>
      <c r="H9" s="101"/>
      <c r="I9" s="101"/>
      <c r="J9" s="101"/>
      <c r="K9" s="101"/>
      <c r="L9" s="101"/>
      <c r="M9" s="101"/>
      <c r="N9" s="101"/>
      <c r="O9" s="101" t="n">
        <v>0.5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650</v>
      </c>
      <c r="C10" s="95" t="s">
        <v>648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46221</v>
      </c>
      <c r="F11" s="99" t="n">
        <v>46230</v>
      </c>
      <c r="G11" s="100"/>
      <c r="H11" s="101"/>
      <c r="I11" s="101"/>
      <c r="J11" s="101"/>
      <c r="K11" s="101"/>
      <c r="L11" s="101"/>
      <c r="M11" s="101"/>
      <c r="N11" s="101"/>
      <c r="O11" s="101"/>
      <c r="P11" s="101" t="n">
        <v>0.3333</v>
      </c>
      <c r="Q11" s="101" t="n">
        <v>0.3333</v>
      </c>
      <c r="R11" s="101" t="n">
        <v>0.3333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651</v>
      </c>
      <c r="C12" s="95" t="s">
        <v>648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46244</v>
      </c>
      <c r="F13" s="99" t="n">
        <v>46244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 t="n">
        <v>0.5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652</v>
      </c>
      <c r="C14" s="95" t="s">
        <v>648</v>
      </c>
      <c r="D14" s="96" t="n">
        <v>1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0.5</v>
      </c>
      <c r="R14" s="98" t="n">
        <f aca="false">IF($E14="",0,IF(R$6+6&lt;$E14,0,IF(R$6&gt;$F14,0,$D14*(IF(R$6+6&lt;$F14,R$6+6,$F14)-IF(R$6&gt;$E14,R$6,$E14)+1)/($F14-$E14+1))))</f>
        <v>0.357142857142857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0.3333</v>
      </c>
      <c r="Q15" s="101" t="n">
        <v>0.3333</v>
      </c>
      <c r="R15" s="101" t="n">
        <v>0.3333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653</v>
      </c>
      <c r="C16" s="95" t="s">
        <v>648</v>
      </c>
      <c r="D16" s="96" t="n">
        <v>1</v>
      </c>
      <c r="E16" s="97" t="n">
        <v>46277</v>
      </c>
      <c r="F16" s="97" t="n">
        <v>46277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1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46300</v>
      </c>
      <c r="F17" s="99" t="n">
        <v>46300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 t="n">
        <v>1</v>
      </c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0.0434782608695652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0.152173913043478</v>
      </c>
      <c r="AE20" s="98" t="n">
        <f aca="false">IF($E20="",0,IF(AE$6+6&lt;$E20,0,IF(AE$6&gt;$F20,0,$D20*(IF(AE$6+6&lt;$F20,AE$6+6,$F20)-IF(AE$6&gt;$E20,AE$6,$E20)+1)/($F20-$E20+1))))</f>
        <v>0.0434782608695652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657</v>
      </c>
      <c r="C23" s="95" t="s">
        <v>648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46224</v>
      </c>
      <c r="F24" s="99" t="n">
        <v>46263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3.3333</v>
      </c>
      <c r="R24" s="101" t="n">
        <v>3.3333</v>
      </c>
      <c r="S24" s="101" t="n">
        <v>3.3333</v>
      </c>
      <c r="T24" s="101" t="n">
        <v>3.3333</v>
      </c>
      <c r="U24" s="101" t="n">
        <v>3.3333</v>
      </c>
      <c r="V24" s="101" t="n">
        <v>3.3333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658</v>
      </c>
      <c r="C25" s="95" t="s">
        <v>648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46271</v>
      </c>
      <c r="F26" s="99" t="n">
        <v>46274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5</v>
      </c>
      <c r="X26" s="101" t="n">
        <v>5</v>
      </c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659</v>
      </c>
      <c r="C27" s="95" t="s">
        <v>648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46259</v>
      </c>
      <c r="F28" s="99" t="n">
        <v>46274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 t="n">
        <v>6.6667</v>
      </c>
      <c r="W28" s="101" t="n">
        <v>6.6667</v>
      </c>
      <c r="X28" s="101" t="n">
        <v>6.6667</v>
      </c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660</v>
      </c>
      <c r="C29" s="95" t="s">
        <v>648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46269</v>
      </c>
      <c r="F30" s="99" t="n">
        <v>46271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 t="n">
        <v>2.5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661</v>
      </c>
      <c r="C31" s="95" t="s">
        <v>648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46269</v>
      </c>
      <c r="F32" s="99" t="n">
        <v>46272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 t="n">
        <v>7.5</v>
      </c>
      <c r="X32" s="101" t="n">
        <v>7.5</v>
      </c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662</v>
      </c>
      <c r="C33" s="95" t="s">
        <v>648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46270</v>
      </c>
      <c r="F34" s="99" t="n">
        <v>46273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 t="n">
        <v>5</v>
      </c>
      <c r="X34" s="101" t="n">
        <v>5</v>
      </c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663</v>
      </c>
      <c r="C35" s="95" t="s">
        <v>648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46271</v>
      </c>
      <c r="F36" s="99" t="n">
        <v>46273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2.5</v>
      </c>
      <c r="X36" s="101" t="n">
        <v>2.5</v>
      </c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664</v>
      </c>
      <c r="C37" s="95" t="s">
        <v>648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46272</v>
      </c>
      <c r="F38" s="99" t="n">
        <v>46274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 t="n">
        <v>5</v>
      </c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665</v>
      </c>
      <c r="C39" s="95" t="s">
        <v>648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46274</v>
      </c>
      <c r="F40" s="99" t="n">
        <v>46275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 t="n">
        <v>2.5</v>
      </c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667</v>
      </c>
      <c r="C42" s="95" t="s">
        <v>648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668</v>
      </c>
      <c r="C44" s="95" t="s">
        <v>648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0.342857142857143</v>
      </c>
      <c r="Q47" s="103" t="n">
        <f aca="false">SUMIF($C$7:$C$45,"Plan",Q$7:Q$45)</f>
        <v>1.2</v>
      </c>
      <c r="R47" s="103" t="n">
        <f aca="false">SUMIF($C$7:$C$45,"Plan",R$7:R$45)</f>
        <v>0.457142857142857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21.3053830227743</v>
      </c>
      <c r="Y47" s="103" t="n">
        <f aca="false">SUMIF($C$7:$C$45,"Plan",Y$7:Y$45)</f>
        <v>0.985507246376812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0.152173913043478</v>
      </c>
      <c r="AE47" s="103" t="n">
        <f aca="false">SUMIF($C$7:$C$45,"Plan",AE$7:AE$45)</f>
        <v>0.400621118012422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0.6666</v>
      </c>
      <c r="Q48" s="103" t="n">
        <f aca="false">SUMIF($C$7:$C$45,"Actual",Q$7:Q$45)</f>
        <v>3.9999</v>
      </c>
      <c r="R48" s="103" t="n">
        <f aca="false">SUMIF($C$7:$C$45,"Actual",R$7:R$45)</f>
        <v>3.9999</v>
      </c>
      <c r="S48" s="103" t="n">
        <f aca="false">SUMIF($C$7:$C$45,"Actual",S$7:S$45)</f>
        <v>3.3333</v>
      </c>
      <c r="T48" s="103" t="n">
        <f aca="false">SUMIF($C$7:$C$45,"Actual",T$7:T$45)</f>
        <v>3.8333</v>
      </c>
      <c r="U48" s="103" t="n">
        <f aca="false">SUMIF($C$7:$C$45,"Actual",U$7:U$45)</f>
        <v>3.3333</v>
      </c>
      <c r="V48" s="103" t="n">
        <f aca="false">SUMIF($C$7:$C$45,"Actual",V$7:V$45)</f>
        <v>10</v>
      </c>
      <c r="W48" s="103" t="n">
        <f aca="false">SUMIF($C$7:$C$45,"Actual",W$7:W$45)</f>
        <v>29.1667</v>
      </c>
      <c r="X48" s="103" t="n">
        <f aca="false">SUMIF($C$7:$C$45,"Actual",X$7:X$45)</f>
        <v>34.1667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1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0.842857142857143</v>
      </c>
      <c r="Q49" s="105" t="n">
        <f aca="false">P49+Q47</f>
        <v>2.04285714285714</v>
      </c>
      <c r="R49" s="105" t="n">
        <f aca="false">Q49+R47</f>
        <v>2.5</v>
      </c>
      <c r="S49" s="105" t="n">
        <f aca="false">R49+S47</f>
        <v>2.5</v>
      </c>
      <c r="T49" s="105" t="n">
        <f aca="false">S49+T47</f>
        <v>7.44444444444445</v>
      </c>
      <c r="U49" s="105" t="n">
        <f aca="false">T49+U47</f>
        <v>15.2222222222222</v>
      </c>
      <c r="V49" s="105" t="n">
        <f aca="false">U49+V47</f>
        <v>25.6666666666667</v>
      </c>
      <c r="W49" s="105" t="n">
        <f aca="false">V49+W47</f>
        <v>74.4047619047619</v>
      </c>
      <c r="X49" s="105" t="n">
        <f aca="false">W49+X47</f>
        <v>95.7101449275362</v>
      </c>
      <c r="Y49" s="105" t="n">
        <f aca="false">X49+Y47</f>
        <v>96.695652173913</v>
      </c>
      <c r="Z49" s="105" t="n">
        <f aca="false">Y49+Z47</f>
        <v>96.8478260869565</v>
      </c>
      <c r="AA49" s="105" t="n">
        <f aca="false">Z49+AA47</f>
        <v>97</v>
      </c>
      <c r="AB49" s="105" t="n">
        <f aca="false">AA49+AB47</f>
        <v>97.1521739130435</v>
      </c>
      <c r="AC49" s="105" t="n">
        <f aca="false">AB49+AC47</f>
        <v>97.304347826087</v>
      </c>
      <c r="AD49" s="105" t="n">
        <f aca="false">AC49+AD47</f>
        <v>97.4565217391305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1.1666</v>
      </c>
      <c r="Q50" s="105" t="n">
        <f aca="false">IF(Q$6&gt;46314,"",P50+Q48)</f>
        <v>5.1665</v>
      </c>
      <c r="R50" s="105" t="n">
        <f aca="false">IF(R$6&gt;46314,"",Q50+R48)</f>
        <v>9.1664</v>
      </c>
      <c r="S50" s="105" t="n">
        <f aca="false">IF(S$6&gt;46314,"",R50+S48)</f>
        <v>12.4997</v>
      </c>
      <c r="T50" s="105" t="n">
        <f aca="false">IF(T$6&gt;46314,"",S50+T48)</f>
        <v>16.333</v>
      </c>
      <c r="U50" s="105" t="n">
        <f aca="false">IF(U$6&gt;46314,"",T50+U48)</f>
        <v>19.6663</v>
      </c>
      <c r="V50" s="105" t="n">
        <f aca="false">IF(V$6&gt;46314,"",U50+V48)</f>
        <v>29.6663</v>
      </c>
      <c r="W50" s="105" t="n">
        <f aca="false">IF(W$6&gt;46314,"",V50+W48)</f>
        <v>58.833</v>
      </c>
      <c r="X50" s="105" t="n">
        <f aca="false">IF(X$6&gt;46314,"",W50+X48)</f>
        <v>92.9997</v>
      </c>
      <c r="Y50" s="105" t="n">
        <f aca="false">IF(Y$6&gt;46314,"",X50+Y48)</f>
        <v>92.9997</v>
      </c>
      <c r="Z50" s="105" t="n">
        <f aca="false">IF(Z$6&gt;46314,"",Y50+Z48)</f>
        <v>92.9997</v>
      </c>
      <c r="AA50" s="105" t="n">
        <f aca="false">IF(AA$6&gt;46314,"",Z50+AA48)</f>
        <v>92.9997</v>
      </c>
      <c r="AB50" s="105" t="n">
        <f aca="false">IF(AB$6&gt;46314,"",AA50+AB48)</f>
        <v>93.9997</v>
      </c>
      <c r="AC50" s="105" t="n">
        <f aca="false">IF(AC$6&gt;46314,"",AB50+AC48)</f>
        <v>94.4997</v>
      </c>
      <c r="AD50" s="105" t="n">
        <f aca="false">IF(AD$6&gt;46314,"",AC50+AD48)</f>
        <v>94.9997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2026-10-26T04:43:52Z</dcterms:created>
  <dc:creator>openpyxl</dc:creator>
  <dc:description/>
  <dc:language>en-US</dc:language>
  <cp:lastModifiedBy/>
  <dcterms:modified xsi:type="dcterms:W3CDTF">2026-10-26T11:47:13Z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