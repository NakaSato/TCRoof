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<sst xmlns="http://schemas.openxmlformats.org/spreadsheetml/2006/main" count="1300" uniqueCount="673">
  <si>
    <t xml:space="preserve">แผนโครงการ P3-020 – โรงกรองน้ำนครพนม 400.14 kWp</t>
  </si>
  <si>
    <t xml:space="preserve">กปภ.สาขานครพนม, ภาคอีสาน, กฟภ. เขต ฉ.1, Inverter 375 kW (ต้องยื่น พค.2), Zero export HV, คำขอ PPIM1A5072B3, วิศวกร น็อต, Admin ฝ้าย, ผรม. C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</si>
  <si>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</si>
  <si>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</si>
  <si>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</si>
  <si>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</si>
  <si>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</si>
  <si>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</si>
  <si>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</si>
  <si>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</si>
  <si>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</si>
  <si>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</si>
  <si>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</si>
  <si>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</si>
  <si>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</si>
  <si>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</si>
  <si>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</si>
  <si>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</si>
  <si>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</si>
  <si>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5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</si>
  <si>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</si>
  <si>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</si>
  <si>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</si>
  <si>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</si>
  <si>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</si>
  <si>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</si>
  <si>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</si>
  <si>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</si>
  <si>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</si>
  <si>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P3-020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</si>
  <si>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</si>
  <si>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</si>
  <si>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</si>
  <si>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</si>
  <si>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</si>
  <si>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</si>
  <si>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</si>
  <si>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</si>
  <si>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</si>
  <si>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</si>
  <si>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</si>
  <si>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</si>
  <si>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</si>
  <si>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</si>
  <si>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</si>
  <si>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</si>
  <si>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</si>
  <si>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</si>
  <si>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</si>
  <si>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</si>
  <si>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</si>
  <si>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</si>
  <si>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</si>
  <si>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</si>
  <si>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</si>
  <si>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</si>
  <si>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</si>
  <si>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</si>
  <si>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</si>
  <si>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</si>
  <si>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</si>
  <si>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</si>
  <si>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</si>
  <si>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</si>
  <si>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</si>
  <si>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</si>
  <si>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</si>
  <si>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</si>
  <si>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</si>
  <si>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</si>
  <si>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</si>
  <si>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</si>
  <si>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</si>
  <si>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</si>
  <si>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</si>
  <si>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</si>
  <si>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</si>
  <si>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</si>
  <si>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</si>
  <si>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</si>
  <si>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</si>
  <si>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</si>
  <si>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</si>
  <si>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</si>
  <si>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</si>
  <si>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</si>
  <si>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</si>
  <si>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WBS'!L3025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</si>
  <si>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</si>
  <si>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</si>
  <si>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</si>
  <si>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</si>
  <si>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WBS'!L3026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</si>
  <si>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</si>
  <si>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</si>
  <si>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</si>
  <si>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WBS'!L3027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</si>
  <si>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</si>
  <si>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</si>
  <si>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</si>
  <si>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WBS'!L3028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</si>
  <si>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</si>
  <si>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</si>
  <si>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</si>
  <si>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WBS'!L3029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</si>
  <si>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</si>
  <si>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</si>
  <si>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</si>
  <si>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WBS'!L3030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</si>
  <si>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</si>
  <si>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</si>
  <si>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</si>
  <si>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</si>
  <si>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</si>
  <si>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</si>
  <si>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</si>
  <si>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</si>
  <si>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</si>
  <si>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</si>
  <si>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</si>
  <si>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</si>
  <si>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</si>
  <si>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</si>
  <si>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WBS'!L3031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</si>
  <si>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</si>
  <si>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</si>
  <si>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</si>
  <si>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</si>
  <si>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WBS'!L3032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</si>
  <si>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</si>
  <si>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</si>
  <si>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</si>
  <si>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WBS'!L3033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</si>
  <si>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</si>
  <si>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</si>
  <si>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</si>
  <si>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WBS'!L3034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</si>
  <si>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</si>
  <si>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</si>
  <si>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</si>
  <si>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WBS'!L3035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</si>
  <si>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</si>
  <si>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</si>
  <si>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</si>
  <si>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WBS'!L3036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</si>
  <si>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</si>
  <si>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</si>
  <si>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</si>
  <si>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WBS'!L3037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</si>
  <si>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</si>
  <si>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</si>
  <si>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</si>
  <si>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WBS'!L3038</t>
    </r>
  </si>
  <si>
    <t xml:space="preserve">0.3</t>
  </si>
  <si>
    <t xml:space="preserve">หนังสือแจ้งขอดับไฟ</t>
  </si>
  <si>
    <t xml:space="preserve">TC-PML-2026-431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</si>
  <si>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</si>
  <si>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</si>
  <si>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</si>
  <si>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</si>
  <si>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</si>
  <si>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</si>
  <si>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</si>
  <si>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WBS'!L3039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</si>
  <si>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</si>
  <si>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</si>
  <si>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</si>
  <si>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WBS'!L3040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</si>
  <si>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</si>
  <si>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</si>
  <si>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</si>
  <si>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WBS'!L3041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</si>
  <si>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</si>
  <si>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</si>
  <si>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</si>
  <si>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</si>
  <si>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</si>
  <si>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</si>
  <si>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</si>
  <si>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</si>
  <si>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</si>
  <si>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WBS'!L3042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</si>
  <si>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</si>
  <si>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</si>
  <si>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</si>
  <si>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WBS'!L3043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</si>
  <si>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</si>
  <si>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</si>
  <si>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</si>
  <si>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WBS'!L3044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</si>
  <si>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</si>
  <si>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</si>
  <si>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</si>
  <si>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</si>
  <si>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</si>
  <si>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</si>
  <si>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</si>
  <si>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WBS'!L3045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</si>
  <si>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</si>
  <si>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</si>
  <si>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</si>
  <si>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WBS'!L3046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</si>
  <si>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</si>
  <si>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</si>
  <si>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</si>
  <si>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WBS'!L3047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</si>
  <si>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</si>
  <si>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</si>
  <si>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</si>
  <si>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WBS'!L3048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</si>
  <si>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</si>
  <si>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</si>
  <si>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</si>
  <si>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</si>
  <si>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</si>
  <si>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</si>
  <si>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</si>
  <si>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WBS'!L3049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</si>
  <si>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</si>
  <si>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</si>
  <si>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</si>
  <si>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WBS'!L3050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</si>
  <si>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</si>
  <si>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</si>
  <si>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</si>
  <si>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WBS'!L3051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</si>
  <si>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</si>
  <si>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</si>
  <si>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</si>
  <si>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</si>
  <si>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</si>
  <si>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</si>
  <si>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</si>
  <si>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</si>
  <si>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WBS'!L3052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</si>
  <si>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</si>
  <si>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</si>
  <si>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</si>
  <si>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WBS'!L3053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</si>
  <si>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</si>
  <si>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</si>
  <si>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</si>
  <si>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WBS'!L3054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</si>
  <si>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</si>
  <si>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</si>
  <si>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</si>
  <si>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</si>
  <si>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</si>
  <si>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</si>
  <si>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</si>
  <si>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</si>
  <si>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WBS'!L3055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</si>
  <si>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</si>
  <si>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</si>
  <si>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</si>
  <si>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WBS'!L3056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</si>
  <si>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</si>
  <si>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</si>
  <si>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</si>
  <si>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</si>
  <si>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</si>
  <si>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WBS'!L3057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</si>
  <si>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</si>
  <si>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</si>
  <si>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</si>
  <si>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</si>
  <si>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</si>
  <si>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</si>
  <si>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</si>
  <si>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</si>
  <si>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WBS'!L3058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</si>
  <si>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</si>
  <si>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</si>
  <si>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</si>
  <si>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WBS'!L3059</t>
    </r>
  </si>
  <si>
    <t xml:space="preserve">1.7.1</t>
  </si>
  <si>
    <t xml:space="preserve">คำขอขนานไฟ PPIM (ชุด 11 ไฟล์)</t>
  </si>
  <si>
    <t xml:space="preserve">PPIM1A5072B3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</si>
  <si>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</si>
  <si>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</si>
  <si>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</si>
  <si>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</si>
  <si>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</si>
  <si>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รอผู้ยื่นคำขอดำเนินการ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</si>
  <si>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</si>
  <si>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</si>
  <si>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</si>
  <si>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72,225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8/11/69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</si>
  <si>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</si>
  <si>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</si>
  <si>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</si>
  <si>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ยังไม่เริ่ม</t>
  </si>
  <si>
    <t xml:space="preserve">NS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</si>
  <si>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</si>
  <si>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</si>
  <si>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</si>
  <si>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</si>
  <si>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</si>
  <si>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</si>
  <si>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</si>
  <si>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</si>
  <si>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</si>
  <si>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(18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</si>
  <si>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</si>
  <si>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</si>
  <si>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</si>
  <si>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</si>
  <si>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</si>
  <si>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WBS'!L3060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</si>
  <si>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</si>
  <si>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</si>
  <si>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</si>
  <si>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WBS'!L3061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</si>
  <si>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</si>
  <si>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</si>
  <si>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</si>
  <si>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WBS'!L3062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</si>
  <si>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</si>
  <si>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</si>
  <si>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</si>
  <si>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WBS'!L3063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</si>
  <si>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</si>
  <si>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</si>
  <si>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</si>
  <si>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WBS'!L3064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</si>
  <si>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</si>
  <si>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</si>
  <si>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</si>
  <si>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WBS'!L3065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</si>
  <si>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</si>
  <si>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</si>
  <si>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</si>
  <si>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WBS'!L3066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</si>
  <si>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</si>
  <si>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</si>
  <si>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</si>
  <si>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</si>
  <si>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</si>
  <si>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</si>
  <si>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</si>
  <si>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WBS'!L3067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</si>
  <si>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</si>
  <si>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</si>
  <si>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</si>
  <si>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WBS'!L3068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</si>
  <si>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</si>
  <si>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</si>
  <si>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</si>
  <si>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WBS'!L3069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</si>
  <si>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</si>
  <si>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</si>
  <si>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</si>
  <si>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WBS'!L3070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</si>
  <si>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</si>
  <si>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</si>
  <si>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</si>
  <si>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WBS'!L3071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</si>
  <si>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</si>
  <si>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</si>
  <si>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</si>
  <si>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</si>
  <si>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</si>
  <si>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</si>
  <si>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</si>
  <si>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WBS'!L3072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</si>
  <si>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</si>
  <si>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</si>
  <si>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</si>
  <si>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WBS'!L3073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</si>
  <si>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</si>
  <si>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</si>
  <si>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</si>
  <si>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WBS'!L3074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</si>
  <si>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</si>
  <si>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</si>
  <si>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</si>
  <si>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WBS'!L3075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</si>
  <si>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</si>
  <si>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</si>
  <si>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</si>
  <si>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WBS'!L3076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</si>
  <si>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</si>
  <si>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</si>
  <si>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</si>
  <si>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</si>
  <si>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</si>
  <si>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</si>
  <si>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</si>
  <si>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WBS'!L3077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</si>
  <si>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</si>
  <si>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</si>
  <si>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</si>
  <si>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WBS'!L3078</t>
    </r>
  </si>
  <si>
    <t xml:space="preserve">2.5</t>
  </si>
  <si>
    <t xml:space="preserve">ติดตั้ง Inverter</t>
  </si>
  <si>
    <t xml:space="preserve">Inverter 375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</si>
  <si>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</si>
  <si>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</si>
  <si>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</si>
  <si>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</si>
  <si>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WBS'!L3079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</si>
  <si>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</si>
  <si>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</si>
  <si>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</si>
  <si>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WBS'!L3080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</si>
  <si>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</si>
  <si>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</si>
  <si>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</si>
  <si>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WBS'!L3081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</si>
  <si>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</si>
  <si>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</si>
  <si>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</si>
  <si>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WBS'!L3082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</si>
  <si>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</si>
  <si>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</si>
  <si>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</si>
  <si>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</si>
  <si>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</si>
  <si>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</si>
  <si>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</si>
  <si>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WBS'!L3083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</si>
  <si>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</si>
  <si>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</si>
  <si>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</si>
  <si>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WBS'!L3084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</si>
  <si>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</si>
  <si>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</si>
  <si>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</si>
  <si>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WBS'!L3085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</si>
  <si>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</si>
  <si>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</si>
  <si>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</si>
  <si>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WBS'!L3086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</si>
  <si>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</si>
  <si>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</si>
  <si>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</si>
  <si>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WBS'!L3087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</si>
  <si>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</si>
  <si>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</si>
  <si>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</si>
  <si>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</si>
  <si>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</si>
  <si>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</si>
  <si>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WBS'!L3088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</si>
  <si>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</si>
  <si>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</si>
  <si>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</si>
  <si>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WBS'!L3089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</si>
  <si>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</si>
  <si>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</si>
  <si>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</si>
  <si>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WBS'!L3090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</si>
  <si>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</si>
  <si>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</si>
  <si>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</si>
  <si>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</si>
  <si>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</si>
  <si>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</si>
  <si>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</si>
  <si>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</si>
  <si>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</si>
  <si>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</si>
  <si>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WBS'!L3091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</si>
  <si>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</si>
  <si>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</si>
  <si>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</si>
  <si>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</si>
  <si>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</si>
  <si>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</si>
  <si>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</si>
  <si>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</si>
  <si>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WBS'!L3092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</si>
  <si>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</si>
  <si>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</si>
  <si>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</si>
  <si>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WBS'!L3093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</si>
  <si>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</si>
  <si>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</si>
  <si>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</si>
  <si>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WBS'!L3094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</si>
  <si>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</si>
  <si>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</si>
  <si>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</si>
  <si>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</si>
  <si>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</si>
  <si>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</si>
  <si>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WBS'!L3095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</si>
  <si>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</si>
  <si>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</si>
  <si>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</si>
  <si>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WBS'!L3096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</si>
  <si>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</si>
  <si>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</si>
  <si>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</si>
  <si>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WBS'!L3097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</si>
  <si>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</si>
  <si>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</si>
  <si>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14/8/69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</si>
  <si>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</si>
  <si>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</si>
  <si>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</si>
  <si>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</si>
  <si>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</si>
  <si>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WBS'!L3098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</si>
  <si>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</si>
  <si>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</si>
  <si>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</si>
  <si>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WBS'!L3099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</si>
  <si>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</si>
  <si>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</si>
  <si>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</si>
  <si>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</si>
  <si>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</si>
  <si>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</si>
  <si>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</si>
  <si>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</si>
  <si>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</si>
  <si>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WBS'!L3100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</si>
  <si>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</si>
  <si>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</si>
  <si>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</si>
  <si>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WBS'!L3101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</si>
  <si>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</si>
  <si>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</si>
  <si>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</si>
  <si>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WBS'!L3102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</si>
  <si>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</si>
  <si>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</si>
  <si>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</si>
  <si>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WBS'!L3103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</si>
  <si>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</si>
  <si>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</si>
  <si>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</si>
  <si>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WBS'!L3104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</si>
  <si>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</si>
  <si>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</si>
  <si>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</si>
  <si>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WBS'!L3105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</si>
  <si>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</si>
  <si>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</si>
  <si>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</si>
  <si>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</si>
  <si>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</si>
  <si>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</si>
  <si>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</si>
  <si>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</si>
  <si>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</si>
  <si>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</si>
  <si>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</si>
  <si>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</si>
  <si>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</si>
  <si>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</si>
  <si>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WBS'!L3106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</si>
  <si>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</si>
  <si>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</si>
  <si>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</si>
  <si>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WBS'!L3107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</si>
  <si>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</si>
  <si>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</si>
  <si>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</si>
  <si>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WBS'!L3108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</si>
  <si>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</si>
  <si>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</si>
  <si>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</si>
  <si>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</si>
  <si>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</si>
  <si>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</si>
  <si>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</si>
  <si>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</si>
  <si>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</si>
  <si>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</si>
  <si>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</si>
  <si>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</si>
  <si>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</si>
  <si>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</si>
  <si>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</si>
  <si>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</si>
  <si>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</si>
  <si>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</si>
  <si>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</si>
  <si>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</si>
  <si>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</si>
  <si>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</si>
  <si>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</si>
  <si>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</si>
  <si>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</si>
  <si>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</si>
  <si>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</si>
  <si>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</si>
  <si>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</si>
  <si>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</si>
  <si>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</si>
  <si>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</si>
  <si>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</si>
  <si>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</si>
  <si>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</si>
  <si>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</si>
  <si>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</si>
  <si>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</si>
  <si>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</si>
  <si>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</si>
  <si>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</si>
  <si>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</si>
  <si>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</si>
  <si>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</si>
  <si>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</si>
  <si>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</si>
  <si>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</si>
  <si>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</si>
  <si>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</si>
  <si>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</si>
  <si>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</si>
  <si>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</si>
  <si>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</si>
  <si>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</si>
  <si>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</si>
  <si>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</si>
  <si>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</si>
  <si>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โรงกรองน้ำนครพนม การประปาส่วนภูมิภาคสาขานครพนม ขนาดกำลังผลิต </t>
    </r>
    <r>
      <rPr>
        <sz val="10"/>
        <rFont val="Tahoma"/>
        <family val="0"/>
        <charset val="1"/>
      </rPr>
      <t xml:space="preserve">400.14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</si>
  <si>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</si>
  <si>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</si>
  <si>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</si>
  <si>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P3-020,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</si>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</sst>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1.35714285714286</c:v>
                </c:pt>
                <c:pt idx="7">
                  <c:v>2.35714285714286</c:v>
                </c:pt>
                <c:pt idx="8">
                  <c:v>2.5</c:v>
                </c:pt>
                <c:pt idx="9">
                  <c:v>3</c:v>
                </c:pt>
                <c:pt idx="10">
                  <c:v>10.7777777777778</c:v>
                </c:pt>
                <c:pt idx="11">
                  <c:v>18.5555555555556</c:v>
                </c:pt>
                <c:pt idx="12">
                  <c:v>43.3809523809524</c:v>
                </c:pt>
                <c:pt idx="13">
                  <c:v>92.5</c:v>
                </c:pt>
                <c:pt idx="14">
                  <c:v>96.6086956521739</c:v>
                </c:pt>
                <c:pt idx="15">
                  <c:v>96.7608695652174</c:v>
                </c:pt>
                <c:pt idx="16">
                  <c:v>96.9130434782609</c:v>
                </c:pt>
                <c:pt idx="17">
                  <c:v>97.0652173913044</c:v>
                </c:pt>
                <c:pt idx="18">
                  <c:v>97.2173913043478</c:v>
                </c:pt>
                <c:pt idx="19">
                  <c:v>97.3695652173913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3.6904</c:v>
                </c:pt>
                <c:pt idx="5">
                  <c:v>7.3808</c:v>
                </c:pt>
                <c:pt idx="6">
                  <c:v>11.0712</c:v>
                </c:pt>
                <c:pt idx="7">
                  <c:v>14.4283</c:v>
                </c:pt>
                <c:pt idx="8">
                  <c:v>17.2854</c:v>
                </c:pt>
                <c:pt idx="9">
                  <c:v>20.1425</c:v>
                </c:pt>
                <c:pt idx="10">
                  <c:v>29.6663</c:v>
                </c:pt>
                <c:pt idx="11">
                  <c:v>53.833</c:v>
                </c:pt>
                <c:pt idx="12">
                  <c:v>92.9997</c:v>
                </c:pt>
                <c:pt idx="13">
                  <c:v>92.9997</c:v>
                </c:pt>
                <c:pt idx="14">
                  <c:v>92.9997</c:v>
                </c:pt>
                <c:pt idx="15">
                  <c:v>92.9997</c:v>
                </c:pt>
                <c:pt idx="16">
                  <c:v>92.9997</c:v>
                </c:pt>
                <c:pt idx="17">
                  <c:v>93.1664</c:v>
                </c:pt>
                <c:pt idx="18">
                  <c:v>94.3331</c:v>
                </c:pt>
                <c:pt idx="19">
                  <c:v>94.4998</c:v>
                </c:pt>
                <c:pt idx="20">
                  <c:v>94.6665</c:v>
                </c:pt>
                <c:pt idx="21">
                  <c:v>94.8332</c:v>
                </c:pt>
                <c:pt idx="22">
                  <c:v>94.9999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29135"/>
        <c:axId val="37874517"/>
      </c:lineChart>
      <c:catAx>
        <c:axId val="212913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74517"/>
        <c:crosses val="autoZero"/>
        <c:auto val="1"/>
        <c:lblAlgn val="ctr"/>
        <c:lblOffset val="100"/>
        <c:noMultiLvlLbl val="0"/>
      </c:catAx>
      <c:valAx>
        <c:axId val="37874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91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46371</v>
      </c>
      <c r="G4" s="10"/>
      <c r="H4" s="10"/>
      <c r="J4" s="11" t="n">
        <v>0.95</v>
      </c>
      <c r="K4" s="11"/>
      <c r="L4" s="12" t="n">
        <v>57</v>
      </c>
      <c r="M4" s="12"/>
      <c r="N4" s="12" t="n">
        <v>66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46188</v>
      </c>
      <c r="O8" s="33" t="n">
        <v>46391</v>
      </c>
      <c r="P8" s="34" t="s">
        <v>75</v>
      </c>
      <c r="Q8" s="31" t="n">
        <v>69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46188</v>
      </c>
      <c r="O9" s="45" t="n">
        <v>46391</v>
      </c>
      <c r="P9" s="46" t="s">
        <v>75</v>
      </c>
      <c r="Q9" s="37" t="n">
        <v>69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46188</v>
      </c>
      <c r="O10" s="55" t="n">
        <v>46208</v>
      </c>
      <c r="P10" s="50" t="s">
        <v>75</v>
      </c>
      <c r="Q10" s="52" t="n">
        <v>-1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46188</v>
      </c>
      <c r="O11" s="55" t="n">
        <v>46208</v>
      </c>
      <c r="P11" s="50" t="s">
        <v>75</v>
      </c>
      <c r="Q11" s="52" t="n">
        <v>-1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46188</v>
      </c>
      <c r="O12" s="55" t="n">
        <v>46208</v>
      </c>
      <c r="P12" s="50" t="s">
        <v>75</v>
      </c>
      <c r="Q12" s="52" t="n">
        <v>-1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46188</v>
      </c>
      <c r="O13" s="55" t="n">
        <v>46218</v>
      </c>
      <c r="P13" s="50" t="s">
        <v>75</v>
      </c>
      <c r="Q13" s="52" t="n">
        <v>2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46208</v>
      </c>
      <c r="O14" s="55" t="n">
        <v>46391</v>
      </c>
      <c r="P14" s="50" t="s">
        <v>75</v>
      </c>
      <c r="Q14" s="52" t="n">
        <v>69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46208</v>
      </c>
      <c r="O15" s="55" t="n">
        <v>46391</v>
      </c>
      <c r="P15" s="50" t="s">
        <v>75</v>
      </c>
      <c r="Q15" s="52" t="n">
        <v>69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46214</v>
      </c>
      <c r="O16" s="45" t="n">
        <v>46223</v>
      </c>
      <c r="P16" s="46" t="s">
        <v>115</v>
      </c>
      <c r="Q16" s="37" t="n">
        <v>-4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46214</v>
      </c>
      <c r="O17" s="55" t="n">
        <v>46216</v>
      </c>
      <c r="P17" s="50" t="s">
        <v>124</v>
      </c>
      <c r="Q17" s="52" t="n">
        <v>-2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46215</v>
      </c>
      <c r="O18" s="55" t="n">
        <v>46218</v>
      </c>
      <c r="P18" s="50" t="s">
        <v>124</v>
      </c>
      <c r="Q18" s="52" t="n">
        <v>-2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46217</v>
      </c>
      <c r="O19" s="55" t="n">
        <v>46220</v>
      </c>
      <c r="P19" s="50" t="s">
        <v>124</v>
      </c>
      <c r="Q19" s="52" t="n">
        <v>-4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46217</v>
      </c>
      <c r="O20" s="55" t="n">
        <v>46220</v>
      </c>
      <c r="P20" s="50" t="s">
        <v>124</v>
      </c>
      <c r="Q20" s="52" t="n">
        <v>-4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46218</v>
      </c>
      <c r="O21" s="55" t="n">
        <v>46221</v>
      </c>
      <c r="P21" s="50" t="s">
        <v>124</v>
      </c>
      <c r="Q21" s="52" t="n">
        <v>-4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46219</v>
      </c>
      <c r="O22" s="55" t="n">
        <v>46222</v>
      </c>
      <c r="P22" s="50" t="s">
        <v>124</v>
      </c>
      <c r="Q22" s="52" t="n">
        <v>-4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46219</v>
      </c>
      <c r="O23" s="55" t="n">
        <v>46223</v>
      </c>
      <c r="P23" s="50" t="s">
        <v>124</v>
      </c>
      <c r="Q23" s="52" t="n">
        <v>-4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46219</v>
      </c>
      <c r="O24" s="55" t="n">
        <v>46223</v>
      </c>
      <c r="P24" s="50" t="s">
        <v>124</v>
      </c>
      <c r="Q24" s="52" t="n">
        <v>-4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46223</v>
      </c>
      <c r="M25" s="43"/>
      <c r="N25" s="44" t="n">
        <v>46223</v>
      </c>
      <c r="O25" s="45" t="n">
        <v>46223</v>
      </c>
      <c r="P25" s="46" t="s">
        <v>60</v>
      </c>
      <c r="Q25" s="37" t="n">
        <v>2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46223</v>
      </c>
      <c r="O26" s="55" t="n">
        <v>46223</v>
      </c>
      <c r="P26" s="50" t="s">
        <v>124</v>
      </c>
      <c r="Q26" s="52" t="n">
        <v>2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46223</v>
      </c>
      <c r="O27" s="55" t="n">
        <v>46223</v>
      </c>
      <c r="P27" s="50" t="s">
        <v>124</v>
      </c>
      <c r="Q27" s="52" t="n">
        <v>2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46223</v>
      </c>
      <c r="O28" s="55" t="n">
        <v>46223</v>
      </c>
      <c r="P28" s="50" t="s">
        <v>124</v>
      </c>
      <c r="Q28" s="52" t="n">
        <v>2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46188</v>
      </c>
      <c r="O29" s="33" t="n">
        <v>46371</v>
      </c>
      <c r="P29" s="34" t="s">
        <v>75</v>
      </c>
      <c r="Q29" s="31" t="n">
        <v>66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46188</v>
      </c>
      <c r="O30" s="45" t="n">
        <v>46188</v>
      </c>
      <c r="P30" s="46" t="s">
        <v>115</v>
      </c>
      <c r="Q30" s="37" t="n">
        <v>-9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46188</v>
      </c>
      <c r="O31" s="55" t="n">
        <v>46188</v>
      </c>
      <c r="P31" s="50" t="s">
        <v>124</v>
      </c>
      <c r="Q31" s="52" t="n">
        <v>-9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46188</v>
      </c>
      <c r="O32" s="55" t="n">
        <v>46188</v>
      </c>
      <c r="P32" s="50" t="s">
        <v>124</v>
      </c>
      <c r="Q32" s="52" t="n">
        <v>-9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46188</v>
      </c>
      <c r="O33" s="55" t="n">
        <v>46188</v>
      </c>
      <c r="P33" s="50" t="s">
        <v>124</v>
      </c>
      <c r="Q33" s="52" t="n">
        <v>-9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46194</v>
      </c>
      <c r="O34" s="45" t="n">
        <v>46203</v>
      </c>
      <c r="P34" s="46" t="s">
        <v>115</v>
      </c>
      <c r="Q34" s="37" t="n">
        <v>-10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46194</v>
      </c>
      <c r="O35" s="55" t="n">
        <v>46199</v>
      </c>
      <c r="P35" s="50" t="s">
        <v>124</v>
      </c>
      <c r="Q35" s="52" t="n">
        <v>-9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46194</v>
      </c>
      <c r="O36" s="55" t="n">
        <v>46199</v>
      </c>
      <c r="P36" s="50" t="s">
        <v>124</v>
      </c>
      <c r="Q36" s="52" t="n">
        <v>-10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46197</v>
      </c>
      <c r="O37" s="55" t="n">
        <v>46200</v>
      </c>
      <c r="P37" s="50" t="s">
        <v>124</v>
      </c>
      <c r="Q37" s="52" t="n">
        <v>-10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46199</v>
      </c>
      <c r="O38" s="55" t="n">
        <v>46203</v>
      </c>
      <c r="P38" s="50" t="s">
        <v>124</v>
      </c>
      <c r="Q38" s="52" t="n">
        <v>-10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46213</v>
      </c>
      <c r="O39" s="45" t="n">
        <v>46213</v>
      </c>
      <c r="P39" s="46" t="s">
        <v>115</v>
      </c>
      <c r="Q39" s="37" t="n">
        <v>-14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46213</v>
      </c>
      <c r="O40" s="55" t="n">
        <v>46213</v>
      </c>
      <c r="P40" s="50" t="s">
        <v>124</v>
      </c>
      <c r="Q40" s="52" t="n">
        <v>-14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46213</v>
      </c>
      <c r="O41" s="55" t="n">
        <v>46213</v>
      </c>
      <c r="P41" s="50" t="s">
        <v>124</v>
      </c>
      <c r="Q41" s="52" t="n">
        <v>-14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46213</v>
      </c>
      <c r="O42" s="55" t="n">
        <v>46213</v>
      </c>
      <c r="P42" s="50" t="s">
        <v>124</v>
      </c>
      <c r="Q42" s="52" t="n">
        <v>-14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46195</v>
      </c>
      <c r="O43" s="45" t="n">
        <v>46208</v>
      </c>
      <c r="P43" s="46" t="s">
        <v>115</v>
      </c>
      <c r="Q43" s="37" t="n">
        <v>-9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46195</v>
      </c>
      <c r="O44" s="55" t="n">
        <v>46198</v>
      </c>
      <c r="P44" s="50" t="s">
        <v>124</v>
      </c>
      <c r="Q44" s="52" t="n">
        <v>-9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46196</v>
      </c>
      <c r="O45" s="55" t="n">
        <v>46202</v>
      </c>
      <c r="P45" s="50" t="s">
        <v>124</v>
      </c>
      <c r="Q45" s="52" t="n">
        <v>-8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46202</v>
      </c>
      <c r="O46" s="55" t="n">
        <v>46208</v>
      </c>
      <c r="P46" s="50" t="s">
        <v>124</v>
      </c>
      <c r="Q46" s="52" t="n">
        <v>-9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46260</v>
      </c>
      <c r="J47" s="41" t="n">
        <v>46260</v>
      </c>
      <c r="K47" s="42"/>
      <c r="L47" s="42" t="n">
        <v>46286</v>
      </c>
      <c r="M47" s="43"/>
      <c r="N47" s="44" t="n">
        <v>46286</v>
      </c>
      <c r="O47" s="45" t="n">
        <v>46286</v>
      </c>
      <c r="P47" s="46" t="s">
        <v>60</v>
      </c>
      <c r="Q47" s="37" t="n">
        <v>26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46260</v>
      </c>
      <c r="J48" s="53" t="n">
        <v>46260</v>
      </c>
      <c r="K48" s="52"/>
      <c r="L48" s="52"/>
      <c r="M48" s="54" t="s">
        <v>251</v>
      </c>
      <c r="N48" s="55" t="n">
        <v>46286</v>
      </c>
      <c r="O48" s="55" t="n">
        <v>46286</v>
      </c>
      <c r="P48" s="50" t="s">
        <v>124</v>
      </c>
      <c r="Q48" s="52" t="n">
        <v>26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46260</v>
      </c>
      <c r="J49" s="53" t="n">
        <v>46260</v>
      </c>
      <c r="K49" s="52"/>
      <c r="L49" s="52"/>
      <c r="M49" s="54" t="s">
        <v>255</v>
      </c>
      <c r="N49" s="55" t="n">
        <v>46286</v>
      </c>
      <c r="O49" s="55" t="n">
        <v>46286</v>
      </c>
      <c r="P49" s="50" t="s">
        <v>124</v>
      </c>
      <c r="Q49" s="52" t="n">
        <v>26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46261</v>
      </c>
      <c r="J50" s="41" t="n">
        <v>46290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53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46260</v>
      </c>
      <c r="J51" s="53" t="n">
        <v>46260</v>
      </c>
      <c r="K51" s="52"/>
      <c r="L51" s="52"/>
      <c r="M51" s="54" t="s">
        <v>261</v>
      </c>
      <c r="N51" s="55" t="n">
        <v>46286</v>
      </c>
      <c r="O51" s="55" t="n">
        <v>46286</v>
      </c>
      <c r="P51" s="50" t="s">
        <v>124</v>
      </c>
      <c r="Q51" s="52" t="n">
        <v>26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46280</v>
      </c>
      <c r="M55" s="43"/>
      <c r="N55" s="44" t="n">
        <v>46280</v>
      </c>
      <c r="O55" s="45" t="n">
        <v>46280</v>
      </c>
      <c r="P55" s="46" t="s">
        <v>60</v>
      </c>
      <c r="Q55" s="37" t="n">
        <v>20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46280</v>
      </c>
      <c r="L57" s="42"/>
      <c r="M57" s="43" t="s">
        <v>114</v>
      </c>
      <c r="N57" s="44" t="n">
        <v>46280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26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46325</v>
      </c>
      <c r="O59" s="45" t="n">
        <v>46325</v>
      </c>
      <c r="P59" s="46" t="s">
        <v>291</v>
      </c>
      <c r="Q59" s="37" t="n">
        <v>36</v>
      </c>
      <c r="R59" s="39"/>
      <c r="S59" s="39" t="n">
        <v>1</v>
      </c>
      <c r="T59" s="39" t="s">
        <v>292</v>
      </c>
      <c r="U59" s="58" t="n">
        <v>46325.0059</v>
      </c>
      <c r="V59" s="47" t="n">
        <v>0</v>
      </c>
      <c r="W59" s="39" t="s">
        <v>86</v>
      </c>
      <c r="X59" s="39"/>
      <c r="Y59" s="38" t="s">
        <v>293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294</v>
      </c>
      <c r="B60" s="59" t="s">
        <v>295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46330</v>
      </c>
      <c r="O60" s="60" t="n">
        <v>46371</v>
      </c>
      <c r="P60" s="46" t="s">
        <v>291</v>
      </c>
      <c r="Q60" s="37" t="n">
        <v>66</v>
      </c>
      <c r="R60" s="39"/>
      <c r="S60" s="39" t="n">
        <v>1</v>
      </c>
      <c r="T60" s="39" t="s">
        <v>292</v>
      </c>
      <c r="U60" s="58" t="n">
        <v>46330.006</v>
      </c>
      <c r="V60" s="47" t="n">
        <v>0</v>
      </c>
      <c r="W60" s="38" t="s">
        <v>80</v>
      </c>
      <c r="X60" s="39"/>
      <c r="Y60" s="38" t="s">
        <v>293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296</v>
      </c>
      <c r="B61" s="31" t="s">
        <v>297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46191</v>
      </c>
      <c r="O61" s="33" t="n">
        <v>46248</v>
      </c>
      <c r="P61" s="34" t="s">
        <v>60</v>
      </c>
      <c r="Q61" s="31" t="n">
        <v>-11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298</v>
      </c>
      <c r="B62" s="39" t="s">
        <v>299</v>
      </c>
      <c r="C62" s="39" t="s">
        <v>300</v>
      </c>
      <c r="D62" s="39" t="s">
        <v>301</v>
      </c>
      <c r="E62" s="40" t="n">
        <v>20</v>
      </c>
      <c r="F62" s="39" t="s">
        <v>302</v>
      </c>
      <c r="G62" s="37"/>
      <c r="H62" s="37" t="n">
        <v>40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46191</v>
      </c>
      <c r="O62" s="45" t="n">
        <v>46230</v>
      </c>
      <c r="P62" s="46" t="s">
        <v>115</v>
      </c>
      <c r="Q62" s="37" t="n">
        <v>-17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303</v>
      </c>
      <c r="Y62" s="38" t="s">
        <v>304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305</v>
      </c>
      <c r="B63" s="50" t="s">
        <v>306</v>
      </c>
      <c r="C63" s="50" t="s">
        <v>307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308</v>
      </c>
      <c r="N63" s="55" t="n">
        <v>46191</v>
      </c>
      <c r="O63" s="55" t="n">
        <v>46195</v>
      </c>
      <c r="P63" s="50" t="s">
        <v>124</v>
      </c>
      <c r="Q63" s="52" t="n">
        <v>-37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304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309</v>
      </c>
      <c r="B64" s="50" t="s">
        <v>310</v>
      </c>
      <c r="C64" s="50" t="s">
        <v>311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312</v>
      </c>
      <c r="N64" s="55" t="n">
        <v>46191</v>
      </c>
      <c r="O64" s="55" t="n">
        <v>46199</v>
      </c>
      <c r="P64" s="50" t="s">
        <v>124</v>
      </c>
      <c r="Q64" s="52" t="n">
        <v>-34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304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313</v>
      </c>
      <c r="B65" s="50" t="s">
        <v>314</v>
      </c>
      <c r="C65" s="50" t="s">
        <v>315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316</v>
      </c>
      <c r="N65" s="55" t="n">
        <v>46195</v>
      </c>
      <c r="O65" s="55" t="n">
        <v>46211</v>
      </c>
      <c r="P65" s="50" t="s">
        <v>124</v>
      </c>
      <c r="Q65" s="52" t="n">
        <v>-27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304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317</v>
      </c>
      <c r="B66" s="50" t="s">
        <v>318</v>
      </c>
      <c r="C66" s="52" t="s">
        <v>319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320</v>
      </c>
      <c r="N66" s="55" t="n">
        <v>46207</v>
      </c>
      <c r="O66" s="55" t="n">
        <v>46224</v>
      </c>
      <c r="P66" s="50" t="s">
        <v>124</v>
      </c>
      <c r="Q66" s="52" t="n">
        <v>-20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304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321</v>
      </c>
      <c r="B67" s="52" t="s">
        <v>322</v>
      </c>
      <c r="C67" s="52" t="s">
        <v>323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324</v>
      </c>
      <c r="N67" s="55" t="n">
        <v>46214</v>
      </c>
      <c r="O67" s="55" t="n">
        <v>46228</v>
      </c>
      <c r="P67" s="50" t="s">
        <v>124</v>
      </c>
      <c r="Q67" s="52" t="n">
        <v>-18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304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325</v>
      </c>
      <c r="B68" s="50" t="s">
        <v>326</v>
      </c>
      <c r="C68" s="50" t="s">
        <v>327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328</v>
      </c>
      <c r="N68" s="55" t="n">
        <v>46222</v>
      </c>
      <c r="O68" s="55" t="n">
        <v>46230</v>
      </c>
      <c r="P68" s="50" t="s">
        <v>124</v>
      </c>
      <c r="Q68" s="52" t="n">
        <v>-17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304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329</v>
      </c>
      <c r="B69" s="52" t="s">
        <v>330</v>
      </c>
      <c r="C69" s="50" t="s">
        <v>331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332</v>
      </c>
      <c r="N69" s="55" t="n">
        <v>46228</v>
      </c>
      <c r="O69" s="55" t="n">
        <v>46230</v>
      </c>
      <c r="P69" s="50" t="s">
        <v>124</v>
      </c>
      <c r="Q69" s="52" t="n">
        <v>-17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304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333</v>
      </c>
      <c r="B70" s="39" t="s">
        <v>334</v>
      </c>
      <c r="C70" s="39" t="s">
        <v>300</v>
      </c>
      <c r="D70" s="39" t="s">
        <v>301</v>
      </c>
      <c r="E70" s="40" t="n">
        <v>10</v>
      </c>
      <c r="F70" s="39" t="s">
        <v>335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46242</v>
      </c>
      <c r="O70" s="45" t="n">
        <v>46245</v>
      </c>
      <c r="P70" s="46" t="s">
        <v>115</v>
      </c>
      <c r="Q70" s="37" t="n">
        <v>-12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336</v>
      </c>
      <c r="Y70" s="38" t="s">
        <v>304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337</v>
      </c>
      <c r="B71" s="50" t="s">
        <v>338</v>
      </c>
      <c r="C71" s="52" t="s">
        <v>339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340</v>
      </c>
      <c r="N71" s="55" t="n">
        <v>46242</v>
      </c>
      <c r="O71" s="55" t="n">
        <v>46243</v>
      </c>
      <c r="P71" s="50" t="s">
        <v>124</v>
      </c>
      <c r="Q71" s="52" t="n">
        <v>-9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304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341</v>
      </c>
      <c r="B72" s="50" t="s">
        <v>342</v>
      </c>
      <c r="C72" s="50" t="s">
        <v>343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344</v>
      </c>
      <c r="N72" s="55" t="n">
        <v>46243</v>
      </c>
      <c r="O72" s="55" t="n">
        <v>46244</v>
      </c>
      <c r="P72" s="50" t="s">
        <v>124</v>
      </c>
      <c r="Q72" s="52" t="n">
        <v>-11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304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345</v>
      </c>
      <c r="B73" s="50" t="s">
        <v>346</v>
      </c>
      <c r="C73" s="50" t="s">
        <v>347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348</v>
      </c>
      <c r="N73" s="55" t="n">
        <v>46243</v>
      </c>
      <c r="O73" s="55" t="n">
        <v>46244</v>
      </c>
      <c r="P73" s="50" t="s">
        <v>124</v>
      </c>
      <c r="Q73" s="52" t="n">
        <v>-11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304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349</v>
      </c>
      <c r="B74" s="50" t="s">
        <v>350</v>
      </c>
      <c r="C74" s="52" t="s">
        <v>351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352</v>
      </c>
      <c r="N74" s="55" t="n">
        <v>46244</v>
      </c>
      <c r="O74" s="55" t="n">
        <v>46245</v>
      </c>
      <c r="P74" s="50" t="s">
        <v>124</v>
      </c>
      <c r="Q74" s="52" t="n">
        <v>-12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304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353</v>
      </c>
      <c r="B75" s="52" t="s">
        <v>354</v>
      </c>
      <c r="C75" s="50" t="s">
        <v>355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356</v>
      </c>
      <c r="N75" s="55" t="n">
        <v>46244</v>
      </c>
      <c r="O75" s="55" t="n">
        <v>46245</v>
      </c>
      <c r="P75" s="50" t="s">
        <v>124</v>
      </c>
      <c r="Q75" s="52" t="n">
        <v>-12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304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357</v>
      </c>
      <c r="B76" s="39" t="s">
        <v>358</v>
      </c>
      <c r="C76" s="39" t="s">
        <v>300</v>
      </c>
      <c r="D76" s="39" t="s">
        <v>301</v>
      </c>
      <c r="E76" s="40" t="n">
        <v>20</v>
      </c>
      <c r="F76" s="39" t="s">
        <v>359</v>
      </c>
      <c r="G76" s="37"/>
      <c r="H76" s="37" t="n">
        <v>16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46231</v>
      </c>
      <c r="O76" s="45" t="n">
        <v>46246</v>
      </c>
      <c r="P76" s="46" t="s">
        <v>115</v>
      </c>
      <c r="Q76" s="37" t="n">
        <v>-11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360</v>
      </c>
      <c r="Y76" s="38" t="s">
        <v>304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361</v>
      </c>
      <c r="B77" s="50" t="s">
        <v>362</v>
      </c>
      <c r="C77" s="50" t="s">
        <v>363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364</v>
      </c>
      <c r="N77" s="55" t="n">
        <v>46231</v>
      </c>
      <c r="O77" s="55" t="n">
        <v>46236</v>
      </c>
      <c r="P77" s="50" t="s">
        <v>124</v>
      </c>
      <c r="Q77" s="52" t="n">
        <v>-15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304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365</v>
      </c>
      <c r="B78" s="50" t="s">
        <v>366</v>
      </c>
      <c r="C78" s="50" t="s">
        <v>367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368</v>
      </c>
      <c r="N78" s="55" t="n">
        <v>46233</v>
      </c>
      <c r="O78" s="55" t="n">
        <v>46244</v>
      </c>
      <c r="P78" s="50" t="s">
        <v>124</v>
      </c>
      <c r="Q78" s="52" t="n">
        <v>-12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304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369</v>
      </c>
      <c r="B79" s="52" t="s">
        <v>370</v>
      </c>
      <c r="C79" s="50" t="s">
        <v>371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372</v>
      </c>
      <c r="N79" s="55" t="n">
        <v>46237</v>
      </c>
      <c r="O79" s="55" t="n">
        <v>46245</v>
      </c>
      <c r="P79" s="50" t="s">
        <v>124</v>
      </c>
      <c r="Q79" s="52" t="n">
        <v>-12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304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373</v>
      </c>
      <c r="B80" s="52" t="s">
        <v>374</v>
      </c>
      <c r="C80" s="50" t="s">
        <v>375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376</v>
      </c>
      <c r="N80" s="55" t="n">
        <v>46243</v>
      </c>
      <c r="O80" s="55" t="n">
        <v>46246</v>
      </c>
      <c r="P80" s="50" t="s">
        <v>124</v>
      </c>
      <c r="Q80" s="52" t="n">
        <v>-11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304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377</v>
      </c>
      <c r="B81" s="52" t="s">
        <v>378</v>
      </c>
      <c r="C81" s="50" t="s">
        <v>379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380</v>
      </c>
      <c r="N81" s="55" t="n">
        <v>46245</v>
      </c>
      <c r="O81" s="55" t="n">
        <v>46246</v>
      </c>
      <c r="P81" s="50" t="s">
        <v>124</v>
      </c>
      <c r="Q81" s="52" t="n">
        <v>-11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304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381</v>
      </c>
      <c r="B82" s="39" t="s">
        <v>382</v>
      </c>
      <c r="C82" s="39" t="s">
        <v>383</v>
      </c>
      <c r="D82" s="39" t="s">
        <v>301</v>
      </c>
      <c r="E82" s="40" t="n">
        <v>2.5</v>
      </c>
      <c r="F82" s="39" t="s">
        <v>359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46244</v>
      </c>
      <c r="O82" s="45" t="n">
        <v>46246</v>
      </c>
      <c r="P82" s="46" t="s">
        <v>115</v>
      </c>
      <c r="Q82" s="37" t="n">
        <v>-8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384</v>
      </c>
      <c r="Y82" s="38" t="s">
        <v>304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385</v>
      </c>
      <c r="B83" s="50" t="s">
        <v>386</v>
      </c>
      <c r="C83" s="50" t="s">
        <v>387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388</v>
      </c>
      <c r="N83" s="55" t="n">
        <v>46244</v>
      </c>
      <c r="O83" s="55" t="n">
        <v>46245</v>
      </c>
      <c r="P83" s="50" t="s">
        <v>124</v>
      </c>
      <c r="Q83" s="52" t="n">
        <v>-8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304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389</v>
      </c>
      <c r="B84" s="50" t="s">
        <v>390</v>
      </c>
      <c r="C84" s="50" t="s">
        <v>391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392</v>
      </c>
      <c r="N84" s="55" t="n">
        <v>46245</v>
      </c>
      <c r="O84" s="55" t="n">
        <v>46246</v>
      </c>
      <c r="P84" s="50" t="s">
        <v>124</v>
      </c>
      <c r="Q84" s="52" t="n">
        <v>-8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304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393</v>
      </c>
      <c r="B85" s="39" t="s">
        <v>394</v>
      </c>
      <c r="C85" s="38" t="s">
        <v>395</v>
      </c>
      <c r="D85" s="39" t="s">
        <v>301</v>
      </c>
      <c r="E85" s="40" t="n">
        <v>15</v>
      </c>
      <c r="F85" s="39" t="s">
        <v>335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46242</v>
      </c>
      <c r="O85" s="45" t="n">
        <v>46245</v>
      </c>
      <c r="P85" s="46" t="s">
        <v>115</v>
      </c>
      <c r="Q85" s="37" t="n">
        <v>-10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396</v>
      </c>
      <c r="Y85" s="38" t="s">
        <v>304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397</v>
      </c>
      <c r="B86" s="52" t="s">
        <v>398</v>
      </c>
      <c r="C86" s="52" t="s">
        <v>399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400</v>
      </c>
      <c r="N86" s="55" t="n">
        <v>46242</v>
      </c>
      <c r="O86" s="55" t="n">
        <v>46244</v>
      </c>
      <c r="P86" s="50" t="s">
        <v>124</v>
      </c>
      <c r="Q86" s="52" t="n">
        <v>-7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304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401</v>
      </c>
      <c r="B87" s="52" t="s">
        <v>402</v>
      </c>
      <c r="C87" s="52" t="s">
        <v>403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404</v>
      </c>
      <c r="N87" s="55" t="n">
        <v>46243</v>
      </c>
      <c r="O87" s="55" t="n">
        <v>46245</v>
      </c>
      <c r="P87" s="50" t="s">
        <v>124</v>
      </c>
      <c r="Q87" s="52" t="n">
        <v>-9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304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405</v>
      </c>
      <c r="B88" s="50" t="s">
        <v>406</v>
      </c>
      <c r="C88" s="50" t="s">
        <v>407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408</v>
      </c>
      <c r="N88" s="55" t="n">
        <v>46244</v>
      </c>
      <c r="O88" s="55" t="n">
        <v>46245</v>
      </c>
      <c r="P88" s="50" t="s">
        <v>124</v>
      </c>
      <c r="Q88" s="52" t="n">
        <v>-10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304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409</v>
      </c>
      <c r="B89" s="52" t="s">
        <v>410</v>
      </c>
      <c r="C89" s="50" t="s">
        <v>411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412</v>
      </c>
      <c r="N89" s="55" t="n">
        <v>46245</v>
      </c>
      <c r="O89" s="55" t="n">
        <v>46245</v>
      </c>
      <c r="P89" s="50" t="s">
        <v>124</v>
      </c>
      <c r="Q89" s="52" t="n">
        <v>-10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304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413</v>
      </c>
      <c r="B90" s="39" t="s">
        <v>414</v>
      </c>
      <c r="C90" s="39" t="s">
        <v>415</v>
      </c>
      <c r="D90" s="39" t="s">
        <v>301</v>
      </c>
      <c r="E90" s="40" t="n">
        <v>10</v>
      </c>
      <c r="F90" s="39" t="s">
        <v>359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46243</v>
      </c>
      <c r="O90" s="45" t="n">
        <v>46246</v>
      </c>
      <c r="P90" s="46" t="s">
        <v>115</v>
      </c>
      <c r="Q90" s="37" t="n">
        <v>-10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416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417</v>
      </c>
      <c r="B91" s="50" t="s">
        <v>418</v>
      </c>
      <c r="C91" s="50" t="s">
        <v>419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420</v>
      </c>
      <c r="N91" s="55" t="n">
        <v>46243</v>
      </c>
      <c r="O91" s="55" t="n">
        <v>46245</v>
      </c>
      <c r="P91" s="50" t="s">
        <v>124</v>
      </c>
      <c r="Q91" s="52" t="n">
        <v>-7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421</v>
      </c>
      <c r="B92" s="52" t="s">
        <v>422</v>
      </c>
      <c r="C92" s="52" t="s">
        <v>423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424</v>
      </c>
      <c r="N92" s="55" t="n">
        <v>46245</v>
      </c>
      <c r="O92" s="55" t="n">
        <v>46246</v>
      </c>
      <c r="P92" s="50" t="s">
        <v>124</v>
      </c>
      <c r="Q92" s="52" t="n">
        <v>-10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425</v>
      </c>
      <c r="B93" s="50" t="s">
        <v>426</v>
      </c>
      <c r="C93" s="50" t="s">
        <v>427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428</v>
      </c>
      <c r="N93" s="55" t="n">
        <v>46243</v>
      </c>
      <c r="O93" s="55" t="n">
        <v>46245</v>
      </c>
      <c r="P93" s="50" t="s">
        <v>124</v>
      </c>
      <c r="Q93" s="52" t="n">
        <v>-6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429</v>
      </c>
      <c r="B94" s="50" t="s">
        <v>430</v>
      </c>
      <c r="C94" s="50" t="s">
        <v>431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432</v>
      </c>
      <c r="N94" s="55" t="n">
        <v>46245</v>
      </c>
      <c r="O94" s="55" t="n">
        <v>46246</v>
      </c>
      <c r="P94" s="50" t="s">
        <v>124</v>
      </c>
      <c r="Q94" s="52" t="n">
        <v>-10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433</v>
      </c>
      <c r="B95" s="52" t="s">
        <v>434</v>
      </c>
      <c r="C95" s="50" t="s">
        <v>435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436</v>
      </c>
      <c r="N95" s="55" t="n">
        <v>46246</v>
      </c>
      <c r="O95" s="55" t="n">
        <v>46246</v>
      </c>
      <c r="P95" s="50" t="s">
        <v>124</v>
      </c>
      <c r="Q95" s="52" t="n">
        <v>-10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437</v>
      </c>
      <c r="B96" s="39" t="s">
        <v>438</v>
      </c>
      <c r="C96" s="39"/>
      <c r="D96" s="39" t="s">
        <v>301</v>
      </c>
      <c r="E96" s="40" t="n">
        <v>5</v>
      </c>
      <c r="F96" s="39" t="s">
        <v>359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46244</v>
      </c>
      <c r="O96" s="45" t="n">
        <v>46246</v>
      </c>
      <c r="P96" s="46" t="s">
        <v>115</v>
      </c>
      <c r="Q96" s="37" t="n">
        <v>-10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439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440</v>
      </c>
      <c r="B97" s="50" t="s">
        <v>441</v>
      </c>
      <c r="C97" s="50" t="s">
        <v>442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443</v>
      </c>
      <c r="N97" s="55" t="n">
        <v>46244</v>
      </c>
      <c r="O97" s="55" t="n">
        <v>46246</v>
      </c>
      <c r="P97" s="50" t="s">
        <v>124</v>
      </c>
      <c r="Q97" s="52" t="n">
        <v>-9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444</v>
      </c>
      <c r="B98" s="50" t="s">
        <v>445</v>
      </c>
      <c r="C98" s="50" t="s">
        <v>446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447</v>
      </c>
      <c r="N98" s="55" t="n">
        <v>46245</v>
      </c>
      <c r="O98" s="55" t="n">
        <v>46246</v>
      </c>
      <c r="P98" s="50" t="s">
        <v>124</v>
      </c>
      <c r="Q98" s="52" t="n">
        <v>-10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448</v>
      </c>
      <c r="B99" s="52" t="s">
        <v>449</v>
      </c>
      <c r="C99" s="50" t="s">
        <v>450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451</v>
      </c>
      <c r="N99" s="55" t="n">
        <v>46246</v>
      </c>
      <c r="O99" s="55" t="n">
        <v>46246</v>
      </c>
      <c r="P99" s="50" t="s">
        <v>124</v>
      </c>
      <c r="Q99" s="52" t="n">
        <v>-10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452</v>
      </c>
      <c r="B100" s="39" t="s">
        <v>453</v>
      </c>
      <c r="C100" s="38" t="s">
        <v>454</v>
      </c>
      <c r="D100" s="39" t="s">
        <v>301</v>
      </c>
      <c r="E100" s="40" t="n">
        <v>5</v>
      </c>
      <c r="F100" s="39" t="s">
        <v>455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46245</v>
      </c>
      <c r="O100" s="45" t="n">
        <v>46247</v>
      </c>
      <c r="P100" s="46" t="s">
        <v>115</v>
      </c>
      <c r="Q100" s="37" t="n">
        <v>-10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456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457</v>
      </c>
      <c r="B101" s="50" t="s">
        <v>458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46245</v>
      </c>
      <c r="O101" s="55" t="n">
        <v>46245</v>
      </c>
      <c r="P101" s="50" t="s">
        <v>124</v>
      </c>
      <c r="Q101" s="52" t="n">
        <v>-8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459</v>
      </c>
      <c r="B102" s="50" t="s">
        <v>460</v>
      </c>
      <c r="C102" s="50" t="s">
        <v>461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462</v>
      </c>
      <c r="N102" s="55" t="n">
        <v>46245</v>
      </c>
      <c r="O102" s="55" t="n">
        <v>46246</v>
      </c>
      <c r="P102" s="50" t="s">
        <v>124</v>
      </c>
      <c r="Q102" s="52" t="n">
        <v>-10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463</v>
      </c>
      <c r="B103" s="52" t="s">
        <v>464</v>
      </c>
      <c r="C103" s="52" t="s">
        <v>465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466</v>
      </c>
      <c r="Q103" s="52"/>
      <c r="R103" s="52"/>
      <c r="S103" s="52" t="n">
        <v>2</v>
      </c>
      <c r="T103" s="52" t="s">
        <v>467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468</v>
      </c>
      <c r="B104" s="50" t="s">
        <v>469</v>
      </c>
      <c r="C104" s="50" t="s">
        <v>470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471</v>
      </c>
      <c r="N104" s="55" t="n">
        <v>46246</v>
      </c>
      <c r="O104" s="55" t="n">
        <v>46247</v>
      </c>
      <c r="P104" s="50" t="s">
        <v>124</v>
      </c>
      <c r="Q104" s="52" t="n">
        <v>-9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472</v>
      </c>
      <c r="B105" s="50" t="s">
        <v>473</v>
      </c>
      <c r="C105" s="50" t="s">
        <v>474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475</v>
      </c>
      <c r="N105" s="55" t="n">
        <v>46246</v>
      </c>
      <c r="O105" s="55" t="n">
        <v>46247</v>
      </c>
      <c r="P105" s="50" t="s">
        <v>124</v>
      </c>
      <c r="Q105" s="52" t="n">
        <v>-10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476</v>
      </c>
      <c r="B106" s="52" t="s">
        <v>477</v>
      </c>
      <c r="C106" s="50" t="s">
        <v>478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479</v>
      </c>
      <c r="N106" s="55" t="n">
        <v>46247</v>
      </c>
      <c r="O106" s="55" t="n">
        <v>46247</v>
      </c>
      <c r="P106" s="50" t="s">
        <v>124</v>
      </c>
      <c r="Q106" s="52" t="n">
        <v>-10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480</v>
      </c>
      <c r="B107" s="39" t="s">
        <v>481</v>
      </c>
      <c r="C107" s="39"/>
      <c r="D107" s="39" t="s">
        <v>301</v>
      </c>
      <c r="E107" s="40" t="n">
        <v>2.5</v>
      </c>
      <c r="F107" s="39" t="s">
        <v>455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46246</v>
      </c>
      <c r="O107" s="45" t="n">
        <v>46247</v>
      </c>
      <c r="P107" s="46" t="s">
        <v>115</v>
      </c>
      <c r="Q107" s="37" t="n">
        <v>-11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482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483</v>
      </c>
      <c r="B108" s="52" t="s">
        <v>484</v>
      </c>
      <c r="C108" s="52" t="s">
        <v>485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486</v>
      </c>
      <c r="N108" s="55" t="n">
        <v>46246</v>
      </c>
      <c r="O108" s="55" t="n">
        <v>46247</v>
      </c>
      <c r="P108" s="50" t="s">
        <v>124</v>
      </c>
      <c r="Q108" s="52" t="n">
        <v>-10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487</v>
      </c>
      <c r="B109" s="50" t="s">
        <v>488</v>
      </c>
      <c r="C109" s="50" t="s">
        <v>489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490</v>
      </c>
      <c r="N109" s="55" t="n">
        <v>46247</v>
      </c>
      <c r="O109" s="55" t="n">
        <v>46247</v>
      </c>
      <c r="P109" s="50" t="s">
        <v>124</v>
      </c>
      <c r="Q109" s="52" t="n">
        <v>-11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491</v>
      </c>
      <c r="B110" s="52" t="s">
        <v>492</v>
      </c>
      <c r="C110" s="50" t="s">
        <v>493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494</v>
      </c>
      <c r="N110" s="55" t="n">
        <v>46246</v>
      </c>
      <c r="O110" s="55" t="n">
        <v>46247</v>
      </c>
      <c r="P110" s="50" t="s">
        <v>124</v>
      </c>
      <c r="Q110" s="52" t="n">
        <v>-10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495</v>
      </c>
      <c r="B111" s="39" t="s">
        <v>496</v>
      </c>
      <c r="C111" s="39" t="s">
        <v>497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46248</v>
      </c>
      <c r="M111" s="43"/>
      <c r="N111" s="44" t="n">
        <v>46248</v>
      </c>
      <c r="O111" s="45" t="n">
        <v>46248</v>
      </c>
      <c r="P111" s="46" t="s">
        <v>60</v>
      </c>
      <c r="Q111" s="37" t="n">
        <v>-11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498</v>
      </c>
      <c r="Y111" s="38" t="s">
        <v>499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500</v>
      </c>
      <c r="B112" s="50" t="s">
        <v>501</v>
      </c>
      <c r="C112" s="50" t="s">
        <v>502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503</v>
      </c>
      <c r="N112" s="55" t="n">
        <v>46248</v>
      </c>
      <c r="O112" s="55" t="n">
        <v>46248</v>
      </c>
      <c r="P112" s="50" t="s">
        <v>124</v>
      </c>
      <c r="Q112" s="52" t="n">
        <v>-11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499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504</v>
      </c>
      <c r="B113" s="50" t="s">
        <v>505</v>
      </c>
      <c r="C113" s="50" t="s">
        <v>506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507</v>
      </c>
      <c r="N113" s="55" t="n">
        <v>46248</v>
      </c>
      <c r="O113" s="55" t="n">
        <v>46248</v>
      </c>
      <c r="P113" s="50" t="s">
        <v>124</v>
      </c>
      <c r="Q113" s="52" t="n">
        <v>-11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499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508</v>
      </c>
      <c r="B114" s="31" t="s">
        <v>509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46251</v>
      </c>
      <c r="O114" s="33" t="n">
        <v>46391</v>
      </c>
      <c r="P114" s="34" t="s">
        <v>75</v>
      </c>
      <c r="Q114" s="31" t="n">
        <v>69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510</v>
      </c>
      <c r="B115" s="39" t="s">
        <v>511</v>
      </c>
      <c r="C115" s="39"/>
      <c r="D115" s="39" t="s">
        <v>301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46322</v>
      </c>
      <c r="O115" s="45" t="n">
        <v>46322</v>
      </c>
      <c r="P115" s="46" t="s">
        <v>291</v>
      </c>
      <c r="Q115" s="37" t="n">
        <v>60</v>
      </c>
      <c r="R115" s="39"/>
      <c r="S115" s="39" t="n">
        <v>1</v>
      </c>
      <c r="T115" s="39" t="s">
        <v>292</v>
      </c>
      <c r="U115" s="58" t="n">
        <v>46322.0115</v>
      </c>
      <c r="V115" s="47" t="n">
        <v>0</v>
      </c>
      <c r="W115" s="39" t="s">
        <v>86</v>
      </c>
      <c r="X115" s="39" t="s">
        <v>512</v>
      </c>
      <c r="Y115" s="38" t="s">
        <v>513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514</v>
      </c>
      <c r="B116" s="52" t="s">
        <v>515</v>
      </c>
      <c r="C116" s="52" t="s">
        <v>516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517</v>
      </c>
      <c r="N116" s="55" t="n">
        <v>46322</v>
      </c>
      <c r="O116" s="55" t="n">
        <v>46322</v>
      </c>
      <c r="P116" s="50" t="s">
        <v>291</v>
      </c>
      <c r="Q116" s="52" t="n">
        <v>62</v>
      </c>
      <c r="R116" s="52"/>
      <c r="S116" s="52" t="n">
        <v>2</v>
      </c>
      <c r="T116" s="52" t="s">
        <v>292</v>
      </c>
      <c r="U116" s="52"/>
      <c r="V116" s="56" t="n">
        <v>0</v>
      </c>
      <c r="W116" s="52" t="s">
        <v>80</v>
      </c>
      <c r="X116" s="52"/>
      <c r="Y116" s="52" t="s">
        <v>513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518</v>
      </c>
      <c r="B117" s="50" t="s">
        <v>519</v>
      </c>
      <c r="C117" s="50" t="s">
        <v>520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521</v>
      </c>
      <c r="N117" s="55" t="n">
        <v>46322</v>
      </c>
      <c r="O117" s="55" t="n">
        <v>46322</v>
      </c>
      <c r="P117" s="50" t="s">
        <v>291</v>
      </c>
      <c r="Q117" s="52" t="n">
        <v>61</v>
      </c>
      <c r="R117" s="52"/>
      <c r="S117" s="52" t="n">
        <v>2</v>
      </c>
      <c r="T117" s="52" t="s">
        <v>292</v>
      </c>
      <c r="U117" s="52"/>
      <c r="V117" s="56" t="n">
        <v>0</v>
      </c>
      <c r="W117" s="50" t="s">
        <v>86</v>
      </c>
      <c r="X117" s="52"/>
      <c r="Y117" s="52" t="s">
        <v>513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522</v>
      </c>
      <c r="B118" s="50" t="s">
        <v>523</v>
      </c>
      <c r="C118" s="50" t="s">
        <v>524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525</v>
      </c>
      <c r="N118" s="55" t="n">
        <v>46322</v>
      </c>
      <c r="O118" s="55" t="n">
        <v>46322</v>
      </c>
      <c r="P118" s="50" t="s">
        <v>291</v>
      </c>
      <c r="Q118" s="52" t="n">
        <v>61</v>
      </c>
      <c r="R118" s="52"/>
      <c r="S118" s="52" t="n">
        <v>2</v>
      </c>
      <c r="T118" s="52" t="s">
        <v>292</v>
      </c>
      <c r="U118" s="52"/>
      <c r="V118" s="56" t="n">
        <v>0</v>
      </c>
      <c r="W118" s="50" t="s">
        <v>86</v>
      </c>
      <c r="X118" s="52"/>
      <c r="Y118" s="52" t="s">
        <v>513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526</v>
      </c>
      <c r="B119" s="50" t="s">
        <v>527</v>
      </c>
      <c r="C119" s="50" t="s">
        <v>528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529</v>
      </c>
      <c r="N119" s="55" t="n">
        <v>46322</v>
      </c>
      <c r="O119" s="55" t="n">
        <v>46322</v>
      </c>
      <c r="P119" s="50" t="s">
        <v>291</v>
      </c>
      <c r="Q119" s="52" t="n">
        <v>61</v>
      </c>
      <c r="R119" s="52"/>
      <c r="S119" s="52" t="n">
        <v>2</v>
      </c>
      <c r="T119" s="52" t="s">
        <v>292</v>
      </c>
      <c r="U119" s="52"/>
      <c r="V119" s="56" t="n">
        <v>0</v>
      </c>
      <c r="W119" s="50" t="s">
        <v>86</v>
      </c>
      <c r="X119" s="52"/>
      <c r="Y119" s="52" t="s">
        <v>513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530</v>
      </c>
      <c r="B120" s="50" t="s">
        <v>531</v>
      </c>
      <c r="C120" s="50" t="s">
        <v>532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533</v>
      </c>
      <c r="N120" s="55" t="n">
        <v>46322</v>
      </c>
      <c r="O120" s="55" t="n">
        <v>46322</v>
      </c>
      <c r="P120" s="50" t="s">
        <v>291</v>
      </c>
      <c r="Q120" s="52" t="n">
        <v>60</v>
      </c>
      <c r="R120" s="52"/>
      <c r="S120" s="52" t="n">
        <v>2</v>
      </c>
      <c r="T120" s="52" t="s">
        <v>292</v>
      </c>
      <c r="U120" s="52"/>
      <c r="V120" s="56" t="n">
        <v>0</v>
      </c>
      <c r="W120" s="50" t="s">
        <v>86</v>
      </c>
      <c r="X120" s="52"/>
      <c r="Y120" s="52" t="s">
        <v>513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534</v>
      </c>
      <c r="B121" s="50" t="s">
        <v>535</v>
      </c>
      <c r="C121" s="50" t="s">
        <v>536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537</v>
      </c>
      <c r="N121" s="55" t="n">
        <v>46322</v>
      </c>
      <c r="O121" s="55" t="n">
        <v>46322</v>
      </c>
      <c r="P121" s="50" t="s">
        <v>291</v>
      </c>
      <c r="Q121" s="52" t="n">
        <v>60</v>
      </c>
      <c r="R121" s="52"/>
      <c r="S121" s="52" t="n">
        <v>2</v>
      </c>
      <c r="T121" s="52" t="s">
        <v>292</v>
      </c>
      <c r="U121" s="52"/>
      <c r="V121" s="56" t="n">
        <v>0</v>
      </c>
      <c r="W121" s="50" t="s">
        <v>86</v>
      </c>
      <c r="X121" s="52"/>
      <c r="Y121" s="52" t="s">
        <v>513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538</v>
      </c>
      <c r="B122" s="39" t="s">
        <v>539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 t="n">
        <v>46287</v>
      </c>
      <c r="M122" s="43"/>
      <c r="N122" s="44" t="n">
        <v>46287</v>
      </c>
      <c r="O122" s="45" t="n">
        <v>46287</v>
      </c>
      <c r="P122" s="46" t="s">
        <v>60</v>
      </c>
      <c r="Q122" s="37" t="n">
        <v>25</v>
      </c>
      <c r="R122" s="39"/>
      <c r="S122" s="39" t="n">
        <v>1</v>
      </c>
      <c r="T122" s="39" t="s">
        <v>157</v>
      </c>
      <c r="U122" s="39"/>
      <c r="V122" s="47" t="n">
        <v>1</v>
      </c>
      <c r="W122" s="38" t="s">
        <v>80</v>
      </c>
      <c r="X122" s="39"/>
      <c r="Y122" s="38" t="s">
        <v>540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541</v>
      </c>
      <c r="B123" s="39" t="s">
        <v>542</v>
      </c>
      <c r="C123" s="38" t="s">
        <v>543</v>
      </c>
      <c r="D123" s="39" t="s">
        <v>79</v>
      </c>
      <c r="E123" s="40" t="n">
        <v>0</v>
      </c>
      <c r="F123" s="38" t="s">
        <v>495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46251</v>
      </c>
      <c r="L123" s="42" t="n">
        <v>46253</v>
      </c>
      <c r="M123" s="43"/>
      <c r="N123" s="44" t="n">
        <v>46251</v>
      </c>
      <c r="O123" s="45" t="n">
        <v>46253</v>
      </c>
      <c r="P123" s="46" t="s">
        <v>60</v>
      </c>
      <c r="Q123" s="37" t="n">
        <v>-11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544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545</v>
      </c>
      <c r="B124" s="39" t="s">
        <v>546</v>
      </c>
      <c r="C124" s="39"/>
      <c r="D124" s="39" t="s">
        <v>79</v>
      </c>
      <c r="E124" s="40" t="n">
        <v>2.5</v>
      </c>
      <c r="F124" s="38" t="s">
        <v>547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46375</v>
      </c>
      <c r="O124" s="45" t="n">
        <v>46391</v>
      </c>
      <c r="P124" s="46" t="s">
        <v>291</v>
      </c>
      <c r="Q124" s="37" t="n">
        <v>69</v>
      </c>
      <c r="R124" s="39"/>
      <c r="S124" s="39" t="n">
        <v>1</v>
      </c>
      <c r="T124" s="39" t="s">
        <v>292</v>
      </c>
      <c r="U124" s="58" t="n">
        <v>46375.0124</v>
      </c>
      <c r="V124" s="47" t="n">
        <v>0</v>
      </c>
      <c r="W124" s="38" t="s">
        <v>80</v>
      </c>
      <c r="X124" s="39" t="s">
        <v>548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549</v>
      </c>
      <c r="B125" s="50" t="s">
        <v>550</v>
      </c>
      <c r="C125" s="50" t="s">
        <v>551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552</v>
      </c>
      <c r="N125" s="55" t="n">
        <v>46375</v>
      </c>
      <c r="O125" s="55" t="n">
        <v>46380</v>
      </c>
      <c r="P125" s="50" t="s">
        <v>291</v>
      </c>
      <c r="Q125" s="52" t="n">
        <v>67</v>
      </c>
      <c r="R125" s="52"/>
      <c r="S125" s="52" t="n">
        <v>2</v>
      </c>
      <c r="T125" s="52" t="s">
        <v>292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553</v>
      </c>
      <c r="B126" s="50" t="s">
        <v>554</v>
      </c>
      <c r="C126" s="52" t="s">
        <v>555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556</v>
      </c>
      <c r="N126" s="55" t="n">
        <v>46378</v>
      </c>
      <c r="O126" s="55" t="n">
        <v>46388</v>
      </c>
      <c r="P126" s="50" t="s">
        <v>291</v>
      </c>
      <c r="Q126" s="52" t="n">
        <v>69</v>
      </c>
      <c r="R126" s="52"/>
      <c r="S126" s="52" t="n">
        <v>2</v>
      </c>
      <c r="T126" s="52" t="s">
        <v>292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557</v>
      </c>
      <c r="B127" s="52" t="s">
        <v>558</v>
      </c>
      <c r="C127" s="52" t="s">
        <v>559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560</v>
      </c>
      <c r="N127" s="55" t="n">
        <v>46388</v>
      </c>
      <c r="O127" s="55" t="n">
        <v>46391</v>
      </c>
      <c r="P127" s="50" t="s">
        <v>291</v>
      </c>
      <c r="Q127" s="52" t="n">
        <v>69</v>
      </c>
      <c r="R127" s="52"/>
      <c r="S127" s="52" t="n">
        <v>2</v>
      </c>
      <c r="T127" s="52" t="s">
        <v>292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561</v>
      </c>
      <c r="B128" s="39" t="s">
        <v>562</v>
      </c>
      <c r="C128" s="39"/>
      <c r="D128" s="39" t="s">
        <v>301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46329</v>
      </c>
      <c r="O128" s="45" t="n">
        <v>46329</v>
      </c>
      <c r="P128" s="46" t="s">
        <v>291</v>
      </c>
      <c r="Q128" s="37" t="n">
        <v>57</v>
      </c>
      <c r="R128" s="39"/>
      <c r="S128" s="39" t="n">
        <v>1</v>
      </c>
      <c r="T128" s="39" t="s">
        <v>292</v>
      </c>
      <c r="U128" s="58" t="n">
        <v>46329.0128</v>
      </c>
      <c r="V128" s="47" t="n">
        <v>0</v>
      </c>
      <c r="W128" s="39" t="s">
        <v>86</v>
      </c>
      <c r="X128" s="39"/>
      <c r="Y128" s="38" t="s">
        <v>563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564</v>
      </c>
      <c r="B129" s="38" t="s">
        <v>565</v>
      </c>
      <c r="C129" s="39" t="s">
        <v>566</v>
      </c>
      <c r="D129" s="39" t="s">
        <v>112</v>
      </c>
      <c r="E129" s="40" t="n">
        <v>0</v>
      </c>
      <c r="F129" s="38" t="s">
        <v>561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567</v>
      </c>
      <c r="B130" s="38" t="s">
        <v>568</v>
      </c>
      <c r="C130" s="39"/>
      <c r="D130" s="39" t="s">
        <v>112</v>
      </c>
      <c r="E130" s="40" t="n">
        <v>0</v>
      </c>
      <c r="F130" s="38" t="s">
        <v>561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46330</v>
      </c>
      <c r="O130" s="45" t="n">
        <v>46335</v>
      </c>
      <c r="P130" s="46" t="s">
        <v>291</v>
      </c>
      <c r="Q130" s="37" t="n">
        <v>63</v>
      </c>
      <c r="R130" s="39"/>
      <c r="S130" s="39" t="n">
        <v>1</v>
      </c>
      <c r="T130" s="39" t="s">
        <v>292</v>
      </c>
      <c r="U130" s="58" t="n">
        <v>46330.013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569</v>
      </c>
      <c r="B131" s="39" t="s">
        <v>570</v>
      </c>
      <c r="C131" s="39"/>
      <c r="D131" s="39" t="s">
        <v>79</v>
      </c>
      <c r="E131" s="40" t="n">
        <v>0</v>
      </c>
      <c r="F131" s="38" t="s">
        <v>294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46372</v>
      </c>
      <c r="O131" s="45" t="n">
        <v>46374</v>
      </c>
      <c r="P131" s="46" t="s">
        <v>291</v>
      </c>
      <c r="Q131" s="37" t="n">
        <v>66</v>
      </c>
      <c r="R131" s="39"/>
      <c r="S131" s="39" t="n">
        <v>1</v>
      </c>
      <c r="T131" s="39" t="s">
        <v>292</v>
      </c>
      <c r="U131" s="58" t="n">
        <v>46372.0131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571</v>
      </c>
      <c r="D134" s="6" t="s">
        <v>572</v>
      </c>
    </row>
    <row r="135" customFormat="false" ht="15" hidden="false" customHeight="true" outlineLevel="0" collapsed="false">
      <c r="B135" s="63" t="s">
        <v>573</v>
      </c>
      <c r="D135" s="63" t="s">
        <v>574</v>
      </c>
      <c r="E135" s="63" t="s">
        <v>575</v>
      </c>
      <c r="I135" s="64" t="s">
        <v>576</v>
      </c>
      <c r="J135" s="64" t="s">
        <v>577</v>
      </c>
      <c r="K135" s="64" t="s">
        <v>578</v>
      </c>
      <c r="L135" s="64" t="s">
        <v>579</v>
      </c>
      <c r="O135" s="63" t="s">
        <v>580</v>
      </c>
      <c r="P135" s="63" t="s">
        <v>581</v>
      </c>
    </row>
    <row r="136" customFormat="false" ht="15" hidden="false" customHeight="true" outlineLevel="0" collapsed="false">
      <c r="B136" s="65" t="s">
        <v>582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583</v>
      </c>
    </row>
    <row r="137" customFormat="false" ht="15" hidden="false" customHeight="true" outlineLevel="0" collapsed="false">
      <c r="B137" s="65" t="s">
        <v>584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585</v>
      </c>
    </row>
    <row r="138" customFormat="false" ht="15" hidden="false" customHeight="true" outlineLevel="0" collapsed="false">
      <c r="B138" s="65" t="s">
        <v>586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587</v>
      </c>
    </row>
    <row r="139" customFormat="false" ht="15" hidden="false" customHeight="true" outlineLevel="0" collapsed="false">
      <c r="B139" s="65" t="s">
        <v>588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589</v>
      </c>
    </row>
    <row r="140" customFormat="false" ht="15" hidden="false" customHeight="true" outlineLevel="0" collapsed="false">
      <c r="B140" s="65" t="s">
        <v>590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591</v>
      </c>
    </row>
    <row r="141" customFormat="false" ht="15" hidden="false" customHeight="true" outlineLevel="0" collapsed="false">
      <c r="B141" s="70" t="s">
        <v>592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593</v>
      </c>
    </row>
    <row r="142" customFormat="false" ht="15" hidden="false" customHeight="true" outlineLevel="0" collapsed="false">
      <c r="B142" s="72" t="s">
        <v>594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595</v>
      </c>
    </row>
    <row r="145" customFormat="false" ht="15.75" hidden="false" customHeight="true" outlineLevel="0" collapsed="false">
      <c r="A145" s="77" t="s">
        <v>596</v>
      </c>
    </row>
    <row r="146" customFormat="false" ht="15" hidden="false" customHeight="true" outlineLevel="0" collapsed="false">
      <c r="B146" s="17" t="s">
        <v>597</v>
      </c>
      <c r="D146" s="78" t="s">
        <v>598</v>
      </c>
      <c r="E146" s="78"/>
      <c r="F146" s="78"/>
      <c r="G146" s="78"/>
      <c r="H146" s="78"/>
      <c r="I146" s="78"/>
      <c r="J146" s="78"/>
      <c r="K146" s="19" t="s">
        <v>599</v>
      </c>
    </row>
    <row r="147" customFormat="false" ht="15" hidden="false" customHeight="true" outlineLevel="0" collapsed="false">
      <c r="B147" s="79" t="s">
        <v>600</v>
      </c>
      <c r="E147" s="80" t="s">
        <v>601</v>
      </c>
      <c r="I147" s="79" t="s">
        <v>602</v>
      </c>
    </row>
    <row r="148" customFormat="false" ht="24" hidden="false" customHeight="true" outlineLevel="0" collapsed="false">
      <c r="A148" s="81" t="s">
        <v>603</v>
      </c>
      <c r="B148" s="82" t="s">
        <v>604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605</v>
      </c>
      <c r="B149" s="82" t="s">
        <v>606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607</v>
      </c>
      <c r="B150" s="82" t="s">
        <v>608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609</v>
      </c>
      <c r="B151" s="82" t="s">
        <v>610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611</v>
      </c>
      <c r="B152" s="82" t="s">
        <v>612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613</v>
      </c>
      <c r="B153" s="82" t="s">
        <v>614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615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616</v>
      </c>
    </row>
    <row r="2" customFormat="false" ht="15" hidden="false" customHeight="false" outlineLevel="0" collapsed="false">
      <c r="B2" s="87" t="s">
        <v>617</v>
      </c>
      <c r="C2" s="88" t="s">
        <v>618</v>
      </c>
    </row>
    <row r="3" customFormat="false" ht="15" hidden="false" customHeight="false" outlineLevel="0" collapsed="false">
      <c r="B3" s="87" t="s">
        <v>619</v>
      </c>
      <c r="C3" s="88" t="s">
        <v>620</v>
      </c>
    </row>
    <row r="4" customFormat="false" ht="15" hidden="false" customHeight="false" outlineLevel="0" collapsed="false">
      <c r="B4" s="89" t="s">
        <v>621</v>
      </c>
      <c r="C4" s="88" t="s">
        <v>622</v>
      </c>
    </row>
    <row r="5" customFormat="false" ht="15" hidden="false" customHeight="false" outlineLevel="0" collapsed="false">
      <c r="H5" s="90" t="s">
        <v>623</v>
      </c>
      <c r="I5" s="90"/>
      <c r="J5" s="90" t="s">
        <v>624</v>
      </c>
      <c r="K5" s="90"/>
      <c r="L5" s="90"/>
      <c r="M5" s="90"/>
      <c r="N5" s="90"/>
      <c r="O5" s="90" t="s">
        <v>625</v>
      </c>
      <c r="P5" s="90"/>
      <c r="Q5" s="90"/>
      <c r="R5" s="90"/>
      <c r="S5" s="90" t="s">
        <v>626</v>
      </c>
      <c r="T5" s="90"/>
      <c r="U5" s="90"/>
      <c r="V5" s="90"/>
      <c r="W5" s="90"/>
      <c r="X5" s="90" t="s">
        <v>627</v>
      </c>
      <c r="Y5" s="90"/>
      <c r="Z5" s="90"/>
      <c r="AA5" s="90"/>
      <c r="AB5" s="90" t="s">
        <v>628</v>
      </c>
      <c r="AC5" s="90"/>
      <c r="AD5" s="90"/>
      <c r="AE5" s="90"/>
      <c r="AF5" s="90" t="s">
        <v>629</v>
      </c>
      <c r="AG5" s="90"/>
      <c r="AH5" s="90"/>
      <c r="AI5" s="90"/>
      <c r="AJ5" s="90"/>
      <c r="AK5" s="90" t="s">
        <v>630</v>
      </c>
      <c r="AL5" s="90"/>
      <c r="AM5" s="90"/>
      <c r="AN5" s="90"/>
      <c r="AO5" s="90" t="s">
        <v>631</v>
      </c>
      <c r="AP5" s="90"/>
      <c r="AQ5" s="90"/>
      <c r="AR5" s="90"/>
      <c r="AS5" s="90" t="s">
        <v>632</v>
      </c>
      <c r="AT5" s="90"/>
      <c r="AU5" s="90"/>
      <c r="AV5" s="90"/>
      <c r="AW5" s="90" t="s">
        <v>633</v>
      </c>
      <c r="AX5" s="90"/>
      <c r="AY5" s="90"/>
      <c r="AZ5" s="90"/>
      <c r="BA5" s="90"/>
      <c r="BB5" s="90" t="s">
        <v>634</v>
      </c>
      <c r="BC5" s="90"/>
      <c r="BD5" s="90"/>
      <c r="BE5" s="90"/>
      <c r="BF5" s="90" t="s">
        <v>635</v>
      </c>
      <c r="BG5" s="90"/>
      <c r="BH5" s="90"/>
      <c r="BI5" s="90"/>
      <c r="BJ5" s="90"/>
      <c r="BK5" s="90" t="s">
        <v>636</v>
      </c>
      <c r="BL5" s="90"/>
      <c r="BM5" s="90"/>
      <c r="BN5" s="90"/>
      <c r="BO5" s="90" t="s">
        <v>637</v>
      </c>
      <c r="BP5" s="90"/>
      <c r="BQ5" s="90"/>
      <c r="BR5" s="90"/>
      <c r="BS5" s="90" t="s">
        <v>638</v>
      </c>
      <c r="BT5" s="90"/>
      <c r="BU5" s="90"/>
      <c r="BV5" s="90"/>
      <c r="BW5" s="90"/>
      <c r="BX5" s="90" t="s">
        <v>639</v>
      </c>
      <c r="BY5" s="90"/>
    </row>
    <row r="6" customFormat="false" ht="43.5" hidden="false" customHeight="true" outlineLevel="0" collapsed="false">
      <c r="A6" s="91" t="s">
        <v>640</v>
      </c>
      <c r="B6" s="91" t="s">
        <v>641</v>
      </c>
      <c r="C6" s="91" t="s">
        <v>642</v>
      </c>
      <c r="D6" s="91" t="s">
        <v>643</v>
      </c>
      <c r="E6" s="91" t="s">
        <v>644</v>
      </c>
      <c r="F6" s="91" t="s">
        <v>645</v>
      </c>
      <c r="G6" s="91" t="s">
        <v>646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647</v>
      </c>
      <c r="C8" s="95" t="s">
        <v>648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649</v>
      </c>
      <c r="D9" s="96"/>
      <c r="E9" s="99" t="n">
        <v>46188</v>
      </c>
      <c r="F9" s="99" t="n">
        <v>46188</v>
      </c>
      <c r="G9" s="100"/>
      <c r="H9" s="101"/>
      <c r="I9" s="101"/>
      <c r="J9" s="101"/>
      <c r="K9" s="101"/>
      <c r="L9" s="101" t="n">
        <v>0.5</v>
      </c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650</v>
      </c>
      <c r="C10" s="95" t="s">
        <v>648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649</v>
      </c>
      <c r="D11" s="96"/>
      <c r="E11" s="99" t="n">
        <v>46194</v>
      </c>
      <c r="F11" s="99" t="n">
        <v>46203</v>
      </c>
      <c r="G11" s="100"/>
      <c r="H11" s="101"/>
      <c r="I11" s="101"/>
      <c r="J11" s="101"/>
      <c r="K11" s="101"/>
      <c r="L11" s="101" t="n">
        <v>0.3333</v>
      </c>
      <c r="M11" s="101" t="n">
        <v>0.3333</v>
      </c>
      <c r="N11" s="101" t="n">
        <v>0.3333</v>
      </c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651</v>
      </c>
      <c r="C12" s="95" t="s">
        <v>648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649</v>
      </c>
      <c r="D13" s="96"/>
      <c r="E13" s="99" t="n">
        <v>46213</v>
      </c>
      <c r="F13" s="99" t="n">
        <v>46213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652</v>
      </c>
      <c r="C14" s="95" t="s">
        <v>648</v>
      </c>
      <c r="D14" s="96" t="n">
        <v>1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0.357142857142857</v>
      </c>
      <c r="O14" s="98" t="n">
        <f aca="false">IF($E14="",0,IF(O$6+6&lt;$E14,0,IF(O$6&gt;$F14,0,$D14*(IF(O$6+6&lt;$F14,O$6+6,$F14)-IF(O$6&gt;$E14,O$6,$E14)+1)/($F14-$E14+1))))</f>
        <v>0.5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649</v>
      </c>
      <c r="D15" s="96"/>
      <c r="E15" s="99" t="n">
        <v>46195</v>
      </c>
      <c r="F15" s="99" t="n">
        <v>46208</v>
      </c>
      <c r="G15" s="100"/>
      <c r="H15" s="101"/>
      <c r="I15" s="101"/>
      <c r="J15" s="101"/>
      <c r="K15" s="101"/>
      <c r="L15" s="101"/>
      <c r="M15" s="101" t="n">
        <v>0.5</v>
      </c>
      <c r="N15" s="101" t="n">
        <v>0.5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653</v>
      </c>
      <c r="C16" s="95" t="s">
        <v>648</v>
      </c>
      <c r="D16" s="96" t="n">
        <v>1</v>
      </c>
      <c r="E16" s="97" t="n">
        <v>46260</v>
      </c>
      <c r="F16" s="97" t="n">
        <v>46260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1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649</v>
      </c>
      <c r="D17" s="96"/>
      <c r="E17" s="99" t="n">
        <v>46286</v>
      </c>
      <c r="F17" s="99" t="n">
        <v>46286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 t="n">
        <v>1</v>
      </c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654</v>
      </c>
      <c r="C18" s="95" t="s">
        <v>648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649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655</v>
      </c>
      <c r="B20" s="95" t="s">
        <v>656</v>
      </c>
      <c r="C20" s="95" t="s">
        <v>648</v>
      </c>
      <c r="D20" s="96" t="n">
        <v>1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0.108695652173913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0.130434782608696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649</v>
      </c>
      <c r="D21" s="96"/>
      <c r="E21" s="99" t="n">
        <v>46280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297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298</v>
      </c>
      <c r="B23" s="95" t="s">
        <v>657</v>
      </c>
      <c r="C23" s="95" t="s">
        <v>648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649</v>
      </c>
      <c r="D24" s="96"/>
      <c r="E24" s="99" t="n">
        <v>46191</v>
      </c>
      <c r="F24" s="99" t="n">
        <v>46230</v>
      </c>
      <c r="G24" s="100"/>
      <c r="H24" s="101"/>
      <c r="I24" s="101"/>
      <c r="J24" s="101"/>
      <c r="K24" s="101"/>
      <c r="L24" s="101" t="n">
        <v>2.8571</v>
      </c>
      <c r="M24" s="101" t="n">
        <v>2.8571</v>
      </c>
      <c r="N24" s="101" t="n">
        <v>2.8571</v>
      </c>
      <c r="O24" s="101" t="n">
        <v>2.8571</v>
      </c>
      <c r="P24" s="101" t="n">
        <v>2.8571</v>
      </c>
      <c r="Q24" s="101" t="n">
        <v>2.8571</v>
      </c>
      <c r="R24" s="101" t="n">
        <v>2.8571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333</v>
      </c>
      <c r="B25" s="95" t="s">
        <v>658</v>
      </c>
      <c r="C25" s="95" t="s">
        <v>648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649</v>
      </c>
      <c r="D26" s="96"/>
      <c r="E26" s="99" t="n">
        <v>46242</v>
      </c>
      <c r="F26" s="99" t="n">
        <v>46245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5</v>
      </c>
      <c r="T26" s="101" t="n">
        <v>5</v>
      </c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357</v>
      </c>
      <c r="B27" s="95" t="s">
        <v>659</v>
      </c>
      <c r="C27" s="95" t="s">
        <v>648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649</v>
      </c>
      <c r="D28" s="96"/>
      <c r="E28" s="99" t="n">
        <v>46231</v>
      </c>
      <c r="F28" s="99" t="n">
        <v>46246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 t="n">
        <v>6.6667</v>
      </c>
      <c r="S28" s="101" t="n">
        <v>6.6667</v>
      </c>
      <c r="T28" s="101" t="n">
        <v>6.6667</v>
      </c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381</v>
      </c>
      <c r="B29" s="95" t="s">
        <v>660</v>
      </c>
      <c r="C29" s="95" t="s">
        <v>648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649</v>
      </c>
      <c r="D30" s="96"/>
      <c r="E30" s="99" t="n">
        <v>46244</v>
      </c>
      <c r="F30" s="99" t="n">
        <v>46246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 t="n">
        <v>2.5</v>
      </c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393</v>
      </c>
      <c r="B31" s="95" t="s">
        <v>661</v>
      </c>
      <c r="C31" s="95" t="s">
        <v>648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649</v>
      </c>
      <c r="D32" s="96"/>
      <c r="E32" s="99" t="n">
        <v>46242</v>
      </c>
      <c r="F32" s="99" t="n">
        <v>46245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7.5</v>
      </c>
      <c r="T32" s="101" t="n">
        <v>7.5</v>
      </c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413</v>
      </c>
      <c r="B33" s="95" t="s">
        <v>662</v>
      </c>
      <c r="C33" s="95" t="s">
        <v>648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649</v>
      </c>
      <c r="D34" s="96"/>
      <c r="E34" s="99" t="n">
        <v>46243</v>
      </c>
      <c r="F34" s="99" t="n">
        <v>46246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5</v>
      </c>
      <c r="T34" s="101" t="n">
        <v>5</v>
      </c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437</v>
      </c>
      <c r="B35" s="95" t="s">
        <v>663</v>
      </c>
      <c r="C35" s="95" t="s">
        <v>648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649</v>
      </c>
      <c r="D36" s="96"/>
      <c r="E36" s="99" t="n">
        <v>46244</v>
      </c>
      <c r="F36" s="99" t="n">
        <v>46246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 t="n">
        <v>5</v>
      </c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452</v>
      </c>
      <c r="B37" s="95" t="s">
        <v>664</v>
      </c>
      <c r="C37" s="95" t="s">
        <v>648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649</v>
      </c>
      <c r="D38" s="96"/>
      <c r="E38" s="99" t="n">
        <v>46245</v>
      </c>
      <c r="F38" s="99" t="n">
        <v>46247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 t="n">
        <v>5</v>
      </c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480</v>
      </c>
      <c r="B39" s="95" t="s">
        <v>665</v>
      </c>
      <c r="C39" s="95" t="s">
        <v>648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649</v>
      </c>
      <c r="D40" s="96"/>
      <c r="E40" s="99" t="n">
        <v>46246</v>
      </c>
      <c r="F40" s="99" t="n">
        <v>46247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 t="n">
        <v>2.5</v>
      </c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666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510</v>
      </c>
      <c r="B42" s="95" t="s">
        <v>667</v>
      </c>
      <c r="C42" s="95" t="s">
        <v>648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649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545</v>
      </c>
      <c r="B44" s="95" t="s">
        <v>668</v>
      </c>
      <c r="C44" s="95" t="s">
        <v>648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649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669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0.857142857142857</v>
      </c>
      <c r="O47" s="103" t="n">
        <f aca="false">SUMIF($C$7:$C$45,"Plan",O$7:O$45)</f>
        <v>1</v>
      </c>
      <c r="P47" s="103" t="n">
        <f aca="false">SUMIF($C$7:$C$45,"Plan",P$7:P$45)</f>
        <v>0.142857142857143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4.10869565217391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0.130434782608696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670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3.6904</v>
      </c>
      <c r="M48" s="103" t="n">
        <f aca="false">SUMIF($C$7:$C$45,"Actual",M$7:M$45)</f>
        <v>3.6904</v>
      </c>
      <c r="N48" s="103" t="n">
        <f aca="false">SUMIF($C$7:$C$45,"Actual",N$7:N$45)</f>
        <v>3.6904</v>
      </c>
      <c r="O48" s="103" t="n">
        <f aca="false">SUMIF($C$7:$C$45,"Actual",O$7:O$45)</f>
        <v>3.3571</v>
      </c>
      <c r="P48" s="103" t="n">
        <f aca="false">SUMIF($C$7:$C$45,"Actual",P$7:P$45)</f>
        <v>2.8571</v>
      </c>
      <c r="Q48" s="103" t="n">
        <f aca="false">SUMIF($C$7:$C$45,"Actual",Q$7:Q$45)</f>
        <v>2.8571</v>
      </c>
      <c r="R48" s="103" t="n">
        <f aca="false">SUMIF($C$7:$C$45,"Actual",R$7:R$45)</f>
        <v>9.5238</v>
      </c>
      <c r="S48" s="103" t="n">
        <f aca="false">SUMIF($C$7:$C$45,"Actual",S$7:S$45)</f>
        <v>24.1667</v>
      </c>
      <c r="T48" s="103" t="n">
        <f aca="false">SUMIF($C$7:$C$45,"Actual",T$7:T$45)</f>
        <v>39.1667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0.1667</v>
      </c>
      <c r="Z48" s="103" t="n">
        <f aca="false">SUMIF($C$7:$C$45,"Actual",Z$7:Z$45)</f>
        <v>1.1667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671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1.35714285714286</v>
      </c>
      <c r="O49" s="105" t="n">
        <f aca="false">N49+O47</f>
        <v>2.35714285714286</v>
      </c>
      <c r="P49" s="105" t="n">
        <f aca="false">O49+P47</f>
        <v>2.5</v>
      </c>
      <c r="Q49" s="105" t="n">
        <f aca="false">P49+Q47</f>
        <v>3</v>
      </c>
      <c r="R49" s="105" t="n">
        <f aca="false">Q49+R47</f>
        <v>10.7777777777778</v>
      </c>
      <c r="S49" s="105" t="n">
        <f aca="false">R49+S47</f>
        <v>18.5555555555556</v>
      </c>
      <c r="T49" s="105" t="n">
        <f aca="false">S49+T47</f>
        <v>43.3809523809524</v>
      </c>
      <c r="U49" s="105" t="n">
        <f aca="false">T49+U47</f>
        <v>92.5</v>
      </c>
      <c r="V49" s="105" t="n">
        <f aca="false">U49+V47</f>
        <v>96.6086956521739</v>
      </c>
      <c r="W49" s="105" t="n">
        <f aca="false">V49+W47</f>
        <v>96.7608695652174</v>
      </c>
      <c r="X49" s="105" t="n">
        <f aca="false">W49+X47</f>
        <v>96.9130434782609</v>
      </c>
      <c r="Y49" s="105" t="n">
        <f aca="false">X49+Y47</f>
        <v>97.0652173913044</v>
      </c>
      <c r="Z49" s="105" t="n">
        <f aca="false">Y49+Z47</f>
        <v>97.2173913043478</v>
      </c>
      <c r="AA49" s="105" t="n">
        <f aca="false">Z49+AA47</f>
        <v>97.3695652173913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672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3.6904</v>
      </c>
      <c r="M50" s="105" t="n">
        <f aca="false">IF(M$6&gt;46314,"",L50+M48)</f>
        <v>7.3808</v>
      </c>
      <c r="N50" s="105" t="n">
        <f aca="false">IF(N$6&gt;46314,"",M50+N48)</f>
        <v>11.0712</v>
      </c>
      <c r="O50" s="105" t="n">
        <f aca="false">IF(O$6&gt;46314,"",N50+O48)</f>
        <v>14.4283</v>
      </c>
      <c r="P50" s="105" t="n">
        <f aca="false">IF(P$6&gt;46314,"",O50+P48)</f>
        <v>17.2854</v>
      </c>
      <c r="Q50" s="105" t="n">
        <f aca="false">IF(Q$6&gt;46314,"",P50+Q48)</f>
        <v>20.1425</v>
      </c>
      <c r="R50" s="105" t="n">
        <f aca="false">IF(R$6&gt;46314,"",Q50+R48)</f>
        <v>29.6663</v>
      </c>
      <c r="S50" s="105" t="n">
        <f aca="false">IF(S$6&gt;46314,"",R50+S48)</f>
        <v>53.833</v>
      </c>
      <c r="T50" s="105" t="n">
        <f aca="false">IF(T$6&gt;46314,"",S50+T48)</f>
        <v>92.9997</v>
      </c>
      <c r="U50" s="105" t="n">
        <f aca="false">IF(U$6&gt;46314,"",T50+U48)</f>
        <v>92.9997</v>
      </c>
      <c r="V50" s="105" t="n">
        <f aca="false">IF(V$6&gt;46314,"",U50+V48)</f>
        <v>92.9997</v>
      </c>
      <c r="W50" s="105" t="n">
        <f aca="false">IF(W$6&gt;46314,"",V50+W48)</f>
        <v>92.9997</v>
      </c>
      <c r="X50" s="105" t="n">
        <f aca="false">IF(X$6&gt;46314,"",W50+X48)</f>
        <v>92.9997</v>
      </c>
      <c r="Y50" s="105" t="n">
        <f aca="false">IF(Y$6&gt;46314,"",X50+Y48)</f>
        <v>93.1664</v>
      </c>
      <c r="Z50" s="105" t="n">
        <f aca="false">IF(Z$6&gt;46314,"",Y50+Z48)</f>
        <v>94.3331</v>
      </c>
      <c r="AA50" s="105" t="n">
        <f aca="false">IF(AA$6&gt;46314,"",Z50+AA48)</f>
        <v>94.4998</v>
      </c>
      <c r="AB50" s="105" t="n">
        <f aca="false">IF(AB$6&gt;46314,"",AA50+AB48)</f>
        <v>94.6665</v>
      </c>
      <c r="AC50" s="105" t="n">
        <f aca="false">IF(AC$6&gt;46314,"",AB50+AC48)</f>
        <v>94.8332</v>
      </c>
      <c r="AD50" s="105" t="n">
        <f aca="false">IF(AD$6&gt;46314,"",AC50+AD48)</f>
        <v>94.9999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2026-10-26T04:41:08Z</dcterms:created>
  <dc:creator>openpyxl</dc:creator>
  <dc:description/>
  <dc:language>en-US</dc:language>
  <cp:lastModifiedBy/>
  <dcterms:modified xsi:type="dcterms:W3CDTF">2026-10-26T11:45:45Z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