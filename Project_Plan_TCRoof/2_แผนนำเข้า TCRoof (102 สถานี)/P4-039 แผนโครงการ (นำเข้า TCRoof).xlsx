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<sst xmlns="http://schemas.openxmlformats.org/spreadsheetml/2006/main" count="1284" uniqueCount="667">
  <si>
    <t xml:space="preserve">แผนโครงการ P4-039 – สถานีผลิตน้ำแม่ข่ายพิบูลมังสาหาร 83.22 kWp</t>
  </si>
  <si>
    <t xml:space="preserve">กปภ.สาขาพิบูลมังสาหาร, ภาคอีสาน, กฟภ. เขต ฉ.2, Inverter 80 kW (ไม่ต้อง พค.2), Zero export LV, คำขอ PPIM1A508348, วิศวกร น็อต, Admin เตย,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</si>
  <si>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</si>
  <si>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</si>
  <si>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</si>
  <si>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</si>
  <si>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</si>
  <si>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</si>
  <si>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</si>
  <si>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</si>
  <si>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</si>
  <si>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</si>
  <si>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</si>
  <si>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</si>
  <si>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</si>
  <si>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</si>
  <si>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</si>
  <si>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</si>
  <si>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</si>
  <si>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</si>
  <si>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</si>
  <si>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</si>
  <si>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</si>
  <si>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</si>
  <si>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</si>
  <si>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</si>
  <si>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</si>
  <si>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</si>
  <si>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</si>
  <si>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P4-039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</si>
  <si>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</si>
  <si>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</si>
  <si>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</si>
  <si>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</si>
  <si>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</si>
  <si>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</si>
  <si>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</si>
  <si>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</si>
  <si>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</si>
  <si>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</si>
  <si>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</si>
  <si>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</si>
  <si>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</si>
  <si>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</si>
  <si>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</si>
  <si>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</si>
  <si>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</si>
  <si>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</si>
  <si>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</si>
  <si>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</si>
  <si>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</si>
  <si>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</si>
  <si>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</si>
  <si>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</si>
  <si>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</si>
  <si>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</si>
  <si>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</si>
  <si>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</si>
  <si>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</si>
  <si>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</si>
  <si>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</si>
  <si>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</si>
  <si>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</si>
  <si>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</si>
  <si>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</si>
  <si>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</si>
  <si>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</si>
  <si>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</si>
  <si>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</si>
  <si>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</si>
  <si>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</si>
  <si>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</si>
  <si>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</si>
  <si>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</si>
  <si>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</si>
  <si>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</si>
  <si>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</si>
  <si>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</si>
  <si>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</si>
  <si>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</si>
  <si>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</si>
  <si>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</si>
  <si>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</si>
  <si>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</si>
  <si>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</si>
  <si>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</si>
  <si>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</si>
  <si>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</si>
  <si>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</si>
  <si>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</si>
  <si>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</si>
  <si>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</si>
  <si>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</si>
  <si>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</si>
  <si>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</si>
  <si>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</si>
  <si>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</si>
  <si>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</si>
  <si>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</si>
  <si>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</si>
  <si>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</si>
  <si>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</si>
  <si>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</si>
  <si>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</si>
  <si>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</si>
  <si>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</si>
  <si>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</si>
  <si>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</si>
  <si>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</si>
  <si>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</si>
  <si>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</si>
  <si>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TC-PML-2026-527,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</si>
  <si>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</si>
  <si>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</si>
  <si>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</si>
  <si>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</si>
  <si>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</si>
  <si>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</si>
  <si>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</si>
  <si>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</si>
  <si>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</si>
  <si>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</si>
  <si>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</si>
  <si>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</si>
  <si>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</si>
  <si>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</si>
  <si>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</si>
  <si>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</si>
  <si>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</si>
  <si>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</si>
  <si>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</si>
  <si>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</si>
  <si>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</si>
  <si>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</si>
  <si>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</si>
  <si>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</si>
  <si>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</si>
  <si>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</si>
  <si>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</si>
  <si>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</si>
  <si>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</si>
  <si>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</si>
  <si>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</si>
  <si>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</si>
  <si>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</si>
  <si>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</si>
  <si>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</si>
  <si>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</si>
  <si>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</si>
  <si>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</si>
  <si>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</si>
  <si>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</si>
  <si>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</si>
  <si>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WBS'!L6642</t>
    </r>
  </si>
  <si>
    <t xml:space="preserve">0.3</t>
  </si>
  <si>
    <t xml:space="preserve">หนังสือแจ้งขอดับไฟ</t>
  </si>
  <si>
    <t xml:space="preserve">TC-PML-2026-614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</si>
  <si>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</si>
  <si>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</si>
  <si>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</si>
  <si>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</si>
  <si>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</si>
  <si>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</si>
  <si>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</si>
  <si>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</si>
  <si>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</si>
  <si>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</si>
  <si>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</si>
  <si>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</si>
  <si>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</si>
  <si>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</si>
  <si>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</si>
  <si>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</si>
  <si>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</si>
  <si>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</si>
  <si>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</si>
  <si>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</si>
  <si>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</si>
  <si>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</si>
  <si>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</si>
  <si>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</si>
  <si>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</si>
  <si>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</si>
  <si>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</si>
  <si>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</si>
  <si>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</si>
  <si>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</si>
  <si>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</si>
  <si>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</si>
  <si>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</si>
  <si>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</si>
  <si>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</si>
  <si>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</si>
  <si>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</si>
  <si>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</si>
  <si>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</si>
  <si>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</si>
  <si>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</si>
  <si>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</si>
  <si>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</si>
  <si>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</si>
  <si>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</si>
  <si>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</si>
  <si>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</si>
  <si>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</si>
  <si>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</si>
  <si>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</si>
  <si>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</si>
  <si>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</si>
  <si>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</si>
  <si>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</si>
  <si>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</si>
  <si>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</si>
  <si>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</si>
  <si>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</si>
  <si>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</si>
  <si>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</si>
  <si>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</si>
  <si>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</si>
  <si>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</si>
  <si>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</si>
  <si>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</si>
  <si>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</si>
  <si>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</si>
  <si>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</si>
  <si>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</si>
  <si>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</si>
  <si>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</si>
  <si>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</si>
  <si>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</si>
  <si>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</si>
  <si>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</si>
  <si>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</si>
  <si>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</si>
  <si>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</si>
  <si>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</si>
  <si>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</si>
  <si>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</si>
  <si>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</si>
  <si>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</si>
  <si>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</si>
  <si>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</si>
  <si>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</si>
  <si>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</si>
  <si>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</si>
  <si>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</si>
  <si>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</si>
  <si>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</si>
  <si>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</si>
  <si>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</si>
  <si>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</si>
  <si>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</si>
  <si>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</si>
  <si>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</si>
  <si>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</si>
  <si>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</si>
  <si>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</si>
  <si>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</si>
  <si>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</si>
  <si>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</si>
  <si>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</si>
  <si>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</si>
  <si>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</si>
  <si>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</si>
  <si>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</si>
  <si>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</si>
  <si>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</si>
  <si>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</si>
  <si>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</si>
  <si>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</si>
  <si>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</si>
  <si>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</si>
  <si>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WBS'!L6660</t>
    </r>
  </si>
  <si>
    <t xml:space="preserve">1.7.1</t>
  </si>
  <si>
    <t xml:space="preserve">คำขอขนานไฟ PPIM (ชุด 11 ไฟล์)</t>
  </si>
  <si>
    <t xml:space="preserve">PPIM1A508348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</si>
  <si>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</si>
  <si>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</si>
  <si>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</si>
  <si>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</si>
  <si>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</si>
  <si>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</si>
  <si>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</si>
  <si>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</si>
  <si>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</si>
  <si>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</si>
  <si>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</si>
  <si>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</si>
  <si>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</si>
  <si>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</si>
  <si>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</si>
  <si>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</si>
  <si>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</si>
  <si>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</si>
  <si>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</si>
  <si>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</si>
  <si>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</si>
  <si>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</si>
  <si>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(5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</si>
  <si>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</si>
  <si>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</si>
  <si>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</si>
  <si>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</si>
  <si>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</si>
  <si>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</si>
  <si>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</si>
  <si>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</si>
  <si>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</si>
  <si>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</si>
  <si>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</si>
  <si>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</si>
  <si>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</si>
  <si>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</si>
  <si>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</si>
  <si>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</si>
  <si>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</si>
  <si>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</si>
  <si>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</si>
  <si>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</si>
  <si>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</si>
  <si>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</si>
  <si>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</si>
  <si>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</si>
  <si>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</si>
  <si>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</si>
  <si>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</si>
  <si>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</si>
  <si>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</si>
  <si>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</si>
  <si>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</si>
  <si>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</si>
  <si>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</si>
  <si>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</si>
  <si>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</si>
  <si>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</si>
  <si>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</si>
  <si>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</si>
  <si>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</si>
  <si>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</si>
  <si>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</si>
  <si>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</si>
  <si>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</si>
  <si>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</si>
  <si>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</si>
  <si>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</si>
  <si>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</si>
  <si>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</si>
  <si>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</si>
  <si>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</si>
  <si>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</si>
  <si>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</si>
  <si>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</si>
  <si>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</si>
  <si>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</si>
  <si>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</si>
  <si>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</si>
  <si>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</si>
  <si>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</si>
  <si>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</si>
  <si>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</si>
  <si>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</si>
  <si>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</si>
  <si>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</si>
  <si>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</si>
  <si>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</si>
  <si>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</si>
  <si>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</si>
  <si>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</si>
  <si>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</si>
  <si>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</si>
  <si>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</si>
  <si>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</si>
  <si>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</si>
  <si>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</si>
  <si>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</si>
  <si>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</si>
  <si>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</si>
  <si>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</si>
  <si>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</si>
  <si>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</si>
  <si>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</si>
  <si>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</si>
  <si>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</si>
  <si>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</si>
  <si>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</si>
  <si>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</si>
  <si>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</si>
  <si>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</si>
  <si>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WBS'!L6679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</si>
  <si>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</si>
  <si>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</si>
  <si>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</si>
  <si>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</si>
  <si>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</si>
  <si>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</si>
  <si>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</si>
  <si>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</si>
  <si>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</si>
  <si>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</si>
  <si>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</si>
  <si>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</si>
  <si>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</si>
  <si>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</si>
  <si>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</si>
  <si>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</si>
  <si>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</si>
  <si>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</si>
  <si>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</si>
  <si>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WBS'!L6683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</si>
  <si>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</si>
  <si>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</si>
  <si>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</si>
  <si>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</si>
  <si>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</si>
  <si>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</si>
  <si>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</si>
  <si>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</si>
  <si>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</si>
  <si>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</si>
  <si>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</si>
  <si>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</si>
  <si>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</si>
  <si>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</si>
  <si>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</si>
  <si>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</si>
  <si>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</si>
  <si>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</si>
  <si>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</si>
  <si>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</si>
  <si>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</si>
  <si>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</si>
  <si>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</si>
  <si>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</si>
  <si>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</si>
  <si>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</si>
  <si>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</si>
  <si>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</si>
  <si>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</si>
  <si>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</si>
  <si>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</si>
  <si>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</si>
  <si>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</si>
  <si>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</si>
  <si>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</si>
  <si>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</si>
  <si>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</si>
  <si>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</si>
  <si>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WBS'!L6691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</si>
  <si>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</si>
  <si>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</si>
  <si>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</si>
  <si>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</si>
  <si>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</si>
  <si>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</si>
  <si>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</si>
  <si>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</si>
  <si>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</si>
  <si>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</si>
  <si>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</si>
  <si>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</si>
  <si>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</si>
  <si>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WBS'!L6692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</si>
  <si>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</si>
  <si>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</si>
  <si>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</si>
  <si>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</si>
  <si>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</si>
  <si>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</si>
  <si>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</si>
  <si>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</si>
  <si>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</si>
  <si>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</si>
  <si>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</si>
  <si>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</si>
  <si>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</si>
  <si>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</si>
  <si>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</si>
  <si>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</si>
  <si>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</si>
  <si>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</si>
  <si>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</si>
  <si>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</si>
  <si>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</si>
  <si>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</si>
  <si>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</si>
  <si>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</si>
  <si>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</si>
  <si>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</si>
  <si>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</si>
  <si>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</si>
  <si>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</si>
  <si>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</si>
  <si>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</si>
  <si>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</si>
  <si>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</si>
  <si>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</si>
  <si>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</si>
  <si>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</si>
  <si>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</si>
  <si>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</si>
  <si>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</si>
  <si>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</si>
  <si>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</si>
  <si>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</si>
  <si>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</si>
  <si>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</si>
  <si>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</si>
  <si>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</si>
  <si>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</si>
  <si>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</si>
  <si>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</si>
  <si>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</si>
  <si>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</si>
  <si>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</si>
  <si>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</si>
  <si>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</si>
  <si>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</si>
  <si>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</si>
  <si>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</si>
  <si>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</si>
  <si>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</si>
  <si>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</si>
  <si>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</si>
  <si>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</si>
  <si>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</si>
  <si>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</si>
  <si>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</si>
  <si>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</si>
  <si>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</si>
  <si>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</si>
  <si>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</si>
  <si>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</si>
  <si>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</si>
  <si>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</si>
  <si>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</si>
  <si>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</si>
  <si>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</si>
  <si>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</si>
  <si>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</si>
  <si>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</si>
  <si>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</si>
  <si>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</si>
  <si>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</si>
  <si>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</si>
  <si>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</si>
  <si>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</si>
  <si>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</si>
  <si>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</si>
  <si>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</si>
  <si>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</si>
  <si>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</si>
  <si>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</si>
  <si>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</si>
  <si>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</si>
  <si>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</si>
  <si>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</si>
  <si>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</si>
  <si>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</si>
  <si>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</si>
  <si>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</si>
  <si>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</si>
  <si>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</si>
  <si>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</si>
  <si>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</si>
  <si>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</si>
  <si>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</si>
  <si>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</si>
  <si>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</si>
  <si>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</si>
  <si>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</si>
  <si>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</si>
  <si>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</si>
  <si>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</si>
  <si>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</si>
  <si>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</si>
  <si>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</si>
  <si>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</si>
  <si>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</si>
  <si>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</si>
  <si>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</si>
  <si>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</si>
  <si>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</si>
  <si>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</si>
  <si>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</si>
  <si>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</si>
  <si>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</si>
  <si>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</si>
  <si>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</si>
  <si>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</si>
  <si>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</si>
  <si>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</si>
  <si>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</si>
  <si>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</si>
  <si>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</si>
  <si>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</si>
  <si>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</si>
  <si>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</si>
  <si>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</si>
  <si>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</si>
  <si>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</si>
  <si>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</si>
  <si>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</si>
  <si>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</si>
  <si>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</si>
  <si>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</si>
  <si>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</si>
  <si>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</si>
  <si>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</si>
  <si>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</si>
  <si>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</si>
  <si>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</si>
  <si>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</si>
  <si>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สถานีผลิตน้ำแม่ข่ายพิบูลมังสาหาร การประปาส่วนภูมิภาคสาขาพิบูลมังสาหาร ขนาดกำลังผลิต </t>
    </r>
    <r>
      <rPr>
        <sz val="10"/>
        <rFont val="Tahoma"/>
        <family val="0"/>
        <charset val="1"/>
      </rPr>
      <t xml:space="preserve">83.22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</si>
  <si>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</si>
  <si>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</si>
  <si>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</si>
  <si>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P4-039,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</si>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</sst>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1.3333</c:v>
                </c:pt>
                <c:pt idx="8">
                  <c:v>2.1666</c:v>
                </c:pt>
                <c:pt idx="9">
                  <c:v>2.9999</c:v>
                </c:pt>
                <c:pt idx="10">
                  <c:v>2.9999</c:v>
                </c:pt>
                <c:pt idx="11">
                  <c:v>3.4999</c:v>
                </c:pt>
                <c:pt idx="12">
                  <c:v>3.4999</c:v>
                </c:pt>
                <c:pt idx="13">
                  <c:v>13.4999</c:v>
                </c:pt>
                <c:pt idx="14">
                  <c:v>37.2499</c:v>
                </c:pt>
                <c:pt idx="15">
                  <c:v>93.4999</c:v>
                </c:pt>
                <c:pt idx="16">
                  <c:v>93.4999</c:v>
                </c:pt>
                <c:pt idx="17">
                  <c:v>93.4999</c:v>
                </c:pt>
                <c:pt idx="18">
                  <c:v>93.4999</c:v>
                </c:pt>
                <c:pt idx="19">
                  <c:v>93.4999</c:v>
                </c:pt>
                <c:pt idx="20">
                  <c:v>93.4999</c:v>
                </c:pt>
                <c:pt idx="21">
                  <c:v>94.2499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33156"/>
        <c:axId val="54369559"/>
      </c:lineChart>
      <c:catAx>
        <c:axId val="863315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69559"/>
        <c:crosses val="autoZero"/>
        <c:auto val="1"/>
        <c:lblAlgn val="ctr"/>
        <c:lblOffset val="100"/>
        <c:noMultiLvlLbl val="0"/>
      </c:catAx>
      <c:valAx>
        <c:axId val="543695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31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46400</v>
      </c>
      <c r="G4" s="10"/>
      <c r="H4" s="10"/>
      <c r="J4" s="11" t="n">
        <v>0.95</v>
      </c>
      <c r="K4" s="11"/>
      <c r="L4" s="12" t="n">
        <v>35</v>
      </c>
      <c r="M4" s="12"/>
      <c r="N4" s="12" t="n">
        <v>84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1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46419</v>
      </c>
      <c r="P8" s="34" t="s">
        <v>75</v>
      </c>
      <c r="Q8" s="31" t="n">
        <v>86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46419</v>
      </c>
      <c r="P9" s="46" t="s">
        <v>75</v>
      </c>
      <c r="Q9" s="37" t="n">
        <v>86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46229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46229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46229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46240</v>
      </c>
      <c r="P13" s="50" t="s">
        <v>75</v>
      </c>
      <c r="Q13" s="52" t="n">
        <v>13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46229</v>
      </c>
      <c r="O14" s="55" t="n">
        <v>46419</v>
      </c>
      <c r="P14" s="50" t="s">
        <v>75</v>
      </c>
      <c r="Q14" s="52" t="n">
        <v>86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46229</v>
      </c>
      <c r="O15" s="55" t="n">
        <v>46419</v>
      </c>
      <c r="P15" s="50" t="s">
        <v>75</v>
      </c>
      <c r="Q15" s="52" t="n">
        <v>86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153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46267</v>
      </c>
      <c r="M25" s="43"/>
      <c r="N25" s="44" t="n">
        <v>46267</v>
      </c>
      <c r="O25" s="45" t="n">
        <v>46267</v>
      </c>
      <c r="P25" s="46" t="s">
        <v>60</v>
      </c>
      <c r="Q25" s="37" t="n">
        <v>35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46267</v>
      </c>
      <c r="O26" s="55" t="n">
        <v>46267</v>
      </c>
      <c r="P26" s="50" t="s">
        <v>124</v>
      </c>
      <c r="Q26" s="52" t="n">
        <v>35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46267</v>
      </c>
      <c r="O27" s="55" t="n">
        <v>46267</v>
      </c>
      <c r="P27" s="50" t="s">
        <v>124</v>
      </c>
      <c r="Q27" s="52" t="n">
        <v>35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46267</v>
      </c>
      <c r="O28" s="55" t="n">
        <v>46267</v>
      </c>
      <c r="P28" s="50" t="s">
        <v>124</v>
      </c>
      <c r="Q28" s="52" t="n">
        <v>35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46400</v>
      </c>
      <c r="P29" s="34" t="s">
        <v>75</v>
      </c>
      <c r="Q29" s="31" t="n">
        <v>84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46310</v>
      </c>
      <c r="M55" s="43"/>
      <c r="N55" s="44" t="n">
        <v>46310</v>
      </c>
      <c r="O55" s="45" t="n">
        <v>46310</v>
      </c>
      <c r="P55" s="46" t="s">
        <v>60</v>
      </c>
      <c r="Q55" s="37" t="n">
        <v>39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 t="n">
        <v>46310</v>
      </c>
      <c r="L57" s="42"/>
      <c r="M57" s="43"/>
      <c r="N57" s="44" t="n">
        <v>46310</v>
      </c>
      <c r="O57" s="45" t="n">
        <v>46332</v>
      </c>
      <c r="P57" s="46" t="s">
        <v>75</v>
      </c>
      <c r="Q57" s="37" t="n">
        <v>40</v>
      </c>
      <c r="R57" s="39"/>
      <c r="S57" s="39" t="n">
        <v>1</v>
      </c>
      <c r="T57" s="39" t="s">
        <v>76</v>
      </c>
      <c r="U57" s="58" t="n">
        <v>46310.0057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46333</v>
      </c>
      <c r="O58" s="45" t="n">
        <v>46339</v>
      </c>
      <c r="P58" s="46" t="s">
        <v>284</v>
      </c>
      <c r="Q58" s="37" t="n">
        <v>40</v>
      </c>
      <c r="R58" s="39"/>
      <c r="S58" s="39" t="n">
        <v>1</v>
      </c>
      <c r="T58" s="39" t="s">
        <v>285</v>
      </c>
      <c r="U58" s="58" t="n">
        <v>46333.0058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46352</v>
      </c>
      <c r="O59" s="45" t="n">
        <v>46352</v>
      </c>
      <c r="P59" s="46" t="s">
        <v>284</v>
      </c>
      <c r="Q59" s="37" t="n">
        <v>52</v>
      </c>
      <c r="R59" s="39"/>
      <c r="S59" s="39" t="n">
        <v>1</v>
      </c>
      <c r="T59" s="39" t="s">
        <v>285</v>
      </c>
      <c r="U59" s="58" t="n">
        <v>46352.0059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46359</v>
      </c>
      <c r="O60" s="60" t="n">
        <v>46400</v>
      </c>
      <c r="P60" s="46" t="s">
        <v>284</v>
      </c>
      <c r="Q60" s="37" t="n">
        <v>84</v>
      </c>
      <c r="R60" s="39"/>
      <c r="S60" s="39" t="n">
        <v>1</v>
      </c>
      <c r="T60" s="39" t="s">
        <v>285</v>
      </c>
      <c r="U60" s="58" t="n">
        <v>46359.006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46251</v>
      </c>
      <c r="O61" s="33" t="n">
        <v>46275</v>
      </c>
      <c r="P61" s="34" t="s">
        <v>60</v>
      </c>
      <c r="Q61" s="31" t="n">
        <v>5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8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46251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304</v>
      </c>
      <c r="N63" s="55" t="n">
        <v>46251</v>
      </c>
      <c r="O63" s="55" t="n">
        <v>46252</v>
      </c>
      <c r="P63" s="50" t="s">
        <v>124</v>
      </c>
      <c r="Q63" s="52" t="n">
        <v>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308</v>
      </c>
      <c r="N64" s="55" t="n">
        <v>46251</v>
      </c>
      <c r="O64" s="55" t="n">
        <v>46252</v>
      </c>
      <c r="P64" s="50" t="s">
        <v>124</v>
      </c>
      <c r="Q64" s="52" t="n">
        <v>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312</v>
      </c>
      <c r="N65" s="55" t="n">
        <v>46252</v>
      </c>
      <c r="O65" s="55" t="n">
        <v>46255</v>
      </c>
      <c r="P65" s="50" t="s">
        <v>124</v>
      </c>
      <c r="Q65" s="52" t="n">
        <v>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316</v>
      </c>
      <c r="N66" s="55" t="n">
        <v>46254</v>
      </c>
      <c r="O66" s="55" t="n">
        <v>46257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320</v>
      </c>
      <c r="N67" s="55" t="n">
        <v>46255</v>
      </c>
      <c r="O67" s="55" t="n">
        <v>46258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324</v>
      </c>
      <c r="N68" s="55" t="n">
        <v>46257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328</v>
      </c>
      <c r="N69" s="55" t="n">
        <v>46258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336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340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344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348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352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3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46266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360</v>
      </c>
      <c r="N77" s="55" t="n">
        <v>46266</v>
      </c>
      <c r="O77" s="55" t="n">
        <v>46267</v>
      </c>
      <c r="P77" s="50" t="s">
        <v>124</v>
      </c>
      <c r="Q77" s="52" t="n">
        <v>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364</v>
      </c>
      <c r="N78" s="55" t="n">
        <v>46266</v>
      </c>
      <c r="O78" s="55" t="n">
        <v>46268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368</v>
      </c>
      <c r="N79" s="55" t="n">
        <v>46267</v>
      </c>
      <c r="O79" s="55" t="n">
        <v>46268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372</v>
      </c>
      <c r="N80" s="55" t="n">
        <v>46268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376</v>
      </c>
      <c r="N81" s="55" t="n">
        <v>46268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384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388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396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400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404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408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413</v>
      </c>
      <c r="B91" s="50" t="s">
        <v>414</v>
      </c>
      <c r="C91" s="50" t="s">
        <v>415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416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417</v>
      </c>
      <c r="B92" s="52" t="s">
        <v>418</v>
      </c>
      <c r="C92" s="52" t="s">
        <v>419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420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421</v>
      </c>
      <c r="B93" s="50" t="s">
        <v>422</v>
      </c>
      <c r="C93" s="50" t="s">
        <v>423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424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425</v>
      </c>
      <c r="B94" s="50" t="s">
        <v>426</v>
      </c>
      <c r="C94" s="50" t="s">
        <v>427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428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429</v>
      </c>
      <c r="B95" s="52" t="s">
        <v>430</v>
      </c>
      <c r="C95" s="50" t="s">
        <v>431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432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433</v>
      </c>
      <c r="B96" s="39" t="s">
        <v>434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436</v>
      </c>
      <c r="B97" s="50" t="s">
        <v>437</v>
      </c>
      <c r="C97" s="50" t="s">
        <v>438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439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440</v>
      </c>
      <c r="B98" s="50" t="s">
        <v>441</v>
      </c>
      <c r="C98" s="50" t="s">
        <v>442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443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444</v>
      </c>
      <c r="B99" s="52" t="s">
        <v>445</v>
      </c>
      <c r="C99" s="50" t="s">
        <v>446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447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448</v>
      </c>
      <c r="B100" s="39" t="s">
        <v>449</v>
      </c>
      <c r="C100" s="38" t="s">
        <v>450</v>
      </c>
      <c r="D100" s="39" t="s">
        <v>297</v>
      </c>
      <c r="E100" s="40" t="n">
        <v>5</v>
      </c>
      <c r="F100" s="39" t="s">
        <v>451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453</v>
      </c>
      <c r="B101" s="50" t="s">
        <v>454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455</v>
      </c>
      <c r="B102" s="50" t="s">
        <v>456</v>
      </c>
      <c r="C102" s="50" t="s">
        <v>457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458</v>
      </c>
      <c r="B103" s="52" t="s">
        <v>459</v>
      </c>
      <c r="C103" s="52" t="s">
        <v>460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461</v>
      </c>
      <c r="N103" s="55" t="n">
        <v>46266</v>
      </c>
      <c r="O103" s="55" t="n">
        <v>46267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462</v>
      </c>
      <c r="B104" s="50" t="s">
        <v>463</v>
      </c>
      <c r="C104" s="50" t="s">
        <v>464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465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466</v>
      </c>
      <c r="B105" s="50" t="s">
        <v>467</v>
      </c>
      <c r="C105" s="50" t="s">
        <v>468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469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470</v>
      </c>
      <c r="B106" s="52" t="s">
        <v>471</v>
      </c>
      <c r="C106" s="50" t="s">
        <v>472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473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474</v>
      </c>
      <c r="B107" s="39" t="s">
        <v>475</v>
      </c>
      <c r="C107" s="39"/>
      <c r="D107" s="39" t="s">
        <v>297</v>
      </c>
      <c r="E107" s="40" t="n">
        <v>2.5</v>
      </c>
      <c r="F107" s="39" t="s">
        <v>451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477</v>
      </c>
      <c r="B108" s="52" t="s">
        <v>478</v>
      </c>
      <c r="C108" s="52" t="s">
        <v>479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480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481</v>
      </c>
      <c r="B109" s="50" t="s">
        <v>482</v>
      </c>
      <c r="C109" s="50" t="s">
        <v>483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484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485</v>
      </c>
      <c r="B110" s="52" t="s">
        <v>486</v>
      </c>
      <c r="C110" s="50" t="s">
        <v>487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488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489</v>
      </c>
      <c r="B111" s="39" t="s">
        <v>490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46275</v>
      </c>
      <c r="M111" s="43"/>
      <c r="N111" s="44" t="n">
        <v>46275</v>
      </c>
      <c r="O111" s="45" t="n">
        <v>46275</v>
      </c>
      <c r="P111" s="46" t="s">
        <v>60</v>
      </c>
      <c r="Q111" s="37" t="n">
        <v>5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491</v>
      </c>
      <c r="Y111" s="38" t="s">
        <v>492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493</v>
      </c>
      <c r="B112" s="50" t="s">
        <v>494</v>
      </c>
      <c r="C112" s="50" t="s">
        <v>495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496</v>
      </c>
      <c r="N112" s="55" t="n">
        <v>46275</v>
      </c>
      <c r="O112" s="55" t="n">
        <v>46275</v>
      </c>
      <c r="P112" s="50" t="s">
        <v>124</v>
      </c>
      <c r="Q112" s="52" t="n">
        <v>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492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497</v>
      </c>
      <c r="B113" s="50" t="s">
        <v>498</v>
      </c>
      <c r="C113" s="50" t="s">
        <v>499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500</v>
      </c>
      <c r="N113" s="55" t="n">
        <v>46275</v>
      </c>
      <c r="O113" s="55" t="n">
        <v>46275</v>
      </c>
      <c r="P113" s="50" t="s">
        <v>124</v>
      </c>
      <c r="Q113" s="52" t="n">
        <v>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492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501</v>
      </c>
      <c r="B114" s="31" t="s">
        <v>502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46419</v>
      </c>
      <c r="P114" s="34" t="s">
        <v>75</v>
      </c>
      <c r="Q114" s="31" t="n">
        <v>86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503</v>
      </c>
      <c r="B115" s="39" t="s">
        <v>504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46318</v>
      </c>
      <c r="M115" s="43"/>
      <c r="N115" s="44" t="n">
        <v>46318</v>
      </c>
      <c r="O115" s="45" t="n">
        <v>46318</v>
      </c>
      <c r="P115" s="46" t="s">
        <v>505</v>
      </c>
      <c r="Q115" s="37" t="n">
        <v>45</v>
      </c>
      <c r="R115" s="39"/>
      <c r="S115" s="39" t="n">
        <v>1</v>
      </c>
      <c r="T115" s="39" t="s">
        <v>506</v>
      </c>
      <c r="U115" s="58" t="n">
        <v>46318.0115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512</v>
      </c>
      <c r="N116" s="55" t="n">
        <v>46318</v>
      </c>
      <c r="O116" s="55" t="n">
        <v>46318</v>
      </c>
      <c r="P116" s="50" t="s">
        <v>284</v>
      </c>
      <c r="Q116" s="52" t="n">
        <v>47</v>
      </c>
      <c r="R116" s="52"/>
      <c r="S116" s="52" t="n">
        <v>2</v>
      </c>
      <c r="T116" s="52" t="s">
        <v>285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516</v>
      </c>
      <c r="N117" s="55" t="n">
        <v>46318</v>
      </c>
      <c r="O117" s="55" t="n">
        <v>46318</v>
      </c>
      <c r="P117" s="50" t="s">
        <v>284</v>
      </c>
      <c r="Q117" s="52" t="n">
        <v>46</v>
      </c>
      <c r="R117" s="52"/>
      <c r="S117" s="52" t="n">
        <v>2</v>
      </c>
      <c r="T117" s="52" t="s">
        <v>285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520</v>
      </c>
      <c r="N118" s="55" t="n">
        <v>46318</v>
      </c>
      <c r="O118" s="55" t="n">
        <v>46318</v>
      </c>
      <c r="P118" s="50" t="s">
        <v>284</v>
      </c>
      <c r="Q118" s="52" t="n">
        <v>46</v>
      </c>
      <c r="R118" s="52"/>
      <c r="S118" s="52" t="n">
        <v>2</v>
      </c>
      <c r="T118" s="52" t="s">
        <v>285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524</v>
      </c>
      <c r="N119" s="55" t="n">
        <v>46318</v>
      </c>
      <c r="O119" s="55" t="n">
        <v>46318</v>
      </c>
      <c r="P119" s="50" t="s">
        <v>284</v>
      </c>
      <c r="Q119" s="52" t="n">
        <v>46</v>
      </c>
      <c r="R119" s="52"/>
      <c r="S119" s="52" t="n">
        <v>2</v>
      </c>
      <c r="T119" s="52" t="s">
        <v>285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528</v>
      </c>
      <c r="N120" s="55" t="n">
        <v>46318</v>
      </c>
      <c r="O120" s="55" t="n">
        <v>46318</v>
      </c>
      <c r="P120" s="50" t="s">
        <v>284</v>
      </c>
      <c r="Q120" s="52" t="n">
        <v>45</v>
      </c>
      <c r="R120" s="52"/>
      <c r="S120" s="52" t="n">
        <v>2</v>
      </c>
      <c r="T120" s="52" t="s">
        <v>285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532</v>
      </c>
      <c r="N121" s="55" t="n">
        <v>46318</v>
      </c>
      <c r="O121" s="55" t="n">
        <v>46318</v>
      </c>
      <c r="P121" s="50" t="s">
        <v>284</v>
      </c>
      <c r="Q121" s="52" t="n">
        <v>45</v>
      </c>
      <c r="R121" s="52"/>
      <c r="S121" s="52" t="n">
        <v>2</v>
      </c>
      <c r="T121" s="52" t="s">
        <v>285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46349</v>
      </c>
      <c r="O122" s="45" t="n">
        <v>46349</v>
      </c>
      <c r="P122" s="46" t="s">
        <v>284</v>
      </c>
      <c r="Q122" s="37" t="n">
        <v>76</v>
      </c>
      <c r="R122" s="39"/>
      <c r="S122" s="39" t="n">
        <v>1</v>
      </c>
      <c r="T122" s="39" t="s">
        <v>285</v>
      </c>
      <c r="U122" s="58" t="n">
        <v>46349.0122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489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46406</v>
      </c>
      <c r="O124" s="45" t="n">
        <v>46419</v>
      </c>
      <c r="P124" s="46" t="s">
        <v>284</v>
      </c>
      <c r="Q124" s="37" t="n">
        <v>86</v>
      </c>
      <c r="R124" s="39"/>
      <c r="S124" s="39" t="n">
        <v>1</v>
      </c>
      <c r="T124" s="39" t="s">
        <v>285</v>
      </c>
      <c r="U124" s="58" t="n">
        <v>46406.0124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547</v>
      </c>
      <c r="N125" s="55" t="n">
        <v>46406</v>
      </c>
      <c r="O125" s="55" t="n">
        <v>46410</v>
      </c>
      <c r="P125" s="50" t="s">
        <v>284</v>
      </c>
      <c r="Q125" s="52" t="n">
        <v>86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551</v>
      </c>
      <c r="N126" s="55" t="n">
        <v>46409</v>
      </c>
      <c r="O126" s="55" t="n">
        <v>46416</v>
      </c>
      <c r="P126" s="50" t="s">
        <v>284</v>
      </c>
      <c r="Q126" s="52" t="n">
        <v>86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555</v>
      </c>
      <c r="N127" s="55" t="n">
        <v>46416</v>
      </c>
      <c r="O127" s="55" t="n">
        <v>46419</v>
      </c>
      <c r="P127" s="50" t="s">
        <v>284</v>
      </c>
      <c r="Q127" s="52" t="n">
        <v>86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46318</v>
      </c>
      <c r="M128" s="43"/>
      <c r="N128" s="44" t="n">
        <v>46318</v>
      </c>
      <c r="O128" s="45" t="n">
        <v>46318</v>
      </c>
      <c r="P128" s="46" t="s">
        <v>505</v>
      </c>
      <c r="Q128" s="37" t="n">
        <v>35</v>
      </c>
      <c r="R128" s="39"/>
      <c r="S128" s="39" t="n">
        <v>1</v>
      </c>
      <c r="T128" s="39" t="s">
        <v>506</v>
      </c>
      <c r="U128" s="58" t="n">
        <v>46318.0128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46319</v>
      </c>
      <c r="O129" s="45" t="n">
        <v>46321</v>
      </c>
      <c r="P129" s="46" t="s">
        <v>284</v>
      </c>
      <c r="Q129" s="37" t="n">
        <v>38</v>
      </c>
      <c r="R129" s="39"/>
      <c r="S129" s="39" t="n">
        <v>1</v>
      </c>
      <c r="T129" s="39" t="s">
        <v>285</v>
      </c>
      <c r="U129" s="58" t="n">
        <v>46319.0129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46319</v>
      </c>
      <c r="O130" s="45" t="n">
        <v>46323</v>
      </c>
      <c r="P130" s="46" t="s">
        <v>284</v>
      </c>
      <c r="Q130" s="37" t="n">
        <v>40</v>
      </c>
      <c r="R130" s="39"/>
      <c r="S130" s="39" t="n">
        <v>1</v>
      </c>
      <c r="T130" s="39" t="s">
        <v>285</v>
      </c>
      <c r="U130" s="58" t="n">
        <v>46319.013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46401</v>
      </c>
      <c r="O131" s="45" t="n">
        <v>46405</v>
      </c>
      <c r="P131" s="46" t="s">
        <v>284</v>
      </c>
      <c r="Q131" s="37" t="n">
        <v>86</v>
      </c>
      <c r="R131" s="39"/>
      <c r="S131" s="39" t="n">
        <v>1</v>
      </c>
      <c r="T131" s="39" t="s">
        <v>285</v>
      </c>
      <c r="U131" s="58" t="n">
        <v>46401.0131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46310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651</v>
      </c>
      <c r="C23" s="95" t="s">
        <v>642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46251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 t="n">
        <v>10</v>
      </c>
      <c r="V24" s="101" t="n">
        <v>10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652</v>
      </c>
      <c r="C25" s="95" t="s">
        <v>642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653</v>
      </c>
      <c r="C27" s="95" t="s">
        <v>642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46266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20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654</v>
      </c>
      <c r="C29" s="95" t="s">
        <v>642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655</v>
      </c>
      <c r="C31" s="95" t="s">
        <v>642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656</v>
      </c>
      <c r="C33" s="95" t="s">
        <v>642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433</v>
      </c>
      <c r="B35" s="95" t="s">
        <v>657</v>
      </c>
      <c r="C35" s="95" t="s">
        <v>642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448</v>
      </c>
      <c r="B37" s="95" t="s">
        <v>658</v>
      </c>
      <c r="C37" s="95" t="s">
        <v>642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474</v>
      </c>
      <c r="B39" s="95" t="s">
        <v>659</v>
      </c>
      <c r="C39" s="95" t="s">
        <v>642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503</v>
      </c>
      <c r="B42" s="95" t="s">
        <v>661</v>
      </c>
      <c r="C42" s="95" t="s">
        <v>642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0.8333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</v>
      </c>
      <c r="S48" s="103" t="n">
        <f aca="false">SUMIF($C$7:$C$45,"Actual",S$7:S$45)</f>
        <v>0.5</v>
      </c>
      <c r="T48" s="103" t="n">
        <f aca="false">SUMIF($C$7:$C$45,"Actual",T$7:T$45)</f>
        <v>0</v>
      </c>
      <c r="U48" s="103" t="n">
        <f aca="false">SUMIF($C$7:$C$45,"Actual",U$7:U$45)</f>
        <v>10</v>
      </c>
      <c r="V48" s="103" t="n">
        <f aca="false">SUMIF($C$7:$C$45,"Actual",V$7:V$45)</f>
        <v>23.75</v>
      </c>
      <c r="W48" s="103" t="n">
        <f aca="false">SUMIF($C$7:$C$45,"Actual",W$7:W$45)</f>
        <v>56.25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1.3333</v>
      </c>
      <c r="P50" s="105" t="n">
        <f aca="false">IF(P$6&gt;46314,"",O50+P48)</f>
        <v>2.1666</v>
      </c>
      <c r="Q50" s="105" t="n">
        <f aca="false">IF(Q$6&gt;46314,"",P50+Q48)</f>
        <v>2.9999</v>
      </c>
      <c r="R50" s="105" t="n">
        <f aca="false">IF(R$6&gt;46314,"",Q50+R48)</f>
        <v>2.9999</v>
      </c>
      <c r="S50" s="105" t="n">
        <f aca="false">IF(S$6&gt;46314,"",R50+S48)</f>
        <v>3.4999</v>
      </c>
      <c r="T50" s="105" t="n">
        <f aca="false">IF(T$6&gt;46314,"",S50+T48)</f>
        <v>3.4999</v>
      </c>
      <c r="U50" s="105" t="n">
        <f aca="false">IF(U$6&gt;46314,"",T50+U48)</f>
        <v>13.4999</v>
      </c>
      <c r="V50" s="105" t="n">
        <f aca="false">IF(V$6&gt;46314,"",U50+V48)</f>
        <v>37.2499</v>
      </c>
      <c r="W50" s="105" t="n">
        <f aca="false">IF(W$6&gt;46314,"",V50+W48)</f>
        <v>93.4999</v>
      </c>
      <c r="X50" s="105" t="n">
        <f aca="false">IF(X$6&gt;46314,"",W50+X48)</f>
        <v>93.4999</v>
      </c>
      <c r="Y50" s="105" t="n">
        <f aca="false">IF(Y$6&gt;46314,"",X50+Y48)</f>
        <v>93.4999</v>
      </c>
      <c r="Z50" s="105" t="n">
        <f aca="false">IF(Z$6&gt;46314,"",Y50+Z48)</f>
        <v>93.4999</v>
      </c>
      <c r="AA50" s="105" t="n">
        <f aca="false">IF(AA$6&gt;46314,"",Z50+AA48)</f>
        <v>93.4999</v>
      </c>
      <c r="AB50" s="105" t="n">
        <f aca="false">IF(AB$6&gt;46314,"",AA50+AB48)</f>
        <v>93.4999</v>
      </c>
      <c r="AC50" s="105" t="n">
        <f aca="false">IF(AC$6&gt;46314,"",AB50+AC48)</f>
        <v>94.2499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2026-10-26T04:44:14Z</dcterms:created>
  <dc:creator>openpyxl</dc:creator>
  <dc:description/>
  <dc:language>en-US</dc:language>
  <cp:lastModifiedBy/>
  <dcterms:modified xsi:type="dcterms:W3CDTF">2026-10-26T11:47:26Z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