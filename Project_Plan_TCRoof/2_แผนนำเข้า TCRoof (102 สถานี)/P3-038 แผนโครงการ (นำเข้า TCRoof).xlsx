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<sst xmlns="http://schemas.openxmlformats.org/spreadsheetml/2006/main" count="1284" uniqueCount="666">
  <si>
    <t xml:space="preserve">แผนโครงการ P3-038 – สถานีผลิตน้ำบ้านลำแก่น 163.02 kWp</t>
  </si>
  <si>
    <t xml:space="preserve">กปภ.สาขาตะกั่วป่า, ภาคใต้, กฟภ. เขต ต.3, Inverter 160 kW (ไม่ต้อง พค.2), Zero export LV, คำขอ PPIM1A5080CF, วิศวกร โดม, Admin ลูกแก้ว,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</si>
  <si>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</si>
  <si>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</si>
  <si>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</si>
  <si>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</si>
  <si>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</si>
  <si>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</si>
  <si>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</si>
  <si>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</si>
  <si>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</si>
  <si>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</si>
  <si>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</si>
  <si>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</si>
  <si>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</si>
  <si>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</si>
  <si>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</si>
  <si>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</si>
  <si>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</si>
  <si>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1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</si>
  <si>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</si>
  <si>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</si>
  <si>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</si>
  <si>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</si>
  <si>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</si>
  <si>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</si>
  <si>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</si>
  <si>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</si>
  <si>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</si>
  <si>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</si>
  <si>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</si>
  <si>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</si>
  <si>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</si>
  <si>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</si>
  <si>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</si>
  <si>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</si>
  <si>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</si>
  <si>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</si>
  <si>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</si>
  <si>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</si>
  <si>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</si>
  <si>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</si>
  <si>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</si>
  <si>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</si>
  <si>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</si>
  <si>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</si>
  <si>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</si>
  <si>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</si>
  <si>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</si>
  <si>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</si>
  <si>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</si>
  <si>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</si>
  <si>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</si>
  <si>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</si>
  <si>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</si>
  <si>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</si>
  <si>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</si>
  <si>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</si>
  <si>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</si>
  <si>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</si>
  <si>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</si>
  <si>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</si>
  <si>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</si>
  <si>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</si>
  <si>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</si>
  <si>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</si>
  <si>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</si>
  <si>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</si>
  <si>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</si>
  <si>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</si>
  <si>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</si>
  <si>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</si>
  <si>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</si>
  <si>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</si>
  <si>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</si>
  <si>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</si>
  <si>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</si>
  <si>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</si>
  <si>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</si>
  <si>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โดม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</si>
  <si>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</si>
  <si>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</si>
  <si>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</si>
  <si>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</si>
  <si>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</si>
  <si>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</si>
  <si>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</si>
  <si>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WBS'!L5407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</si>
  <si>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</si>
  <si>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</si>
  <si>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</si>
  <si>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</si>
  <si>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WBS'!L5408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</si>
  <si>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</si>
  <si>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</si>
  <si>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</si>
  <si>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WBS'!L5409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</si>
  <si>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</si>
  <si>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</si>
  <si>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</si>
  <si>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WBS'!L5410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</si>
  <si>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</si>
  <si>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</si>
  <si>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</si>
  <si>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WBS'!L5411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</si>
  <si>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</si>
  <si>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</si>
  <si>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</si>
  <si>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</si>
  <si>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</si>
  <si>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WBS'!L5412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</si>
  <si>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</si>
  <si>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</si>
  <si>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TC-PML-2026-545,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</si>
  <si>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</si>
  <si>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</si>
  <si>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</si>
  <si>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</si>
  <si>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</si>
  <si>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</si>
  <si>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</si>
  <si>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</si>
  <si>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WBS'!L5413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</si>
  <si>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</si>
  <si>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</si>
  <si>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</si>
  <si>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WBS'!L5414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</si>
  <si>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</si>
  <si>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</si>
  <si>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</si>
  <si>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WBS'!L5415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</si>
  <si>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</si>
  <si>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</si>
  <si>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</si>
  <si>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WBS'!L5416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</si>
  <si>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</si>
  <si>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</si>
  <si>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</si>
  <si>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WBS'!L5417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</si>
  <si>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</si>
  <si>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</si>
  <si>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</si>
  <si>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WBS'!L5418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</si>
  <si>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</si>
  <si>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</si>
  <si>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</si>
  <si>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</si>
  <si>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</si>
  <si>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</si>
  <si>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</si>
  <si>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</si>
  <si>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WBS'!L5419</t>
    </r>
  </si>
  <si>
    <t xml:space="preserve">0.3</t>
  </si>
  <si>
    <t xml:space="preserve">หนังสือแจ้งขอดับไฟ</t>
  </si>
  <si>
    <t xml:space="preserve">TC-PML-2026-594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</si>
  <si>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</si>
  <si>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</si>
  <si>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</si>
  <si>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</si>
  <si>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</si>
  <si>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</si>
  <si>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</si>
  <si>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WBS'!L5420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</si>
  <si>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</si>
  <si>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</si>
  <si>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</si>
  <si>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</si>
  <si>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</si>
  <si>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</si>
  <si>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</si>
  <si>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</si>
  <si>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</si>
  <si>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</si>
  <si>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</si>
  <si>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</si>
  <si>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</si>
  <si>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</si>
  <si>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</si>
  <si>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</si>
  <si>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</si>
  <si>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</si>
  <si>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</si>
  <si>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</si>
  <si>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</si>
  <si>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</si>
  <si>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</si>
  <si>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WBS'!L5424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</si>
  <si>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</si>
  <si>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</si>
  <si>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</si>
  <si>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WBS'!L5425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</si>
  <si>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</si>
  <si>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</si>
  <si>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</si>
  <si>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</si>
  <si>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</si>
  <si>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</si>
  <si>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</si>
  <si>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WBS'!L5426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</si>
  <si>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</si>
  <si>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</si>
  <si>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</si>
  <si>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WBS'!L5427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</si>
  <si>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</si>
  <si>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</si>
  <si>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</si>
  <si>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WBS'!L5428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</si>
  <si>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</si>
  <si>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</si>
  <si>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</si>
  <si>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WBS'!L5429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</si>
  <si>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</si>
  <si>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</si>
  <si>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</si>
  <si>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</si>
  <si>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</si>
  <si>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</si>
  <si>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</si>
  <si>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</si>
  <si>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</si>
  <si>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</si>
  <si>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</si>
  <si>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</si>
  <si>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</si>
  <si>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</si>
  <si>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</si>
  <si>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WBS'!L5432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</si>
  <si>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</si>
  <si>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</si>
  <si>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</si>
  <si>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</si>
  <si>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</si>
  <si>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</si>
  <si>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</si>
  <si>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</si>
  <si>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</si>
  <si>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</si>
  <si>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</si>
  <si>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</si>
  <si>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</si>
  <si>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</si>
  <si>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WBS'!L5434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</si>
  <si>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</si>
  <si>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</si>
  <si>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</si>
  <si>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WBS'!L5435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</si>
  <si>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</si>
  <si>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</si>
  <si>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</si>
  <si>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</si>
  <si>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</si>
  <si>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</si>
  <si>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</si>
  <si>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</si>
  <si>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</si>
  <si>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</si>
  <si>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</si>
  <si>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</si>
  <si>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</si>
  <si>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</si>
  <si>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</si>
  <si>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</si>
  <si>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</si>
  <si>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</si>
  <si>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</si>
  <si>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</si>
  <si>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</si>
  <si>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</si>
  <si>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</si>
  <si>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</si>
  <si>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</si>
  <si>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</si>
  <si>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</si>
  <si>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</si>
  <si>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WBS'!L5437</t>
    </r>
  </si>
  <si>
    <t xml:space="preserve">1.7.1</t>
  </si>
  <si>
    <t xml:space="preserve">คำขอขนานไฟ PPIM (ชุด 11 ไฟล์)</t>
  </si>
  <si>
    <t xml:space="preserve">PPIM1A5080CF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</si>
  <si>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</si>
  <si>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</si>
  <si>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</si>
  <si>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</si>
  <si>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</si>
  <si>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</si>
  <si>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</si>
  <si>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</si>
  <si>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</si>
  <si>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</si>
  <si>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</si>
  <si>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</si>
  <si>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</si>
  <si>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</si>
  <si>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</si>
  <si>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</si>
  <si>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</si>
  <si>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</si>
  <si>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</si>
  <si>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</si>
  <si>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</si>
  <si>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</si>
  <si>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</si>
  <si>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</si>
  <si>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</si>
  <si>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</si>
  <si>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</si>
  <si>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</si>
  <si>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</si>
  <si>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</si>
  <si>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WBS'!L5439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</si>
  <si>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</si>
  <si>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</si>
  <si>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</si>
  <si>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</si>
  <si>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</si>
  <si>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</si>
  <si>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</si>
  <si>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</si>
  <si>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</si>
  <si>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</si>
  <si>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</si>
  <si>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</si>
  <si>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</si>
  <si>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</si>
  <si>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</si>
  <si>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</si>
  <si>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</si>
  <si>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</si>
  <si>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</si>
  <si>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</si>
  <si>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</si>
  <si>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</si>
  <si>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</si>
  <si>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</si>
  <si>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</si>
  <si>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</si>
  <si>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</si>
  <si>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</si>
  <si>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</si>
  <si>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</si>
  <si>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</si>
  <si>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</si>
  <si>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</si>
  <si>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</si>
  <si>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</si>
  <si>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</si>
  <si>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</si>
  <si>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</si>
  <si>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</si>
  <si>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</si>
  <si>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</si>
  <si>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</si>
  <si>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</si>
  <si>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WBS'!L5449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</si>
  <si>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</si>
  <si>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</si>
  <si>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</si>
  <si>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</si>
  <si>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</si>
  <si>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</si>
  <si>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</si>
  <si>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</si>
  <si>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</si>
  <si>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</si>
  <si>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</si>
  <si>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</si>
  <si>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</si>
  <si>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</si>
  <si>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</si>
  <si>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</si>
  <si>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</si>
  <si>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</si>
  <si>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</si>
  <si>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</si>
  <si>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</si>
  <si>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</si>
  <si>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</si>
  <si>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</si>
  <si>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</si>
  <si>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</si>
  <si>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</si>
  <si>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</si>
  <si>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</si>
  <si>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</si>
  <si>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</si>
  <si>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</si>
  <si>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</si>
  <si>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</si>
  <si>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</si>
  <si>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WBS'!L5456</t>
    </r>
  </si>
  <si>
    <t xml:space="preserve">2.5</t>
  </si>
  <si>
    <t xml:space="preserve">ติดตั้ง Inverter</t>
  </si>
  <si>
    <t xml:space="preserve">Inverter 160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</si>
  <si>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</si>
  <si>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</si>
  <si>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</si>
  <si>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</si>
  <si>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</si>
  <si>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</si>
  <si>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</si>
  <si>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</si>
  <si>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</si>
  <si>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</si>
  <si>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</si>
  <si>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</si>
  <si>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WBS'!L5459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</si>
  <si>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</si>
  <si>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</si>
  <si>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</si>
  <si>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WBS'!L5460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</si>
  <si>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</si>
  <si>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</si>
  <si>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</si>
  <si>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</si>
  <si>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</si>
  <si>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</si>
  <si>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</si>
  <si>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</si>
  <si>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</si>
  <si>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</si>
  <si>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</si>
  <si>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</si>
  <si>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</si>
  <si>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</si>
  <si>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</si>
  <si>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</si>
  <si>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</si>
  <si>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</si>
  <si>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</si>
  <si>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</si>
  <si>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</si>
  <si>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</si>
  <si>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</si>
  <si>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</si>
  <si>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</si>
  <si>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</si>
  <si>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</si>
  <si>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</si>
  <si>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</si>
  <si>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</si>
  <si>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</si>
  <si>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</si>
  <si>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</si>
  <si>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</si>
  <si>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</si>
  <si>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</si>
  <si>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</si>
  <si>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</si>
  <si>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</si>
  <si>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WBS'!L5468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</si>
  <si>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</si>
  <si>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</si>
  <si>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</si>
  <si>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</si>
  <si>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</si>
  <si>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</si>
  <si>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</si>
  <si>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</si>
  <si>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</si>
  <si>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</si>
  <si>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</si>
  <si>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</si>
  <si>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</si>
  <si>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WBS'!L5469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</si>
  <si>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</si>
  <si>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</si>
  <si>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</si>
  <si>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</si>
  <si>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</si>
  <si>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</si>
  <si>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</si>
  <si>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</si>
  <si>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</si>
  <si>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</si>
  <si>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</si>
  <si>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</si>
  <si>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</si>
  <si>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</si>
  <si>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</si>
  <si>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</si>
  <si>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</si>
  <si>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</si>
  <si>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</si>
  <si>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</si>
  <si>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</si>
  <si>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</si>
  <si>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</si>
  <si>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</si>
  <si>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</si>
  <si>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</si>
  <si>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WBS'!L5475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</si>
  <si>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</si>
  <si>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</si>
  <si>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</si>
  <si>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</si>
  <si>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</si>
  <si>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</si>
  <si>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</si>
  <si>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</si>
  <si>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</si>
  <si>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</si>
  <si>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</si>
  <si>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</si>
  <si>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</si>
  <si>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</si>
  <si>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</si>
  <si>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</si>
  <si>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</si>
  <si>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</si>
  <si>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</si>
  <si>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</si>
  <si>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</si>
  <si>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</si>
  <si>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</si>
  <si>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</si>
  <si>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</si>
  <si>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WBS'!L5479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</si>
  <si>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</si>
  <si>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</si>
  <si>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</si>
  <si>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</si>
  <si>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</si>
  <si>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</si>
  <si>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</si>
  <si>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</si>
  <si>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</si>
  <si>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</si>
  <si>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</si>
  <si>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</si>
  <si>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</si>
  <si>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</si>
  <si>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</si>
  <si>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</si>
  <si>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</si>
  <si>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</si>
  <si>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</si>
  <si>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</si>
  <si>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</si>
  <si>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คำนวณ ลงนามแล้ว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</si>
  <si>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</si>
  <si>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</si>
  <si>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</si>
  <si>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</si>
  <si>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</si>
  <si>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</si>
  <si>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</si>
  <si>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</si>
  <si>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</si>
  <si>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</si>
  <si>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</si>
  <si>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</si>
  <si>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</si>
  <si>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</si>
  <si>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</si>
  <si>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</si>
  <si>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WBS'!L5486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</si>
  <si>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</si>
  <si>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</si>
  <si>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</si>
  <si>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</si>
  <si>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</si>
  <si>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</si>
  <si>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</si>
  <si>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</si>
  <si>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</si>
  <si>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</si>
  <si>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</si>
  <si>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</si>
  <si>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</si>
  <si>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</si>
  <si>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</si>
  <si>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</si>
  <si>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</si>
  <si>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</si>
  <si>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</si>
  <si>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</si>
  <si>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</si>
  <si>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</si>
  <si>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</si>
  <si>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</si>
  <si>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</si>
  <si>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</si>
  <si>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</si>
  <si>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</si>
  <si>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</si>
  <si>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</si>
  <si>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</si>
  <si>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</si>
  <si>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</si>
  <si>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</si>
  <si>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</si>
  <si>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</si>
  <si>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</si>
  <si>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80+80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</si>
  <si>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</si>
  <si>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</si>
  <si>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</si>
  <si>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</si>
  <si>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</si>
  <si>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</si>
  <si>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</si>
  <si>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</si>
  <si>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</si>
  <si>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</si>
  <si>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</si>
  <si>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</si>
  <si>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</si>
  <si>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</si>
  <si>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</si>
  <si>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</si>
  <si>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</si>
  <si>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</si>
  <si>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สถานีผลิตน้ำบ้านลำแก่น การประปาส่วนภูมิภาคสาขาตะกั่วป่า ขนาดกำลังผลิต </t>
    </r>
    <r>
      <rPr>
        <sz val="10"/>
        <rFont val="Tahoma"/>
        <family val="0"/>
        <charset val="1"/>
      </rPr>
      <t xml:space="preserve">163.02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</si>
  <si>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</si>
  <si>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</si>
  <si>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</si>
  <si>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โดม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</si>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</sst>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871768"/>
        <c:axId val="41878002"/>
      </c:lineChart>
      <c:catAx>
        <c:axId val="2387176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78002"/>
        <c:crosses val="autoZero"/>
        <c:auto val="1"/>
        <c:lblAlgn val="ctr"/>
        <c:lblOffset val="100"/>
        <c:noMultiLvlLbl val="0"/>
      </c:catAx>
      <c:valAx>
        <c:axId val="41878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717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46428</v>
      </c>
      <c r="G4" s="10"/>
      <c r="H4" s="10"/>
      <c r="J4" s="11" t="n">
        <v>0.03</v>
      </c>
      <c r="K4" s="11"/>
      <c r="L4" s="12" t="n">
        <v>108</v>
      </c>
      <c r="M4" s="12"/>
      <c r="N4" s="12" t="n">
        <v>112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46266</v>
      </c>
      <c r="O8" s="33" t="n">
        <v>46447</v>
      </c>
      <c r="P8" s="34" t="s">
        <v>75</v>
      </c>
      <c r="Q8" s="31" t="n">
        <v>114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46447</v>
      </c>
      <c r="P9" s="46" t="s">
        <v>75</v>
      </c>
      <c r="Q9" s="37" t="n">
        <v>114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46327</v>
      </c>
      <c r="P10" s="50" t="s">
        <v>75</v>
      </c>
      <c r="Q10" s="52" t="n">
        <v>107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46327</v>
      </c>
      <c r="P11" s="50" t="s">
        <v>75</v>
      </c>
      <c r="Q11" s="52" t="n">
        <v>107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46327</v>
      </c>
      <c r="P12" s="50" t="s">
        <v>75</v>
      </c>
      <c r="Q12" s="52" t="n">
        <v>107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46334</v>
      </c>
      <c r="P13" s="50" t="s">
        <v>75</v>
      </c>
      <c r="Q13" s="52" t="n">
        <v>107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46327</v>
      </c>
      <c r="O14" s="55" t="n">
        <v>46447</v>
      </c>
      <c r="P14" s="50" t="s">
        <v>105</v>
      </c>
      <c r="Q14" s="52" t="n">
        <v>114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46327</v>
      </c>
      <c r="O15" s="55" t="n">
        <v>46447</v>
      </c>
      <c r="P15" s="50" t="s">
        <v>105</v>
      </c>
      <c r="Q15" s="52" t="n">
        <v>114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/>
      <c r="N16" s="44" t="n">
        <v>46314</v>
      </c>
      <c r="O16" s="45" t="n">
        <v>46314</v>
      </c>
      <c r="P16" s="46" t="s">
        <v>75</v>
      </c>
      <c r="Q16" s="37" t="n">
        <v>76</v>
      </c>
      <c r="R16" s="39"/>
      <c r="S16" s="39" t="n">
        <v>1</v>
      </c>
      <c r="T16" s="39" t="s">
        <v>76</v>
      </c>
      <c r="U16" s="57" t="n">
        <v>46314.0016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122</v>
      </c>
      <c r="N17" s="55" t="n">
        <v>46314</v>
      </c>
      <c r="O17" s="55" t="n">
        <v>46314</v>
      </c>
      <c r="P17" s="50" t="s">
        <v>75</v>
      </c>
      <c r="Q17" s="52" t="n">
        <v>85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126</v>
      </c>
      <c r="N18" s="55" t="n">
        <v>46314</v>
      </c>
      <c r="O18" s="55" t="n">
        <v>46314</v>
      </c>
      <c r="P18" s="50" t="s">
        <v>75</v>
      </c>
      <c r="Q18" s="52" t="n">
        <v>83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130</v>
      </c>
      <c r="N19" s="55" t="n">
        <v>46314</v>
      </c>
      <c r="O19" s="55" t="n">
        <v>46314</v>
      </c>
      <c r="P19" s="50" t="s">
        <v>75</v>
      </c>
      <c r="Q19" s="52" t="n">
        <v>79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134</v>
      </c>
      <c r="N20" s="55" t="n">
        <v>46314</v>
      </c>
      <c r="O20" s="55" t="n">
        <v>46314</v>
      </c>
      <c r="P20" s="50" t="s">
        <v>75</v>
      </c>
      <c r="Q20" s="52" t="n">
        <v>79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138</v>
      </c>
      <c r="N21" s="55" t="n">
        <v>46314</v>
      </c>
      <c r="O21" s="55" t="n">
        <v>46314</v>
      </c>
      <c r="P21" s="50" t="s">
        <v>75</v>
      </c>
      <c r="Q21" s="52" t="n">
        <v>78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142</v>
      </c>
      <c r="N22" s="55" t="n">
        <v>46314</v>
      </c>
      <c r="O22" s="55" t="n">
        <v>46314</v>
      </c>
      <c r="P22" s="50" t="s">
        <v>75</v>
      </c>
      <c r="Q22" s="52" t="n">
        <v>77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146</v>
      </c>
      <c r="Q23" s="52"/>
      <c r="R23" s="52"/>
      <c r="S23" s="52" t="n">
        <v>2</v>
      </c>
      <c r="T23" s="52" t="s">
        <v>147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148</v>
      </c>
      <c r="B24" s="50" t="s">
        <v>149</v>
      </c>
      <c r="C24" s="50" t="s">
        <v>150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151</v>
      </c>
      <c r="N24" s="55" t="n">
        <v>46314</v>
      </c>
      <c r="O24" s="55" t="n">
        <v>46314</v>
      </c>
      <c r="P24" s="50" t="s">
        <v>75</v>
      </c>
      <c r="Q24" s="52" t="n">
        <v>76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152</v>
      </c>
      <c r="B25" s="39" t="s">
        <v>153</v>
      </c>
      <c r="C25" s="38" t="s">
        <v>154</v>
      </c>
      <c r="D25" s="39" t="s">
        <v>114</v>
      </c>
      <c r="E25" s="40" t="n">
        <v>0</v>
      </c>
      <c r="F25" s="39" t="s">
        <v>155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46266</v>
      </c>
      <c r="M25" s="43"/>
      <c r="N25" s="44" t="n">
        <v>46266</v>
      </c>
      <c r="O25" s="45" t="n">
        <v>46266</v>
      </c>
      <c r="P25" s="46" t="s">
        <v>60</v>
      </c>
      <c r="Q25" s="37" t="n">
        <v>34</v>
      </c>
      <c r="R25" s="39"/>
      <c r="S25" s="39" t="n">
        <v>1</v>
      </c>
      <c r="T25" s="39" t="s">
        <v>156</v>
      </c>
      <c r="U25" s="39"/>
      <c r="V25" s="47" t="n">
        <v>1</v>
      </c>
      <c r="W25" s="38" t="s">
        <v>80</v>
      </c>
      <c r="X25" s="39" t="s">
        <v>157</v>
      </c>
      <c r="Y25" s="38" t="s">
        <v>158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159</v>
      </c>
      <c r="B26" s="50" t="s">
        <v>160</v>
      </c>
      <c r="C26" s="50" t="s">
        <v>161</v>
      </c>
      <c r="D26" s="52" t="s">
        <v>121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162</v>
      </c>
      <c r="N26" s="55" t="n">
        <v>46266</v>
      </c>
      <c r="O26" s="55" t="n">
        <v>46266</v>
      </c>
      <c r="P26" s="50" t="s">
        <v>163</v>
      </c>
      <c r="Q26" s="52" t="n">
        <v>34</v>
      </c>
      <c r="R26" s="52"/>
      <c r="S26" s="52" t="n">
        <v>2</v>
      </c>
      <c r="T26" s="52" t="s">
        <v>164</v>
      </c>
      <c r="U26" s="52"/>
      <c r="V26" s="56" t="n">
        <v>1</v>
      </c>
      <c r="W26" s="50" t="s">
        <v>86</v>
      </c>
      <c r="X26" s="52"/>
      <c r="Y26" s="52" t="s">
        <v>158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121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46266</v>
      </c>
      <c r="O27" s="55" t="n">
        <v>46266</v>
      </c>
      <c r="P27" s="50" t="s">
        <v>163</v>
      </c>
      <c r="Q27" s="52" t="n">
        <v>34</v>
      </c>
      <c r="R27" s="52"/>
      <c r="S27" s="52" t="n">
        <v>2</v>
      </c>
      <c r="T27" s="52" t="s">
        <v>164</v>
      </c>
      <c r="U27" s="52"/>
      <c r="V27" s="56" t="n">
        <v>1</v>
      </c>
      <c r="W27" s="52" t="s">
        <v>80</v>
      </c>
      <c r="X27" s="52"/>
      <c r="Y27" s="52" t="s">
        <v>158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46266</v>
      </c>
      <c r="O28" s="55" t="n">
        <v>46266</v>
      </c>
      <c r="P28" s="50" t="s">
        <v>163</v>
      </c>
      <c r="Q28" s="52" t="n">
        <v>34</v>
      </c>
      <c r="R28" s="52"/>
      <c r="S28" s="52" t="n">
        <v>2</v>
      </c>
      <c r="T28" s="52" t="s">
        <v>164</v>
      </c>
      <c r="U28" s="52"/>
      <c r="V28" s="56" t="n">
        <v>1</v>
      </c>
      <c r="W28" s="52" t="s">
        <v>80</v>
      </c>
      <c r="X28" s="52"/>
      <c r="Y28" s="52" t="s">
        <v>158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46428</v>
      </c>
      <c r="P29" s="34" t="s">
        <v>75</v>
      </c>
      <c r="Q29" s="31" t="n">
        <v>112</v>
      </c>
      <c r="R29" s="31"/>
      <c r="S29" s="31" t="n">
        <v>0</v>
      </c>
      <c r="T29" s="31" t="s">
        <v>76</v>
      </c>
      <c r="U29" s="31"/>
      <c r="V29" s="35" t="n">
        <v>0.6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121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46314</v>
      </c>
      <c r="O39" s="45" t="n">
        <v>46314</v>
      </c>
      <c r="P39" s="46" t="s">
        <v>75</v>
      </c>
      <c r="Q39" s="37" t="n">
        <v>76</v>
      </c>
      <c r="R39" s="39"/>
      <c r="S39" s="39" t="n">
        <v>1</v>
      </c>
      <c r="T39" s="39" t="s">
        <v>76</v>
      </c>
      <c r="U39" s="57" t="n">
        <v>46314.0039</v>
      </c>
      <c r="V39" s="47" t="n">
        <v>0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46314</v>
      </c>
      <c r="O40" s="55" t="n">
        <v>46314</v>
      </c>
      <c r="P40" s="50" t="s">
        <v>75</v>
      </c>
      <c r="Q40" s="52" t="n">
        <v>76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46314</v>
      </c>
      <c r="O41" s="55" t="n">
        <v>46314</v>
      </c>
      <c r="P41" s="50" t="s">
        <v>75</v>
      </c>
      <c r="Q41" s="52" t="n">
        <v>76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46314</v>
      </c>
      <c r="O42" s="55" t="n">
        <v>46314</v>
      </c>
      <c r="P42" s="50" t="s">
        <v>75</v>
      </c>
      <c r="Q42" s="52" t="n">
        <v>76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114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231</v>
      </c>
      <c r="N43" s="44" t="n">
        <v>46215</v>
      </c>
      <c r="O43" s="45" t="n">
        <v>46228</v>
      </c>
      <c r="P43" s="46" t="s">
        <v>232</v>
      </c>
      <c r="Q43" s="37" t="n">
        <v>0</v>
      </c>
      <c r="R43" s="39"/>
      <c r="S43" s="39" t="n">
        <v>1</v>
      </c>
      <c r="T43" s="39" t="s">
        <v>164</v>
      </c>
      <c r="U43" s="39"/>
      <c r="V43" s="47" t="n">
        <v>1</v>
      </c>
      <c r="W43" s="38" t="s">
        <v>80</v>
      </c>
      <c r="X43" s="39" t="s">
        <v>233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234</v>
      </c>
      <c r="B44" s="50" t="s">
        <v>235</v>
      </c>
      <c r="C44" s="50" t="s">
        <v>236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237</v>
      </c>
      <c r="N44" s="55" t="n">
        <v>46215</v>
      </c>
      <c r="O44" s="55" t="n">
        <v>46218</v>
      </c>
      <c r="P44" s="50" t="s">
        <v>163</v>
      </c>
      <c r="Q44" s="52" t="n">
        <v>0</v>
      </c>
      <c r="R44" s="52"/>
      <c r="S44" s="52" t="n">
        <v>2</v>
      </c>
      <c r="T44" s="52" t="s">
        <v>164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238</v>
      </c>
      <c r="B45" s="50" t="s">
        <v>239</v>
      </c>
      <c r="C45" s="50" t="s">
        <v>240</v>
      </c>
      <c r="D45" s="52" t="s">
        <v>121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241</v>
      </c>
      <c r="N45" s="55" t="n">
        <v>46216</v>
      </c>
      <c r="O45" s="55" t="n">
        <v>46222</v>
      </c>
      <c r="P45" s="50" t="s">
        <v>163</v>
      </c>
      <c r="Q45" s="52" t="n">
        <v>1</v>
      </c>
      <c r="R45" s="52"/>
      <c r="S45" s="52" t="n">
        <v>2</v>
      </c>
      <c r="T45" s="52" t="s">
        <v>164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242</v>
      </c>
      <c r="B46" s="50" t="s">
        <v>243</v>
      </c>
      <c r="C46" s="50" t="s">
        <v>244</v>
      </c>
      <c r="D46" s="52" t="s">
        <v>121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245</v>
      </c>
      <c r="N46" s="55" t="n">
        <v>46222</v>
      </c>
      <c r="O46" s="55" t="n">
        <v>46228</v>
      </c>
      <c r="P46" s="50" t="s">
        <v>163</v>
      </c>
      <c r="Q46" s="52" t="n">
        <v>0</v>
      </c>
      <c r="R46" s="52"/>
      <c r="S46" s="52" t="n">
        <v>2</v>
      </c>
      <c r="T46" s="52" t="s">
        <v>164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246</v>
      </c>
      <c r="B47" s="39" t="s">
        <v>247</v>
      </c>
      <c r="C47" s="39"/>
      <c r="D47" s="39" t="s">
        <v>114</v>
      </c>
      <c r="E47" s="40" t="n">
        <v>0</v>
      </c>
      <c r="F47" s="38" t="s">
        <v>248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146</v>
      </c>
      <c r="Q47" s="37"/>
      <c r="R47" s="39"/>
      <c r="S47" s="39" t="n">
        <v>1</v>
      </c>
      <c r="T47" s="38" t="s">
        <v>147</v>
      </c>
      <c r="U47" s="39"/>
      <c r="V47" s="47" t="n">
        <v>0</v>
      </c>
      <c r="W47" s="38" t="s">
        <v>80</v>
      </c>
      <c r="X47" s="39" t="s">
        <v>249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121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146</v>
      </c>
      <c r="Q48" s="52"/>
      <c r="R48" s="52"/>
      <c r="S48" s="52" t="n">
        <v>2</v>
      </c>
      <c r="T48" s="52" t="s">
        <v>147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121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146</v>
      </c>
      <c r="Q49" s="52"/>
      <c r="R49" s="52"/>
      <c r="S49" s="52" t="n">
        <v>2</v>
      </c>
      <c r="T49" s="52" t="s">
        <v>147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146</v>
      </c>
      <c r="Q50" s="37"/>
      <c r="R50" s="39"/>
      <c r="S50" s="39" t="n">
        <v>1</v>
      </c>
      <c r="T50" s="38" t="s">
        <v>147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121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146</v>
      </c>
      <c r="Q51" s="52"/>
      <c r="R51" s="52"/>
      <c r="S51" s="52" t="n">
        <v>2</v>
      </c>
      <c r="T51" s="52" t="s">
        <v>147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114</v>
      </c>
      <c r="E55" s="40" t="n">
        <v>1.5</v>
      </c>
      <c r="F55" s="38" t="s">
        <v>248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46304</v>
      </c>
      <c r="M55" s="43"/>
      <c r="N55" s="44" t="n">
        <v>46304</v>
      </c>
      <c r="O55" s="45" t="n">
        <v>46304</v>
      </c>
      <c r="P55" s="46" t="s">
        <v>60</v>
      </c>
      <c r="Q55" s="37" t="n">
        <v>33</v>
      </c>
      <c r="R55" s="39"/>
      <c r="S55" s="39" t="n">
        <v>1</v>
      </c>
      <c r="T55" s="39" t="s">
        <v>156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</v>
      </c>
      <c r="C57" s="39" t="s">
        <v>282</v>
      </c>
      <c r="D57" s="39" t="s">
        <v>283</v>
      </c>
      <c r="E57" s="40" t="n">
        <v>0</v>
      </c>
      <c r="F57" s="38" t="s">
        <v>248</v>
      </c>
      <c r="G57" s="37"/>
      <c r="H57" s="37" t="n">
        <v>21</v>
      </c>
      <c r="I57" s="41" t="n">
        <v>46272</v>
      </c>
      <c r="J57" s="41" t="n">
        <v>46292</v>
      </c>
      <c r="K57" s="42" t="n">
        <v>46304</v>
      </c>
      <c r="L57" s="42"/>
      <c r="M57" s="43"/>
      <c r="N57" s="44" t="n">
        <v>46304</v>
      </c>
      <c r="O57" s="45" t="n">
        <v>46328</v>
      </c>
      <c r="P57" s="46" t="s">
        <v>75</v>
      </c>
      <c r="Q57" s="37" t="n">
        <v>36</v>
      </c>
      <c r="R57" s="39"/>
      <c r="S57" s="39" t="n">
        <v>1</v>
      </c>
      <c r="T57" s="39" t="s">
        <v>76</v>
      </c>
      <c r="U57" s="57" t="n">
        <v>46304.0057</v>
      </c>
      <c r="V57" s="47" t="n">
        <v>0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9"/>
      <c r="D58" s="39" t="s">
        <v>114</v>
      </c>
      <c r="E58" s="40" t="n">
        <v>0</v>
      </c>
      <c r="F58" s="38" t="s">
        <v>248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46329</v>
      </c>
      <c r="O58" s="45" t="n">
        <v>46335</v>
      </c>
      <c r="P58" s="46" t="s">
        <v>105</v>
      </c>
      <c r="Q58" s="37" t="n">
        <v>36</v>
      </c>
      <c r="R58" s="39"/>
      <c r="S58" s="39" t="n">
        <v>1</v>
      </c>
      <c r="T58" s="39" t="s">
        <v>106</v>
      </c>
      <c r="U58" s="57" t="n">
        <v>46329.0058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114</v>
      </c>
      <c r="E59" s="40" t="n">
        <v>0</v>
      </c>
      <c r="F59" s="38" t="s">
        <v>248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46384</v>
      </c>
      <c r="O59" s="45" t="n">
        <v>46384</v>
      </c>
      <c r="P59" s="46" t="s">
        <v>105</v>
      </c>
      <c r="Q59" s="37" t="n">
        <v>84</v>
      </c>
      <c r="R59" s="39"/>
      <c r="S59" s="39" t="n">
        <v>1</v>
      </c>
      <c r="T59" s="39" t="s">
        <v>106</v>
      </c>
      <c r="U59" s="57" t="n">
        <v>46384.0059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248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46387</v>
      </c>
      <c r="O60" s="60" t="n">
        <v>46428</v>
      </c>
      <c r="P60" s="46" t="s">
        <v>105</v>
      </c>
      <c r="Q60" s="37" t="n">
        <v>112</v>
      </c>
      <c r="R60" s="39"/>
      <c r="S60" s="39" t="n">
        <v>1</v>
      </c>
      <c r="T60" s="39" t="s">
        <v>106</v>
      </c>
      <c r="U60" s="57" t="n">
        <v>46387.006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46314</v>
      </c>
      <c r="O61" s="33" t="n">
        <v>46328</v>
      </c>
      <c r="P61" s="34" t="s">
        <v>75</v>
      </c>
      <c r="Q61" s="31" t="n">
        <v>58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16</v>
      </c>
      <c r="I62" s="41" t="n">
        <v>46241</v>
      </c>
      <c r="J62" s="41" t="n">
        <v>46258</v>
      </c>
      <c r="K62" s="42"/>
      <c r="L62" s="42"/>
      <c r="M62" s="43"/>
      <c r="N62" s="44" t="n">
        <v>46314</v>
      </c>
      <c r="O62" s="45" t="n">
        <v>46319</v>
      </c>
      <c r="P62" s="46" t="s">
        <v>75</v>
      </c>
      <c r="Q62" s="37" t="n">
        <v>61</v>
      </c>
      <c r="R62" s="39"/>
      <c r="S62" s="39" t="n">
        <v>1</v>
      </c>
      <c r="T62" s="39" t="s">
        <v>76</v>
      </c>
      <c r="U62" s="57" t="n">
        <v>46314.0062</v>
      </c>
      <c r="V62" s="47" t="n">
        <v>0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46314</v>
      </c>
      <c r="O63" s="55" t="n">
        <v>46315</v>
      </c>
      <c r="P63" s="50" t="s">
        <v>75</v>
      </c>
      <c r="Q63" s="52" t="n">
        <v>72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46314</v>
      </c>
      <c r="O64" s="55" t="n">
        <v>46315</v>
      </c>
      <c r="P64" s="50" t="s">
        <v>75</v>
      </c>
      <c r="Q64" s="52" t="n">
        <v>71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46315</v>
      </c>
      <c r="O65" s="55" t="n">
        <v>46317</v>
      </c>
      <c r="P65" s="50" t="s">
        <v>105</v>
      </c>
      <c r="Q65" s="52" t="n">
        <v>68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46316</v>
      </c>
      <c r="O66" s="55" t="n">
        <v>46318</v>
      </c>
      <c r="P66" s="50" t="s">
        <v>105</v>
      </c>
      <c r="Q66" s="52" t="n">
        <v>63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46317</v>
      </c>
      <c r="O67" s="55" t="n">
        <v>46319</v>
      </c>
      <c r="P67" s="50" t="s">
        <v>105</v>
      </c>
      <c r="Q67" s="52" t="n">
        <v>62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46318</v>
      </c>
      <c r="O68" s="55" t="n">
        <v>46319</v>
      </c>
      <c r="P68" s="50" t="s">
        <v>105</v>
      </c>
      <c r="Q68" s="52" t="n">
        <v>61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46319</v>
      </c>
      <c r="O69" s="55" t="n">
        <v>46319</v>
      </c>
      <c r="P69" s="50" t="s">
        <v>105</v>
      </c>
      <c r="Q69" s="52" t="n">
        <v>61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46322</v>
      </c>
      <c r="O70" s="45" t="n">
        <v>46325</v>
      </c>
      <c r="P70" s="46" t="s">
        <v>105</v>
      </c>
      <c r="Q70" s="37" t="n">
        <v>57</v>
      </c>
      <c r="R70" s="39"/>
      <c r="S70" s="39" t="n">
        <v>1</v>
      </c>
      <c r="T70" s="39" t="s">
        <v>106</v>
      </c>
      <c r="U70" s="57" t="n">
        <v>46322.007</v>
      </c>
      <c r="V70" s="47" t="n">
        <v>0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46322</v>
      </c>
      <c r="O71" s="55" t="n">
        <v>46323</v>
      </c>
      <c r="P71" s="50" t="s">
        <v>105</v>
      </c>
      <c r="Q71" s="52" t="n">
        <v>60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46323</v>
      </c>
      <c r="O72" s="55" t="n">
        <v>46324</v>
      </c>
      <c r="P72" s="50" t="s">
        <v>105</v>
      </c>
      <c r="Q72" s="52" t="n">
        <v>58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46323</v>
      </c>
      <c r="O73" s="55" t="n">
        <v>46324</v>
      </c>
      <c r="P73" s="50" t="s">
        <v>105</v>
      </c>
      <c r="Q73" s="52" t="n">
        <v>58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46324</v>
      </c>
      <c r="O74" s="55" t="n">
        <v>46325</v>
      </c>
      <c r="P74" s="50" t="s">
        <v>105</v>
      </c>
      <c r="Q74" s="52" t="n">
        <v>57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46324</v>
      </c>
      <c r="O75" s="55" t="n">
        <v>46325</v>
      </c>
      <c r="P75" s="50" t="s">
        <v>105</v>
      </c>
      <c r="Q75" s="52" t="n">
        <v>57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7</v>
      </c>
      <c r="I76" s="41" t="n">
        <v>46259</v>
      </c>
      <c r="J76" s="41" t="n">
        <v>46268</v>
      </c>
      <c r="K76" s="42"/>
      <c r="L76" s="42"/>
      <c r="M76" s="43"/>
      <c r="N76" s="44" t="n">
        <v>46320</v>
      </c>
      <c r="O76" s="45" t="n">
        <v>46326</v>
      </c>
      <c r="P76" s="46" t="s">
        <v>105</v>
      </c>
      <c r="Q76" s="37" t="n">
        <v>58</v>
      </c>
      <c r="R76" s="39"/>
      <c r="S76" s="39" t="n">
        <v>1</v>
      </c>
      <c r="T76" s="39" t="s">
        <v>106</v>
      </c>
      <c r="U76" s="57" t="n">
        <v>46320.0076</v>
      </c>
      <c r="V76" s="47" t="n">
        <v>0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46320</v>
      </c>
      <c r="O77" s="55" t="n">
        <v>46322</v>
      </c>
      <c r="P77" s="50" t="s">
        <v>105</v>
      </c>
      <c r="Q77" s="52" t="n">
        <v>60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46321</v>
      </c>
      <c r="O78" s="55" t="n">
        <v>46325</v>
      </c>
      <c r="P78" s="50" t="s">
        <v>105</v>
      </c>
      <c r="Q78" s="52" t="n">
        <v>58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46322</v>
      </c>
      <c r="O79" s="55" t="n">
        <v>46326</v>
      </c>
      <c r="P79" s="50" t="s">
        <v>105</v>
      </c>
      <c r="Q79" s="52" t="n">
        <v>58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46325</v>
      </c>
      <c r="O80" s="55" t="n">
        <v>46326</v>
      </c>
      <c r="P80" s="50" t="s">
        <v>105</v>
      </c>
      <c r="Q80" s="52" t="n">
        <v>58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46326</v>
      </c>
      <c r="O81" s="55" t="n">
        <v>46326</v>
      </c>
      <c r="P81" s="50" t="s">
        <v>105</v>
      </c>
      <c r="Q81" s="52" t="n">
        <v>58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46324</v>
      </c>
      <c r="O82" s="45" t="n">
        <v>46326</v>
      </c>
      <c r="P82" s="46" t="s">
        <v>105</v>
      </c>
      <c r="Q82" s="37" t="n">
        <v>61</v>
      </c>
      <c r="R82" s="39"/>
      <c r="S82" s="39" t="n">
        <v>1</v>
      </c>
      <c r="T82" s="39" t="s">
        <v>106</v>
      </c>
      <c r="U82" s="57" t="n">
        <v>46324.0082</v>
      </c>
      <c r="V82" s="47" t="n">
        <v>0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46324</v>
      </c>
      <c r="O83" s="55" t="n">
        <v>46325</v>
      </c>
      <c r="P83" s="50" t="s">
        <v>105</v>
      </c>
      <c r="Q83" s="52" t="n">
        <v>61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46325</v>
      </c>
      <c r="O84" s="55" t="n">
        <v>46326</v>
      </c>
      <c r="P84" s="50" t="s">
        <v>105</v>
      </c>
      <c r="Q84" s="52" t="n">
        <v>61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46322</v>
      </c>
      <c r="O85" s="45" t="n">
        <v>46325</v>
      </c>
      <c r="P85" s="46" t="s">
        <v>105</v>
      </c>
      <c r="Q85" s="37" t="n">
        <v>59</v>
      </c>
      <c r="R85" s="39"/>
      <c r="S85" s="39" t="n">
        <v>1</v>
      </c>
      <c r="T85" s="39" t="s">
        <v>106</v>
      </c>
      <c r="U85" s="57" t="n">
        <v>46322.0085</v>
      </c>
      <c r="V85" s="47" t="n">
        <v>0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46322</v>
      </c>
      <c r="O86" s="55" t="n">
        <v>46324</v>
      </c>
      <c r="P86" s="50" t="s">
        <v>105</v>
      </c>
      <c r="Q86" s="52" t="n">
        <v>62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46323</v>
      </c>
      <c r="O87" s="55" t="n">
        <v>46325</v>
      </c>
      <c r="P87" s="50" t="s">
        <v>105</v>
      </c>
      <c r="Q87" s="52" t="n">
        <v>60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46324</v>
      </c>
      <c r="O88" s="55" t="n">
        <v>46325</v>
      </c>
      <c r="P88" s="50" t="s">
        <v>105</v>
      </c>
      <c r="Q88" s="52" t="n">
        <v>59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46325</v>
      </c>
      <c r="O89" s="55" t="n">
        <v>46325</v>
      </c>
      <c r="P89" s="50" t="s">
        <v>105</v>
      </c>
      <c r="Q89" s="52" t="n">
        <v>59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46323</v>
      </c>
      <c r="O90" s="45" t="n">
        <v>46326</v>
      </c>
      <c r="P90" s="46" t="s">
        <v>105</v>
      </c>
      <c r="Q90" s="37" t="n">
        <v>59</v>
      </c>
      <c r="R90" s="39"/>
      <c r="S90" s="39" t="n">
        <v>1</v>
      </c>
      <c r="T90" s="39" t="s">
        <v>106</v>
      </c>
      <c r="U90" s="57" t="n">
        <v>46323.009</v>
      </c>
      <c r="V90" s="47" t="n">
        <v>0</v>
      </c>
      <c r="W90" s="39" t="s">
        <v>86</v>
      </c>
      <c r="X90" s="39" t="s">
        <v>412</v>
      </c>
      <c r="Y90" s="38" t="s">
        <v>413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417</v>
      </c>
      <c r="N91" s="55" t="n">
        <v>46323</v>
      </c>
      <c r="O91" s="55" t="n">
        <v>46325</v>
      </c>
      <c r="P91" s="50" t="s">
        <v>105</v>
      </c>
      <c r="Q91" s="52" t="n">
        <v>62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 t="s">
        <v>413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421</v>
      </c>
      <c r="N92" s="55" t="n">
        <v>46325</v>
      </c>
      <c r="O92" s="55" t="n">
        <v>46326</v>
      </c>
      <c r="P92" s="50" t="s">
        <v>105</v>
      </c>
      <c r="Q92" s="52" t="n">
        <v>59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 t="s">
        <v>413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425</v>
      </c>
      <c r="N93" s="55" t="n">
        <v>46323</v>
      </c>
      <c r="O93" s="55" t="n">
        <v>46325</v>
      </c>
      <c r="P93" s="50" t="s">
        <v>105</v>
      </c>
      <c r="Q93" s="52" t="n">
        <v>63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 t="s">
        <v>413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429</v>
      </c>
      <c r="N94" s="55" t="n">
        <v>46325</v>
      </c>
      <c r="O94" s="55" t="n">
        <v>46326</v>
      </c>
      <c r="P94" s="50" t="s">
        <v>105</v>
      </c>
      <c r="Q94" s="52" t="n">
        <v>59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 t="s">
        <v>413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433</v>
      </c>
      <c r="N95" s="55" t="n">
        <v>46326</v>
      </c>
      <c r="O95" s="55" t="n">
        <v>46326</v>
      </c>
      <c r="P95" s="50" t="s">
        <v>105</v>
      </c>
      <c r="Q95" s="52" t="n">
        <v>59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 t="s">
        <v>413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46324</v>
      </c>
      <c r="O96" s="45" t="n">
        <v>46326</v>
      </c>
      <c r="P96" s="46" t="s">
        <v>105</v>
      </c>
      <c r="Q96" s="37" t="n">
        <v>59</v>
      </c>
      <c r="R96" s="39"/>
      <c r="S96" s="39" t="n">
        <v>1</v>
      </c>
      <c r="T96" s="39" t="s">
        <v>106</v>
      </c>
      <c r="U96" s="57" t="n">
        <v>46324.0096</v>
      </c>
      <c r="V96" s="47" t="n">
        <v>0</v>
      </c>
      <c r="W96" s="39" t="s">
        <v>86</v>
      </c>
      <c r="X96" s="38" t="s">
        <v>436</v>
      </c>
      <c r="Y96" s="38" t="s">
        <v>413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440</v>
      </c>
      <c r="N97" s="55" t="n">
        <v>46324</v>
      </c>
      <c r="O97" s="55" t="n">
        <v>46326</v>
      </c>
      <c r="P97" s="50" t="s">
        <v>105</v>
      </c>
      <c r="Q97" s="52" t="n">
        <v>60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 t="s">
        <v>413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444</v>
      </c>
      <c r="N98" s="55" t="n">
        <v>46325</v>
      </c>
      <c r="O98" s="55" t="n">
        <v>46326</v>
      </c>
      <c r="P98" s="50" t="s">
        <v>105</v>
      </c>
      <c r="Q98" s="52" t="n">
        <v>59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 t="s">
        <v>413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448</v>
      </c>
      <c r="N99" s="55" t="n">
        <v>46326</v>
      </c>
      <c r="O99" s="55" t="n">
        <v>46326</v>
      </c>
      <c r="P99" s="50" t="s">
        <v>105</v>
      </c>
      <c r="Q99" s="52" t="n">
        <v>59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 t="s">
        <v>413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297</v>
      </c>
      <c r="E100" s="40" t="n">
        <v>5</v>
      </c>
      <c r="F100" s="39" t="s">
        <v>452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46325</v>
      </c>
      <c r="O100" s="45" t="n">
        <v>46327</v>
      </c>
      <c r="P100" s="46" t="s">
        <v>105</v>
      </c>
      <c r="Q100" s="37" t="n">
        <v>59</v>
      </c>
      <c r="R100" s="39"/>
      <c r="S100" s="39" t="n">
        <v>1</v>
      </c>
      <c r="T100" s="39" t="s">
        <v>106</v>
      </c>
      <c r="U100" s="57" t="n">
        <v>46325.01</v>
      </c>
      <c r="V100" s="47" t="n">
        <v>0</v>
      </c>
      <c r="W100" s="39" t="s">
        <v>86</v>
      </c>
      <c r="X100" s="39" t="s">
        <v>453</v>
      </c>
      <c r="Y100" s="38" t="s">
        <v>413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146</v>
      </c>
      <c r="Q101" s="52"/>
      <c r="R101" s="52"/>
      <c r="S101" s="52" t="n">
        <v>2</v>
      </c>
      <c r="T101" s="52" t="s">
        <v>147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146</v>
      </c>
      <c r="Q102" s="52"/>
      <c r="R102" s="52"/>
      <c r="S102" s="52" t="n">
        <v>2</v>
      </c>
      <c r="T102" s="52" t="s">
        <v>147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459</v>
      </c>
      <c r="B103" s="52" t="s">
        <v>460</v>
      </c>
      <c r="C103" s="52" t="s">
        <v>461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462</v>
      </c>
      <c r="N103" s="55" t="n">
        <v>46325</v>
      </c>
      <c r="O103" s="55" t="n">
        <v>46326</v>
      </c>
      <c r="P103" s="50" t="s">
        <v>105</v>
      </c>
      <c r="Q103" s="52" t="n">
        <v>59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 t="s">
        <v>413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466</v>
      </c>
      <c r="N104" s="55" t="n">
        <v>46326</v>
      </c>
      <c r="O104" s="55" t="n">
        <v>46327</v>
      </c>
      <c r="P104" s="50" t="s">
        <v>105</v>
      </c>
      <c r="Q104" s="52" t="n">
        <v>60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 t="s">
        <v>413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470</v>
      </c>
      <c r="N105" s="55" t="n">
        <v>46326</v>
      </c>
      <c r="O105" s="55" t="n">
        <v>46327</v>
      </c>
      <c r="P105" s="50" t="s">
        <v>105</v>
      </c>
      <c r="Q105" s="52" t="n">
        <v>59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 t="s">
        <v>413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474</v>
      </c>
      <c r="N106" s="55" t="n">
        <v>46327</v>
      </c>
      <c r="O106" s="55" t="n">
        <v>46327</v>
      </c>
      <c r="P106" s="50" t="s">
        <v>105</v>
      </c>
      <c r="Q106" s="52" t="n">
        <v>59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 t="s">
        <v>413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297</v>
      </c>
      <c r="E107" s="40" t="n">
        <v>2.5</v>
      </c>
      <c r="F107" s="39" t="s">
        <v>452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46326</v>
      </c>
      <c r="O107" s="45" t="n">
        <v>46327</v>
      </c>
      <c r="P107" s="46" t="s">
        <v>105</v>
      </c>
      <c r="Q107" s="37" t="n">
        <v>58</v>
      </c>
      <c r="R107" s="39"/>
      <c r="S107" s="39" t="n">
        <v>1</v>
      </c>
      <c r="T107" s="39" t="s">
        <v>106</v>
      </c>
      <c r="U107" s="57" t="n">
        <v>46326.0107</v>
      </c>
      <c r="V107" s="47" t="n">
        <v>0</v>
      </c>
      <c r="W107" s="39" t="s">
        <v>86</v>
      </c>
      <c r="X107" s="39" t="s">
        <v>477</v>
      </c>
      <c r="Y107" s="38" t="s">
        <v>413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481</v>
      </c>
      <c r="N108" s="55" t="n">
        <v>46326</v>
      </c>
      <c r="O108" s="55" t="n">
        <v>46327</v>
      </c>
      <c r="P108" s="50" t="s">
        <v>105</v>
      </c>
      <c r="Q108" s="52" t="n">
        <v>59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 t="s">
        <v>413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485</v>
      </c>
      <c r="N109" s="55" t="n">
        <v>46327</v>
      </c>
      <c r="O109" s="55" t="n">
        <v>46327</v>
      </c>
      <c r="P109" s="50" t="s">
        <v>105</v>
      </c>
      <c r="Q109" s="52" t="n">
        <v>58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 t="s">
        <v>413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489</v>
      </c>
      <c r="N110" s="55" t="n">
        <v>46326</v>
      </c>
      <c r="O110" s="55" t="n">
        <v>46327</v>
      </c>
      <c r="P110" s="50" t="s">
        <v>105</v>
      </c>
      <c r="Q110" s="52" t="n">
        <v>59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 t="s">
        <v>413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/>
      <c r="D111" s="39" t="s">
        <v>79</v>
      </c>
      <c r="E111" s="40" t="n">
        <v>0</v>
      </c>
      <c r="F111" s="38" t="s">
        <v>248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46328</v>
      </c>
      <c r="O111" s="45" t="n">
        <v>46328</v>
      </c>
      <c r="P111" s="46" t="s">
        <v>105</v>
      </c>
      <c r="Q111" s="37" t="n">
        <v>58</v>
      </c>
      <c r="R111" s="39"/>
      <c r="S111" s="39" t="n">
        <v>1</v>
      </c>
      <c r="T111" s="39" t="s">
        <v>106</v>
      </c>
      <c r="U111" s="57" t="n">
        <v>46328.0111</v>
      </c>
      <c r="V111" s="47" t="n">
        <v>0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497</v>
      </c>
      <c r="N112" s="55" t="n">
        <v>46328</v>
      </c>
      <c r="O112" s="55" t="n">
        <v>46328</v>
      </c>
      <c r="P112" s="50" t="s">
        <v>105</v>
      </c>
      <c r="Q112" s="52" t="n">
        <v>58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501</v>
      </c>
      <c r="N113" s="55" t="n">
        <v>46328</v>
      </c>
      <c r="O113" s="55" t="n">
        <v>46328</v>
      </c>
      <c r="P113" s="50" t="s">
        <v>105</v>
      </c>
      <c r="Q113" s="52" t="n">
        <v>58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46447</v>
      </c>
      <c r="P114" s="34" t="s">
        <v>75</v>
      </c>
      <c r="Q114" s="31" t="n">
        <v>114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248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46380</v>
      </c>
      <c r="O115" s="45" t="n">
        <v>46380</v>
      </c>
      <c r="P115" s="46" t="s">
        <v>105</v>
      </c>
      <c r="Q115" s="37" t="n">
        <v>107</v>
      </c>
      <c r="R115" s="39"/>
      <c r="S115" s="39" t="n">
        <v>1</v>
      </c>
      <c r="T115" s="39" t="s">
        <v>106</v>
      </c>
      <c r="U115" s="57" t="n">
        <v>46380.0115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511</v>
      </c>
      <c r="N116" s="55" t="n">
        <v>46380</v>
      </c>
      <c r="O116" s="55" t="n">
        <v>46380</v>
      </c>
      <c r="P116" s="50" t="s">
        <v>105</v>
      </c>
      <c r="Q116" s="52" t="n">
        <v>109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515</v>
      </c>
      <c r="N117" s="55" t="n">
        <v>46380</v>
      </c>
      <c r="O117" s="55" t="n">
        <v>46380</v>
      </c>
      <c r="P117" s="50" t="s">
        <v>105</v>
      </c>
      <c r="Q117" s="52" t="n">
        <v>108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519</v>
      </c>
      <c r="N118" s="55" t="n">
        <v>46380</v>
      </c>
      <c r="O118" s="55" t="n">
        <v>46380</v>
      </c>
      <c r="P118" s="50" t="s">
        <v>105</v>
      </c>
      <c r="Q118" s="52" t="n">
        <v>108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523</v>
      </c>
      <c r="N119" s="55" t="n">
        <v>46380</v>
      </c>
      <c r="O119" s="55" t="n">
        <v>46380</v>
      </c>
      <c r="P119" s="50" t="s">
        <v>105</v>
      </c>
      <c r="Q119" s="52" t="n">
        <v>108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527</v>
      </c>
      <c r="N120" s="55" t="n">
        <v>46380</v>
      </c>
      <c r="O120" s="55" t="n">
        <v>46380</v>
      </c>
      <c r="P120" s="50" t="s">
        <v>105</v>
      </c>
      <c r="Q120" s="52" t="n">
        <v>107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531</v>
      </c>
      <c r="N121" s="55" t="n">
        <v>46380</v>
      </c>
      <c r="O121" s="55" t="n">
        <v>46380</v>
      </c>
      <c r="P121" s="50" t="s">
        <v>105</v>
      </c>
      <c r="Q121" s="52" t="n">
        <v>107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248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46349</v>
      </c>
      <c r="O122" s="45" t="n">
        <v>46349</v>
      </c>
      <c r="P122" s="46" t="s">
        <v>105</v>
      </c>
      <c r="Q122" s="37" t="n">
        <v>76</v>
      </c>
      <c r="R122" s="39"/>
      <c r="S122" s="39" t="n">
        <v>1</v>
      </c>
      <c r="T122" s="39" t="s">
        <v>106</v>
      </c>
      <c r="U122" s="57" t="n">
        <v>46349.0122</v>
      </c>
      <c r="V122" s="47" t="n">
        <v>0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9" t="s">
        <v>537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156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46434</v>
      </c>
      <c r="O124" s="45" t="n">
        <v>46447</v>
      </c>
      <c r="P124" s="46" t="s">
        <v>105</v>
      </c>
      <c r="Q124" s="37" t="n">
        <v>114</v>
      </c>
      <c r="R124" s="39"/>
      <c r="S124" s="39" t="n">
        <v>1</v>
      </c>
      <c r="T124" s="39" t="s">
        <v>106</v>
      </c>
      <c r="U124" s="57" t="n">
        <v>46434.0124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546</v>
      </c>
      <c r="N125" s="55" t="n">
        <v>46434</v>
      </c>
      <c r="O125" s="55" t="n">
        <v>46438</v>
      </c>
      <c r="P125" s="50" t="s">
        <v>105</v>
      </c>
      <c r="Q125" s="52" t="n">
        <v>114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550</v>
      </c>
      <c r="N126" s="55" t="n">
        <v>46437</v>
      </c>
      <c r="O126" s="55" t="n">
        <v>46444</v>
      </c>
      <c r="P126" s="50" t="s">
        <v>105</v>
      </c>
      <c r="Q126" s="52" t="n">
        <v>114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554</v>
      </c>
      <c r="N127" s="55" t="n">
        <v>46444</v>
      </c>
      <c r="O127" s="55" t="n">
        <v>46447</v>
      </c>
      <c r="P127" s="50" t="s">
        <v>105</v>
      </c>
      <c r="Q127" s="52" t="n">
        <v>114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248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46391</v>
      </c>
      <c r="O128" s="45" t="n">
        <v>46391</v>
      </c>
      <c r="P128" s="46" t="s">
        <v>105</v>
      </c>
      <c r="Q128" s="37" t="n">
        <v>108</v>
      </c>
      <c r="R128" s="39"/>
      <c r="S128" s="39" t="n">
        <v>1</v>
      </c>
      <c r="T128" s="39" t="s">
        <v>106</v>
      </c>
      <c r="U128" s="57" t="n">
        <v>46391.0128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/>
      <c r="D129" s="39" t="s">
        <v>114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46392</v>
      </c>
      <c r="O129" s="45" t="n">
        <v>46392</v>
      </c>
      <c r="P129" s="46" t="s">
        <v>105</v>
      </c>
      <c r="Q129" s="37" t="n">
        <v>109</v>
      </c>
      <c r="R129" s="39"/>
      <c r="S129" s="39" t="n">
        <v>1</v>
      </c>
      <c r="T129" s="39" t="s">
        <v>106</v>
      </c>
      <c r="U129" s="57" t="n">
        <v>46392.0129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560</v>
      </c>
      <c r="B130" s="38" t="s">
        <v>561</v>
      </c>
      <c r="C130" s="39"/>
      <c r="D130" s="39" t="s">
        <v>114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46392</v>
      </c>
      <c r="O130" s="45" t="n">
        <v>46398</v>
      </c>
      <c r="P130" s="46" t="s">
        <v>105</v>
      </c>
      <c r="Q130" s="37" t="n">
        <v>115</v>
      </c>
      <c r="R130" s="39"/>
      <c r="S130" s="39" t="n">
        <v>1</v>
      </c>
      <c r="T130" s="39" t="s">
        <v>106</v>
      </c>
      <c r="U130" s="57" t="n">
        <v>46392.013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562</v>
      </c>
      <c r="B131" s="39" t="s">
        <v>563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46429</v>
      </c>
      <c r="O131" s="45" t="n">
        <v>46433</v>
      </c>
      <c r="P131" s="46" t="s">
        <v>105</v>
      </c>
      <c r="Q131" s="37" t="n">
        <v>114</v>
      </c>
      <c r="R131" s="39"/>
      <c r="S131" s="39" t="n">
        <v>1</v>
      </c>
      <c r="T131" s="39" t="s">
        <v>106</v>
      </c>
      <c r="U131" s="57" t="n">
        <v>46429.0131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564</v>
      </c>
      <c r="D134" s="6" t="s">
        <v>565</v>
      </c>
    </row>
    <row r="135" customFormat="false" ht="15" hidden="false" customHeight="true" outlineLevel="0" collapsed="false">
      <c r="B135" s="62" t="s">
        <v>566</v>
      </c>
      <c r="D135" s="62" t="s">
        <v>567</v>
      </c>
      <c r="E135" s="62" t="s">
        <v>568</v>
      </c>
      <c r="I135" s="63" t="s">
        <v>569</v>
      </c>
      <c r="J135" s="63" t="s">
        <v>570</v>
      </c>
      <c r="K135" s="63" t="s">
        <v>571</v>
      </c>
      <c r="L135" s="63" t="s">
        <v>572</v>
      </c>
      <c r="O135" s="62" t="s">
        <v>573</v>
      </c>
      <c r="P135" s="62" t="s">
        <v>574</v>
      </c>
    </row>
    <row r="136" customFormat="false" ht="15" hidden="false" customHeight="true" outlineLevel="0" collapsed="false">
      <c r="B136" s="64" t="s">
        <v>575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576</v>
      </c>
    </row>
    <row r="137" customFormat="false" ht="15" hidden="false" customHeight="true" outlineLevel="0" collapsed="false">
      <c r="B137" s="64" t="s">
        <v>577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578</v>
      </c>
    </row>
    <row r="138" customFormat="false" ht="15" hidden="false" customHeight="true" outlineLevel="0" collapsed="false">
      <c r="B138" s="64" t="s">
        <v>579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580</v>
      </c>
    </row>
    <row r="139" customFormat="false" ht="15" hidden="false" customHeight="true" outlineLevel="0" collapsed="false">
      <c r="B139" s="64" t="s">
        <v>581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582</v>
      </c>
    </row>
    <row r="140" customFormat="false" ht="15" hidden="false" customHeight="true" outlineLevel="0" collapsed="false">
      <c r="B140" s="64" t="s">
        <v>583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584</v>
      </c>
    </row>
    <row r="141" customFormat="false" ht="15" hidden="false" customHeight="true" outlineLevel="0" collapsed="false">
      <c r="B141" s="69" t="s">
        <v>585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586</v>
      </c>
    </row>
    <row r="142" customFormat="false" ht="15" hidden="false" customHeight="true" outlineLevel="0" collapsed="false">
      <c r="B142" s="71" t="s">
        <v>587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588</v>
      </c>
    </row>
    <row r="145" customFormat="false" ht="15.75" hidden="false" customHeight="true" outlineLevel="0" collapsed="false">
      <c r="A145" s="76" t="s">
        <v>589</v>
      </c>
    </row>
    <row r="146" customFormat="false" ht="15" hidden="false" customHeight="true" outlineLevel="0" collapsed="false">
      <c r="B146" s="17" t="s">
        <v>590</v>
      </c>
      <c r="D146" s="77" t="s">
        <v>591</v>
      </c>
      <c r="E146" s="77"/>
      <c r="F146" s="77"/>
      <c r="G146" s="77"/>
      <c r="H146" s="77"/>
      <c r="I146" s="77"/>
      <c r="J146" s="77"/>
      <c r="K146" s="19" t="s">
        <v>592</v>
      </c>
    </row>
    <row r="147" customFormat="false" ht="15" hidden="false" customHeight="true" outlineLevel="0" collapsed="false">
      <c r="B147" s="78" t="s">
        <v>593</v>
      </c>
      <c r="E147" s="79" t="s">
        <v>594</v>
      </c>
      <c r="I147" s="78" t="s">
        <v>595</v>
      </c>
    </row>
    <row r="148" customFormat="false" ht="24" hidden="false" customHeight="true" outlineLevel="0" collapsed="false">
      <c r="A148" s="80" t="s">
        <v>596</v>
      </c>
      <c r="B148" s="81" t="s">
        <v>597</v>
      </c>
      <c r="E148" s="82" t="n">
        <v>5</v>
      </c>
      <c r="I148" s="83"/>
    </row>
    <row r="149" customFormat="false" ht="24" hidden="false" customHeight="true" outlineLevel="0" collapsed="false">
      <c r="A149" s="80" t="s">
        <v>598</v>
      </c>
      <c r="B149" s="81" t="s">
        <v>599</v>
      </c>
      <c r="E149" s="82" t="n">
        <v>20</v>
      </c>
      <c r="I149" s="83"/>
    </row>
    <row r="150" customFormat="false" ht="24" hidden="false" customHeight="true" outlineLevel="0" collapsed="false">
      <c r="A150" s="80" t="s">
        <v>600</v>
      </c>
      <c r="B150" s="81" t="s">
        <v>601</v>
      </c>
      <c r="E150" s="82" t="n">
        <v>30</v>
      </c>
      <c r="I150" s="83"/>
    </row>
    <row r="151" customFormat="false" ht="24" hidden="false" customHeight="true" outlineLevel="0" collapsed="false">
      <c r="A151" s="80" t="s">
        <v>602</v>
      </c>
      <c r="B151" s="81" t="s">
        <v>603</v>
      </c>
      <c r="E151" s="82" t="n">
        <v>25</v>
      </c>
      <c r="I151" s="83"/>
    </row>
    <row r="152" customFormat="false" ht="24" hidden="false" customHeight="true" outlineLevel="0" collapsed="false">
      <c r="A152" s="80" t="s">
        <v>604</v>
      </c>
      <c r="B152" s="81" t="s">
        <v>605</v>
      </c>
      <c r="E152" s="82" t="n">
        <v>10</v>
      </c>
      <c r="I152" s="83"/>
    </row>
    <row r="153" customFormat="false" ht="24" hidden="false" customHeight="true" outlineLevel="0" collapsed="false">
      <c r="A153" s="80" t="s">
        <v>606</v>
      </c>
      <c r="B153" s="81" t="s">
        <v>607</v>
      </c>
      <c r="E153" s="82" t="n">
        <v>10</v>
      </c>
      <c r="I153" s="83"/>
    </row>
    <row r="154" customFormat="false" ht="15" hidden="false" customHeight="true" outlineLevel="0" collapsed="false">
      <c r="B154" s="84" t="s">
        <v>608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609</v>
      </c>
    </row>
    <row r="2" customFormat="false" ht="15" hidden="false" customHeight="false" outlineLevel="0" collapsed="false">
      <c r="B2" s="87" t="s">
        <v>610</v>
      </c>
      <c r="C2" s="88" t="s">
        <v>611</v>
      </c>
    </row>
    <row r="3" customFormat="false" ht="15" hidden="false" customHeight="false" outlineLevel="0" collapsed="false">
      <c r="B3" s="87" t="s">
        <v>612</v>
      </c>
      <c r="C3" s="88" t="s">
        <v>613</v>
      </c>
    </row>
    <row r="4" customFormat="false" ht="15" hidden="false" customHeight="false" outlineLevel="0" collapsed="false">
      <c r="B4" s="89" t="s">
        <v>614</v>
      </c>
      <c r="C4" s="88" t="s">
        <v>615</v>
      </c>
    </row>
    <row r="5" customFormat="false" ht="15" hidden="false" customHeight="false" outlineLevel="0" collapsed="false">
      <c r="H5" s="90" t="s">
        <v>616</v>
      </c>
      <c r="I5" s="90"/>
      <c r="J5" s="90" t="s">
        <v>617</v>
      </c>
      <c r="K5" s="90"/>
      <c r="L5" s="90"/>
      <c r="M5" s="90"/>
      <c r="N5" s="90"/>
      <c r="O5" s="90" t="s">
        <v>618</v>
      </c>
      <c r="P5" s="90"/>
      <c r="Q5" s="90"/>
      <c r="R5" s="90"/>
      <c r="S5" s="90" t="s">
        <v>619</v>
      </c>
      <c r="T5" s="90"/>
      <c r="U5" s="90"/>
      <c r="V5" s="90"/>
      <c r="W5" s="90"/>
      <c r="X5" s="90" t="s">
        <v>620</v>
      </c>
      <c r="Y5" s="90"/>
      <c r="Z5" s="90"/>
      <c r="AA5" s="90"/>
      <c r="AB5" s="90" t="s">
        <v>621</v>
      </c>
      <c r="AC5" s="90"/>
      <c r="AD5" s="90"/>
      <c r="AE5" s="90"/>
      <c r="AF5" s="90" t="s">
        <v>622</v>
      </c>
      <c r="AG5" s="90"/>
      <c r="AH5" s="90"/>
      <c r="AI5" s="90"/>
      <c r="AJ5" s="90"/>
      <c r="AK5" s="90" t="s">
        <v>623</v>
      </c>
      <c r="AL5" s="90"/>
      <c r="AM5" s="90"/>
      <c r="AN5" s="90"/>
      <c r="AO5" s="90" t="s">
        <v>624</v>
      </c>
      <c r="AP5" s="90"/>
      <c r="AQ5" s="90"/>
      <c r="AR5" s="90"/>
      <c r="AS5" s="90" t="s">
        <v>625</v>
      </c>
      <c r="AT5" s="90"/>
      <c r="AU5" s="90"/>
      <c r="AV5" s="90"/>
      <c r="AW5" s="90" t="s">
        <v>626</v>
      </c>
      <c r="AX5" s="90"/>
      <c r="AY5" s="90"/>
      <c r="AZ5" s="90"/>
      <c r="BA5" s="90"/>
      <c r="BB5" s="90" t="s">
        <v>627</v>
      </c>
      <c r="BC5" s="90"/>
      <c r="BD5" s="90"/>
      <c r="BE5" s="90"/>
      <c r="BF5" s="90" t="s">
        <v>628</v>
      </c>
      <c r="BG5" s="90"/>
      <c r="BH5" s="90"/>
      <c r="BI5" s="90"/>
      <c r="BJ5" s="90"/>
      <c r="BK5" s="90" t="s">
        <v>629</v>
      </c>
      <c r="BL5" s="90"/>
      <c r="BM5" s="90"/>
      <c r="BN5" s="90"/>
      <c r="BO5" s="90" t="s">
        <v>630</v>
      </c>
      <c r="BP5" s="90"/>
      <c r="BQ5" s="90"/>
      <c r="BR5" s="90"/>
      <c r="BS5" s="90" t="s">
        <v>631</v>
      </c>
      <c r="BT5" s="90"/>
      <c r="BU5" s="90"/>
      <c r="BV5" s="90"/>
      <c r="BW5" s="90"/>
      <c r="BX5" s="90" t="s">
        <v>632</v>
      </c>
      <c r="BY5" s="90"/>
    </row>
    <row r="6" customFormat="false" ht="43.5" hidden="false" customHeight="true" outlineLevel="0" collapsed="false">
      <c r="A6" s="91" t="s">
        <v>633</v>
      </c>
      <c r="B6" s="91" t="s">
        <v>634</v>
      </c>
      <c r="C6" s="91" t="s">
        <v>635</v>
      </c>
      <c r="D6" s="91" t="s">
        <v>636</v>
      </c>
      <c r="E6" s="91" t="s">
        <v>637</v>
      </c>
      <c r="F6" s="91" t="s">
        <v>638</v>
      </c>
      <c r="G6" s="91" t="s">
        <v>639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640</v>
      </c>
      <c r="C8" s="95" t="s">
        <v>641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642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643</v>
      </c>
      <c r="C10" s="95" t="s">
        <v>641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642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644</v>
      </c>
      <c r="C12" s="95" t="s">
        <v>641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642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645</v>
      </c>
      <c r="C14" s="95" t="s">
        <v>641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642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246</v>
      </c>
      <c r="B16" s="95" t="s">
        <v>646</v>
      </c>
      <c r="C16" s="95" t="s">
        <v>641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647</v>
      </c>
      <c r="C18" s="95" t="s">
        <v>641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648</v>
      </c>
      <c r="B20" s="95" t="s">
        <v>649</v>
      </c>
      <c r="C20" s="95" t="s">
        <v>641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642</v>
      </c>
      <c r="D21" s="96"/>
      <c r="E21" s="99" t="n">
        <v>46304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0.5</v>
      </c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650</v>
      </c>
      <c r="C23" s="95" t="s">
        <v>641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642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651</v>
      </c>
      <c r="C25" s="95" t="s">
        <v>641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642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652</v>
      </c>
      <c r="C27" s="95" t="s">
        <v>641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642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653</v>
      </c>
      <c r="C29" s="95" t="s">
        <v>641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642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654</v>
      </c>
      <c r="C31" s="95" t="s">
        <v>641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642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655</v>
      </c>
      <c r="C33" s="95" t="s">
        <v>641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642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656</v>
      </c>
      <c r="C35" s="95" t="s">
        <v>641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642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657</v>
      </c>
      <c r="C37" s="95" t="s">
        <v>641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642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658</v>
      </c>
      <c r="C39" s="95" t="s">
        <v>641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642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660</v>
      </c>
      <c r="C42" s="95" t="s">
        <v>641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661</v>
      </c>
      <c r="C44" s="95" t="s">
        <v>641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662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0.5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664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665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1</v>
      </c>
      <c r="Q50" s="105" t="n">
        <f aca="false">IF(Q$6&gt;46314,"",P50+Q48)</f>
        <v>1.5</v>
      </c>
      <c r="R50" s="105" t="n">
        <f aca="false">IF(R$6&gt;46314,"",Q50+R48)</f>
        <v>1.5</v>
      </c>
      <c r="S50" s="105" t="n">
        <f aca="false">IF(S$6&gt;46314,"",R50+S48)</f>
        <v>1.5</v>
      </c>
      <c r="T50" s="105" t="n">
        <f aca="false">IF(T$6&gt;46314,"",S50+T48)</f>
        <v>1.5</v>
      </c>
      <c r="U50" s="105" t="n">
        <f aca="false">IF(U$6&gt;46314,"",T50+U48)</f>
        <v>1.5</v>
      </c>
      <c r="V50" s="105" t="n">
        <f aca="false">IF(V$6&gt;46314,"",U50+V48)</f>
        <v>1.5</v>
      </c>
      <c r="W50" s="105" t="n">
        <f aca="false">IF(W$6&gt;46314,"",V50+W48)</f>
        <v>1.5</v>
      </c>
      <c r="X50" s="105" t="n">
        <f aca="false">IF(X$6&gt;46314,"",W50+X48)</f>
        <v>1.5</v>
      </c>
      <c r="Y50" s="105" t="n">
        <f aca="false">IF(Y$6&gt;46314,"",X50+Y48)</f>
        <v>1.5</v>
      </c>
      <c r="Z50" s="105" t="n">
        <f aca="false">IF(Z$6&gt;46314,"",Y50+Z48)</f>
        <v>1.5</v>
      </c>
      <c r="AA50" s="105" t="n">
        <f aca="false">IF(AA$6&gt;46314,"",Z50+AA48)</f>
        <v>1.5</v>
      </c>
      <c r="AB50" s="105" t="n">
        <f aca="false">IF(AB$6&gt;46314,"",AA50+AB48)</f>
        <v>2</v>
      </c>
      <c r="AC50" s="105" t="n">
        <f aca="false">IF(AC$6&gt;46314,"",AB50+AC48)</f>
        <v>2.5</v>
      </c>
      <c r="AD50" s="105" t="n">
        <f aca="false">IF(AD$6&gt;46314,"",AC50+AD48)</f>
        <v>3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2026-10-26T04:42:01Z</dcterms:created>
  <dc:creator>openpyxl</dc:creator>
  <dc:description/>
  <dc:language>en-US</dc:language>
  <cp:lastModifiedBy/>
  <dcterms:modified xsi:type="dcterms:W3CDTF">2026-10-26T11:46:14Z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