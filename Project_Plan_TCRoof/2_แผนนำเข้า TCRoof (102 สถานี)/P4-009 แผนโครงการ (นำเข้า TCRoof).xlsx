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<sst xmlns="http://schemas.openxmlformats.org/spreadsheetml/2006/main" count="1306" uniqueCount="667">
  <si>
    <t xml:space="preserve">แผนโครงการ P4-009 – สถานีผลิตน้ำแม่ข่ายวิเชียรบุรี 159.60 kWp</t>
  </si>
  <si>
    <t xml:space="preserve">กปภ.สาขาวิเชียรบุรี, ภาคเหนือ-กลาง, กฟภ. เขต น.3, Inverter 140 kW (ไม่ต้อง พค.2), Zero export HV, คำขอ PPIM1A5066E5, วิศวกร เก้า, Admin บีม, ผรม. S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</si>
  <si>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</si>
  <si>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</si>
  <si>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</si>
  <si>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</si>
  <si>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</si>
  <si>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</si>
  <si>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</si>
  <si>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</si>
  <si>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</si>
  <si>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</si>
  <si>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</si>
  <si>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</si>
  <si>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</si>
  <si>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</si>
  <si>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</si>
  <si>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</si>
  <si>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</si>
  <si>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</si>
  <si>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</si>
  <si>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</si>
  <si>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</si>
  <si>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</si>
  <si>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</si>
  <si>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</si>
  <si>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</si>
  <si>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</si>
  <si>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</si>
  <si>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P4-009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</si>
  <si>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</si>
  <si>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</si>
  <si>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</si>
  <si>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</si>
  <si>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</si>
  <si>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</si>
  <si>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</si>
  <si>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</si>
  <si>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</si>
  <si>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</si>
  <si>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</si>
  <si>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</si>
  <si>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</si>
  <si>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</si>
  <si>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</si>
  <si>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</si>
  <si>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</si>
  <si>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</si>
  <si>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</si>
  <si>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</si>
  <si>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</si>
  <si>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</si>
  <si>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</si>
  <si>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</si>
  <si>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</si>
  <si>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</si>
  <si>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</si>
  <si>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</si>
  <si>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</si>
  <si>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</si>
  <si>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</si>
  <si>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</si>
  <si>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</si>
  <si>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</si>
  <si>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</si>
  <si>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</si>
  <si>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</si>
  <si>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</si>
  <si>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</si>
  <si>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</si>
  <si>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</si>
  <si>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</si>
  <si>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</si>
  <si>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</si>
  <si>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</si>
  <si>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</si>
  <si>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</si>
  <si>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</si>
  <si>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</si>
  <si>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</si>
  <si>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</si>
  <si>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</si>
  <si>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</si>
  <si>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</si>
  <si>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</si>
  <si>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</si>
  <si>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</si>
  <si>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</si>
  <si>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</si>
  <si>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</si>
  <si>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</si>
  <si>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</si>
  <si>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</si>
  <si>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</si>
  <si>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</si>
  <si>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</si>
  <si>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</si>
  <si>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</si>
  <si>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</si>
  <si>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</si>
  <si>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</si>
  <si>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</si>
  <si>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</si>
  <si>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</si>
  <si>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WBS'!L1717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</si>
  <si>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</si>
  <si>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</si>
  <si>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</si>
  <si>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WBS'!L1718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</si>
  <si>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</si>
  <si>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</si>
  <si>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</si>
  <si>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</si>
  <si>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</si>
  <si>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</si>
  <si>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</si>
  <si>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</si>
  <si>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</si>
  <si>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</si>
  <si>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</si>
  <si>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</si>
  <si>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</si>
  <si>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</si>
  <si>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WBS'!L1719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</si>
  <si>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</si>
  <si>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</si>
  <si>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</si>
  <si>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</si>
  <si>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</si>
  <si>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</si>
  <si>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</si>
  <si>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</si>
  <si>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</si>
  <si>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</si>
  <si>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</si>
  <si>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</si>
  <si>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</si>
  <si>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</si>
  <si>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</si>
  <si>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</si>
  <si>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</si>
  <si>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</si>
  <si>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</si>
  <si>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</si>
  <si>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WBS'!L1724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</si>
  <si>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</si>
  <si>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</si>
  <si>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</si>
  <si>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WBS'!L1725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</si>
  <si>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</si>
  <si>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</si>
  <si>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</si>
  <si>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WBS'!L1726</t>
    </r>
  </si>
  <si>
    <t xml:space="preserve">0.3</t>
  </si>
  <si>
    <t xml:space="preserve">หนังสือแจ้งขอดับไฟ</t>
  </si>
  <si>
    <t xml:space="preserve">TC-PML-2026-425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</si>
  <si>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</si>
  <si>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</si>
  <si>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</si>
  <si>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</si>
  <si>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</si>
  <si>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</si>
  <si>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</si>
  <si>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</si>
  <si>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</si>
  <si>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</si>
  <si>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</si>
  <si>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</si>
  <si>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</si>
  <si>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</si>
  <si>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</si>
  <si>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</si>
  <si>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</si>
  <si>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</si>
  <si>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</si>
  <si>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</si>
  <si>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</si>
  <si>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</si>
  <si>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</si>
  <si>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</si>
  <si>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</si>
  <si>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</si>
  <si>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</si>
  <si>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</si>
  <si>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</si>
  <si>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</si>
  <si>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</si>
  <si>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</si>
  <si>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</si>
  <si>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</si>
  <si>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</si>
  <si>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</si>
  <si>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</si>
  <si>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</si>
  <si>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</si>
  <si>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</si>
  <si>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</si>
  <si>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</si>
  <si>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</si>
  <si>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</si>
  <si>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</si>
  <si>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</si>
  <si>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</si>
  <si>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</si>
  <si>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</si>
  <si>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</si>
  <si>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</si>
  <si>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</si>
  <si>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</si>
  <si>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</si>
  <si>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</si>
  <si>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</si>
  <si>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</si>
  <si>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</si>
  <si>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</si>
  <si>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</si>
  <si>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</si>
  <si>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</si>
  <si>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</si>
  <si>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</si>
  <si>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</si>
  <si>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</si>
  <si>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</si>
  <si>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</si>
  <si>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</si>
  <si>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</si>
  <si>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</si>
  <si>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</si>
  <si>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</si>
  <si>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</si>
  <si>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</si>
  <si>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</si>
  <si>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</si>
  <si>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</si>
  <si>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</si>
  <si>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</si>
  <si>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</si>
  <si>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</si>
  <si>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</si>
  <si>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</si>
  <si>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</si>
  <si>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</si>
  <si>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</si>
  <si>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</si>
  <si>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</si>
  <si>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</si>
  <si>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</si>
  <si>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</si>
  <si>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</si>
  <si>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</si>
  <si>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</si>
  <si>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</si>
  <si>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</si>
  <si>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</si>
  <si>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</si>
  <si>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</si>
  <si>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</si>
  <si>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</si>
  <si>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</si>
  <si>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</si>
  <si>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</si>
  <si>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</si>
  <si>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</si>
  <si>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</si>
  <si>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</si>
  <si>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</si>
  <si>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</si>
  <si>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</si>
  <si>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</si>
  <si>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</si>
  <si>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</si>
  <si>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</si>
  <si>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</si>
  <si>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WBS'!L1744</t>
    </r>
  </si>
  <si>
    <t xml:space="preserve">1.7.1</t>
  </si>
  <si>
    <t xml:space="preserve">คำขอขนานไฟ PPIM (ชุด 11 ไฟล์)</t>
  </si>
  <si>
    <t xml:space="preserve">PPIM1A5066E5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</si>
  <si>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</si>
  <si>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</si>
  <si>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</si>
  <si>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</si>
  <si>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</si>
  <si>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</si>
  <si>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</si>
  <si>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</si>
  <si>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</si>
  <si>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</si>
  <si>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</si>
  <si>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</si>
  <si>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</si>
  <si>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</si>
  <si>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</si>
  <si>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</si>
  <si>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</si>
  <si>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</si>
  <si>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</si>
  <si>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</si>
  <si>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</si>
  <si>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</si>
  <si>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</si>
  <si>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</si>
  <si>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</si>
  <si>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</si>
  <si>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</si>
  <si>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</si>
  <si>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</si>
  <si>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</si>
  <si>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</si>
  <si>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</si>
  <si>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</si>
  <si>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</si>
  <si>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</si>
  <si>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</si>
  <si>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</si>
  <si>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</si>
  <si>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</si>
  <si>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</si>
  <si>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</si>
  <si>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</si>
  <si>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</si>
  <si>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</si>
  <si>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</si>
  <si>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</si>
  <si>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</si>
  <si>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</si>
  <si>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</si>
  <si>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</si>
  <si>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</si>
  <si>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</si>
  <si>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</si>
  <si>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</si>
  <si>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</si>
  <si>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</si>
  <si>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</si>
  <si>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</si>
  <si>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</si>
  <si>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</si>
  <si>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</si>
  <si>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</si>
  <si>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</si>
  <si>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</si>
  <si>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</si>
  <si>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</si>
  <si>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</si>
  <si>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</si>
  <si>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</si>
  <si>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</si>
  <si>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</si>
  <si>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</si>
  <si>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</si>
  <si>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</si>
  <si>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</si>
  <si>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</si>
  <si>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</si>
  <si>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</si>
  <si>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</si>
  <si>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</si>
  <si>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</si>
  <si>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</si>
  <si>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</si>
  <si>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</si>
  <si>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</si>
  <si>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</si>
  <si>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</si>
  <si>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</si>
  <si>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</si>
  <si>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</si>
  <si>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</si>
  <si>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</si>
  <si>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</si>
  <si>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</si>
  <si>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</si>
  <si>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</si>
  <si>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</si>
  <si>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</si>
  <si>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</si>
  <si>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</si>
  <si>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</si>
  <si>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</si>
  <si>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</si>
  <si>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</si>
  <si>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</si>
  <si>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</si>
  <si>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</si>
  <si>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</si>
  <si>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</si>
  <si>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</si>
  <si>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</si>
  <si>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</si>
  <si>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WBS'!L1763</t>
    </r>
  </si>
  <si>
    <t xml:space="preserve">2.5</t>
  </si>
  <si>
    <t xml:space="preserve">ติดตั้ง Inverter</t>
  </si>
  <si>
    <t xml:space="preserve">Inverter 140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</si>
  <si>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</si>
  <si>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</si>
  <si>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</si>
  <si>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</si>
  <si>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</si>
  <si>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</si>
  <si>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</si>
  <si>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</si>
  <si>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</si>
  <si>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</si>
  <si>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</si>
  <si>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</si>
  <si>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</si>
  <si>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</si>
  <si>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</si>
  <si>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</si>
  <si>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WBS'!L1767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</si>
  <si>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</si>
  <si>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</si>
  <si>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</si>
  <si>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</si>
  <si>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</si>
  <si>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</si>
  <si>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</si>
  <si>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</si>
  <si>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</si>
  <si>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</si>
  <si>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</si>
  <si>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</si>
  <si>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</si>
  <si>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</si>
  <si>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</si>
  <si>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</si>
  <si>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</si>
  <si>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</si>
  <si>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</si>
  <si>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</si>
  <si>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</si>
  <si>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</si>
  <si>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</si>
  <si>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</si>
  <si>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</si>
  <si>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</si>
  <si>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</si>
  <si>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</si>
  <si>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</si>
  <si>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</si>
  <si>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</si>
  <si>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</si>
  <si>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</si>
  <si>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</si>
  <si>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</si>
  <si>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</si>
  <si>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</si>
  <si>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</si>
  <si>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</si>
  <si>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WBS'!L1775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</si>
  <si>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</si>
  <si>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</si>
  <si>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</si>
  <si>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</si>
  <si>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</si>
  <si>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</si>
  <si>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</si>
  <si>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</si>
  <si>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</si>
  <si>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</si>
  <si>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WBS'!L1776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</si>
  <si>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</si>
  <si>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</si>
  <si>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</si>
  <si>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</si>
  <si>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</si>
  <si>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</si>
  <si>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</si>
  <si>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</si>
  <si>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</si>
  <si>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</si>
  <si>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</si>
  <si>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</si>
  <si>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</si>
  <si>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</si>
  <si>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</si>
  <si>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</si>
  <si>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</si>
  <si>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</si>
  <si>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</si>
  <si>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</si>
  <si>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</si>
  <si>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</si>
  <si>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</si>
  <si>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</si>
  <si>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</si>
  <si>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</si>
  <si>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</si>
  <si>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</si>
  <si>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</si>
  <si>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</si>
  <si>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</si>
  <si>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</si>
  <si>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</si>
  <si>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</si>
  <si>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</si>
  <si>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</si>
  <si>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</si>
  <si>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</si>
  <si>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</si>
  <si>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</si>
  <si>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</si>
  <si>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</si>
  <si>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</si>
  <si>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</si>
  <si>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</si>
  <si>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</si>
  <si>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</si>
  <si>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</si>
  <si>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</si>
  <si>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</si>
  <si>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</si>
  <si>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</si>
  <si>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</si>
  <si>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</si>
  <si>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</si>
  <si>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</si>
  <si>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</si>
  <si>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</si>
  <si>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</si>
  <si>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</si>
  <si>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</si>
  <si>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</si>
  <si>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</si>
  <si>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</si>
  <si>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</si>
  <si>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</si>
  <si>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</si>
  <si>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</si>
  <si>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</si>
  <si>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</si>
  <si>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</si>
  <si>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</si>
  <si>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</si>
  <si>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</si>
  <si>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</si>
  <si>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</si>
  <si>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</si>
  <si>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</si>
  <si>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</si>
  <si>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</si>
  <si>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</si>
  <si>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</si>
  <si>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</si>
  <si>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</si>
  <si>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</si>
  <si>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</si>
  <si>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</si>
  <si>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</si>
  <si>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</si>
  <si>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</si>
  <si>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</si>
  <si>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</si>
  <si>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</si>
  <si>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</si>
  <si>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</si>
  <si>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</si>
  <si>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</si>
  <si>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</si>
  <si>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</si>
  <si>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</si>
  <si>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</si>
  <si>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</si>
  <si>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</si>
  <si>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</si>
  <si>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</si>
  <si>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</si>
  <si>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</si>
  <si>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</si>
  <si>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</si>
  <si>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</si>
  <si>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</si>
  <si>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</si>
  <si>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</si>
  <si>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</si>
  <si>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</si>
  <si>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</si>
  <si>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</si>
  <si>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</si>
  <si>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</si>
  <si>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</si>
  <si>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</si>
  <si>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</si>
  <si>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</si>
  <si>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</si>
  <si>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</si>
  <si>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</si>
  <si>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</si>
  <si>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</si>
  <si>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</si>
  <si>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</si>
  <si>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</si>
  <si>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</si>
  <si>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</si>
  <si>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</si>
  <si>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</si>
  <si>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</si>
  <si>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</si>
  <si>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</si>
  <si>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</si>
  <si>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</si>
  <si>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</si>
  <si>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</si>
  <si>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</si>
  <si>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</si>
  <si>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</si>
  <si>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</si>
  <si>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</si>
  <si>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</si>
  <si>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</si>
  <si>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</si>
  <si>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</si>
  <si>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สถานีผลิตน้ำแม่ข่ายวิเชียรบุรี การประปาส่วนภูมิภาคสาขาวิเชียรบุรี ขนาดกำลังผลิต </t>
    </r>
    <r>
      <rPr>
        <sz val="10"/>
        <rFont val="Tahoma"/>
        <family val="0"/>
        <charset val="1"/>
      </rPr>
      <t xml:space="preserve">159.60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</si>
  <si>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</si>
  <si>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</si>
  <si>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</si>
  <si>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P4-009,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</si>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</sst>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10.1667</c:v>
                </c:pt>
                <c:pt idx="9">
                  <c:v>16.8334</c:v>
                </c:pt>
                <c:pt idx="10">
                  <c:v>23.5001</c:v>
                </c:pt>
                <c:pt idx="11">
                  <c:v>93.5001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93.6668</c:v>
                </c:pt>
                <c:pt idx="15">
                  <c:v>93.8335</c:v>
                </c:pt>
                <c:pt idx="16">
                  <c:v>94.0002</c:v>
                </c:pt>
                <c:pt idx="17">
                  <c:v>94.1669</c:v>
                </c:pt>
                <c:pt idx="18">
                  <c:v>94.3336</c:v>
                </c:pt>
                <c:pt idx="19">
                  <c:v>94.5003</c:v>
                </c:pt>
                <c:pt idx="20">
                  <c:v>94.667</c:v>
                </c:pt>
                <c:pt idx="21">
                  <c:v>94.8337000000001</c:v>
                </c:pt>
                <c:pt idx="22">
                  <c:v>95.0004000000001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780059"/>
        <c:axId val="9683085"/>
      </c:lineChart>
      <c:catAx>
        <c:axId val="42780059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3085"/>
        <c:crosses val="autoZero"/>
        <c:auto val="1"/>
        <c:lblAlgn val="ctr"/>
        <c:lblOffset val="100"/>
        <c:noMultiLvlLbl val="0"/>
      </c:catAx>
      <c:valAx>
        <c:axId val="9683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800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46385</v>
      </c>
      <c r="G4" s="10"/>
      <c r="H4" s="10"/>
      <c r="J4" s="11" t="n">
        <v>0.95</v>
      </c>
      <c r="K4" s="11"/>
      <c r="L4" s="12" t="n">
        <v>73</v>
      </c>
      <c r="M4" s="12"/>
      <c r="N4" s="12" t="n">
        <v>93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46184</v>
      </c>
      <c r="O8" s="33" t="n">
        <v>46405</v>
      </c>
      <c r="P8" s="34" t="s">
        <v>75</v>
      </c>
      <c r="Q8" s="31" t="n">
        <v>96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46405</v>
      </c>
      <c r="P9" s="46" t="s">
        <v>75</v>
      </c>
      <c r="Q9" s="37" t="n">
        <v>96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46206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46206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46206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46217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46206</v>
      </c>
      <c r="O14" s="55" t="n">
        <v>46405</v>
      </c>
      <c r="P14" s="50" t="s">
        <v>75</v>
      </c>
      <c r="Q14" s="52" t="n">
        <v>96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46206</v>
      </c>
      <c r="O15" s="55" t="n">
        <v>46405</v>
      </c>
      <c r="P15" s="50" t="s">
        <v>75</v>
      </c>
      <c r="Q15" s="52" t="n">
        <v>96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46209</v>
      </c>
      <c r="J23" s="53" t="n">
        <v>46214</v>
      </c>
      <c r="K23" s="52"/>
      <c r="L23" s="52"/>
      <c r="M23" s="54" t="s">
        <v>148</v>
      </c>
      <c r="N23" s="55" t="n">
        <v>46210</v>
      </c>
      <c r="O23" s="55" t="n">
        <v>46214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152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46223</v>
      </c>
      <c r="M25" s="43"/>
      <c r="N25" s="44" t="n">
        <v>46223</v>
      </c>
      <c r="O25" s="45" t="n">
        <v>46223</v>
      </c>
      <c r="P25" s="46" t="s">
        <v>60</v>
      </c>
      <c r="Q25" s="37" t="n">
        <v>15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163</v>
      </c>
      <c r="N26" s="55" t="n">
        <v>46223</v>
      </c>
      <c r="O26" s="55" t="n">
        <v>46223</v>
      </c>
      <c r="P26" s="50" t="s">
        <v>124</v>
      </c>
      <c r="Q26" s="52" t="n">
        <v>15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167</v>
      </c>
      <c r="N27" s="55" t="n">
        <v>46223</v>
      </c>
      <c r="O27" s="55" t="n">
        <v>46223</v>
      </c>
      <c r="P27" s="50" t="s">
        <v>124</v>
      </c>
      <c r="Q27" s="52" t="n">
        <v>15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171</v>
      </c>
      <c r="N28" s="55" t="n">
        <v>46223</v>
      </c>
      <c r="O28" s="55" t="n">
        <v>46223</v>
      </c>
      <c r="P28" s="50" t="s">
        <v>124</v>
      </c>
      <c r="Q28" s="52" t="n">
        <v>15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46385</v>
      </c>
      <c r="P29" s="34" t="s">
        <v>75</v>
      </c>
      <c r="Q29" s="31" t="n">
        <v>93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181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185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189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46190</v>
      </c>
      <c r="O34" s="45" t="n">
        <v>46199</v>
      </c>
      <c r="P34" s="46" t="s">
        <v>115</v>
      </c>
      <c r="Q34" s="37" t="n">
        <v>-1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197</v>
      </c>
      <c r="N35" s="55" t="n">
        <v>46190</v>
      </c>
      <c r="O35" s="55" t="n">
        <v>46195</v>
      </c>
      <c r="P35" s="50" t="s">
        <v>124</v>
      </c>
      <c r="Q35" s="52" t="n">
        <v>0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201</v>
      </c>
      <c r="N36" s="55" t="n">
        <v>46190</v>
      </c>
      <c r="O36" s="55" t="n">
        <v>46195</v>
      </c>
      <c r="P36" s="50" t="s">
        <v>124</v>
      </c>
      <c r="Q36" s="52" t="n">
        <v>-1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205</v>
      </c>
      <c r="N37" s="55" t="n">
        <v>46193</v>
      </c>
      <c r="O37" s="55" t="n">
        <v>46196</v>
      </c>
      <c r="P37" s="50" t="s">
        <v>124</v>
      </c>
      <c r="Q37" s="52" t="n">
        <v>-1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209</v>
      </c>
      <c r="N38" s="55" t="n">
        <v>46195</v>
      </c>
      <c r="O38" s="55" t="n">
        <v>46199</v>
      </c>
      <c r="P38" s="50" t="s">
        <v>124</v>
      </c>
      <c r="Q38" s="52" t="n">
        <v>-1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46209</v>
      </c>
      <c r="O39" s="45" t="n">
        <v>46209</v>
      </c>
      <c r="P39" s="46" t="s">
        <v>115</v>
      </c>
      <c r="Q39" s="37" t="n">
        <v>-5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217</v>
      </c>
      <c r="N40" s="55" t="n">
        <v>46209</v>
      </c>
      <c r="O40" s="55" t="n">
        <v>46209</v>
      </c>
      <c r="P40" s="50" t="s">
        <v>124</v>
      </c>
      <c r="Q40" s="52" t="n">
        <v>-5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221</v>
      </c>
      <c r="N41" s="55" t="n">
        <v>46209</v>
      </c>
      <c r="O41" s="55" t="n">
        <v>46209</v>
      </c>
      <c r="P41" s="50" t="s">
        <v>124</v>
      </c>
      <c r="Q41" s="52" t="n">
        <v>-5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225</v>
      </c>
      <c r="N42" s="55" t="n">
        <v>46209</v>
      </c>
      <c r="O42" s="55" t="n">
        <v>46209</v>
      </c>
      <c r="P42" s="50" t="s">
        <v>124</v>
      </c>
      <c r="Q42" s="52" t="n">
        <v>-5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234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238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242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46261</v>
      </c>
      <c r="M55" s="43"/>
      <c r="N55" s="44" t="n">
        <v>46261</v>
      </c>
      <c r="O55" s="45" t="n">
        <v>46261</v>
      </c>
      <c r="P55" s="46" t="s">
        <v>60</v>
      </c>
      <c r="Q55" s="37" t="n">
        <v>14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46307</v>
      </c>
      <c r="M56" s="43"/>
      <c r="N56" s="44" t="n">
        <v>46307</v>
      </c>
      <c r="O56" s="45" t="n">
        <v>46307</v>
      </c>
      <c r="P56" s="46" t="s">
        <v>60</v>
      </c>
      <c r="Q56" s="37"/>
      <c r="R56" s="39"/>
      <c r="S56" s="39" t="n">
        <v>1</v>
      </c>
      <c r="T56" s="39" t="s">
        <v>157</v>
      </c>
      <c r="U56" s="39"/>
      <c r="V56" s="47" t="n">
        <v>1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</v>
      </c>
      <c r="C57" s="39" t="s">
        <v>281</v>
      </c>
      <c r="D57" s="39" t="s">
        <v>282</v>
      </c>
      <c r="E57" s="40" t="n">
        <v>0</v>
      </c>
      <c r="F57" s="38" t="s">
        <v>245</v>
      </c>
      <c r="G57" s="37"/>
      <c r="H57" s="37" t="n">
        <v>21</v>
      </c>
      <c r="I57" s="41" t="n">
        <v>46248</v>
      </c>
      <c r="J57" s="41" t="n">
        <v>46268</v>
      </c>
      <c r="K57" s="42" t="n">
        <v>46307</v>
      </c>
      <c r="L57" s="42"/>
      <c r="M57" s="43"/>
      <c r="N57" s="44" t="n">
        <v>46307</v>
      </c>
      <c r="O57" s="45" t="n">
        <v>46329</v>
      </c>
      <c r="P57" s="46" t="s">
        <v>75</v>
      </c>
      <c r="Q57" s="37" t="n">
        <v>61</v>
      </c>
      <c r="R57" s="39"/>
      <c r="S57" s="39" t="n">
        <v>1</v>
      </c>
      <c r="T57" s="39" t="s">
        <v>76</v>
      </c>
      <c r="U57" s="58" t="n">
        <v>46307.0057</v>
      </c>
      <c r="V57" s="47" t="n">
        <v>0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/>
      <c r="N58" s="44" t="n">
        <v>46330</v>
      </c>
      <c r="O58" s="45" t="n">
        <v>46336</v>
      </c>
      <c r="P58" s="46" t="s">
        <v>285</v>
      </c>
      <c r="Q58" s="37" t="n">
        <v>61</v>
      </c>
      <c r="R58" s="39"/>
      <c r="S58" s="39" t="n">
        <v>1</v>
      </c>
      <c r="T58" s="39" t="s">
        <v>286</v>
      </c>
      <c r="U58" s="58" t="n">
        <v>46330.0058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/>
      <c r="N59" s="44" t="n">
        <v>46339</v>
      </c>
      <c r="O59" s="45" t="n">
        <v>46339</v>
      </c>
      <c r="P59" s="46" t="s">
        <v>285</v>
      </c>
      <c r="Q59" s="37" t="n">
        <v>63</v>
      </c>
      <c r="R59" s="39"/>
      <c r="S59" s="39" t="n">
        <v>1</v>
      </c>
      <c r="T59" s="39" t="s">
        <v>286</v>
      </c>
      <c r="U59" s="58" t="n">
        <v>46339.0059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46344</v>
      </c>
      <c r="O60" s="60" t="n">
        <v>46385</v>
      </c>
      <c r="P60" s="46" t="s">
        <v>285</v>
      </c>
      <c r="Q60" s="37" t="n">
        <v>93</v>
      </c>
      <c r="R60" s="39"/>
      <c r="S60" s="39" t="n">
        <v>1</v>
      </c>
      <c r="T60" s="39" t="s">
        <v>286</v>
      </c>
      <c r="U60" s="58" t="n">
        <v>46344.006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46219</v>
      </c>
      <c r="O61" s="33" t="n">
        <v>46244</v>
      </c>
      <c r="P61" s="34" t="s">
        <v>60</v>
      </c>
      <c r="Q61" s="31" t="n">
        <v>-2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16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46219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305</v>
      </c>
      <c r="N63" s="55" t="n">
        <v>46219</v>
      </c>
      <c r="O63" s="55" t="n">
        <v>46221</v>
      </c>
      <c r="P63" s="50" t="s">
        <v>124</v>
      </c>
      <c r="Q63" s="52" t="n">
        <v>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309</v>
      </c>
      <c r="N64" s="55" t="n">
        <v>46219</v>
      </c>
      <c r="O64" s="55" t="n">
        <v>46222</v>
      </c>
      <c r="P64" s="50" t="s">
        <v>124</v>
      </c>
      <c r="Q64" s="52" t="n">
        <v>2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313</v>
      </c>
      <c r="N65" s="55" t="n">
        <v>46221</v>
      </c>
      <c r="O65" s="55" t="n">
        <v>46227</v>
      </c>
      <c r="P65" s="50" t="s">
        <v>124</v>
      </c>
      <c r="Q65" s="52" t="n">
        <v>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317</v>
      </c>
      <c r="N66" s="55" t="n">
        <v>46225</v>
      </c>
      <c r="O66" s="55" t="n">
        <v>46232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321</v>
      </c>
      <c r="N67" s="55" t="n">
        <v>46228</v>
      </c>
      <c r="O67" s="55" t="n">
        <v>46233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325</v>
      </c>
      <c r="N68" s="55" t="n">
        <v>46231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329</v>
      </c>
      <c r="N69" s="55" t="n">
        <v>46233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46238</v>
      </c>
      <c r="O70" s="45" t="n">
        <v>46241</v>
      </c>
      <c r="P70" s="46" t="s">
        <v>115</v>
      </c>
      <c r="Q70" s="37" t="n">
        <v>-3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337</v>
      </c>
      <c r="N71" s="55" t="n">
        <v>46238</v>
      </c>
      <c r="O71" s="55" t="n">
        <v>46239</v>
      </c>
      <c r="P71" s="50" t="s">
        <v>124</v>
      </c>
      <c r="Q71" s="52" t="n">
        <v>0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341</v>
      </c>
      <c r="N72" s="55" t="n">
        <v>46239</v>
      </c>
      <c r="O72" s="55" t="n">
        <v>46240</v>
      </c>
      <c r="P72" s="50" t="s">
        <v>124</v>
      </c>
      <c r="Q72" s="52" t="n">
        <v>-2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345</v>
      </c>
      <c r="N73" s="55" t="n">
        <v>46239</v>
      </c>
      <c r="O73" s="55" t="n">
        <v>46240</v>
      </c>
      <c r="P73" s="50" t="s">
        <v>124</v>
      </c>
      <c r="Q73" s="52" t="n">
        <v>-2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349</v>
      </c>
      <c r="N74" s="55" t="n">
        <v>46240</v>
      </c>
      <c r="O74" s="55" t="n">
        <v>46241</v>
      </c>
      <c r="P74" s="50" t="s">
        <v>124</v>
      </c>
      <c r="Q74" s="52" t="n">
        <v>-3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353</v>
      </c>
      <c r="N75" s="55" t="n">
        <v>46240</v>
      </c>
      <c r="O75" s="55" t="n">
        <v>46241</v>
      </c>
      <c r="P75" s="50" t="s">
        <v>124</v>
      </c>
      <c r="Q75" s="52" t="n">
        <v>-3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6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46237</v>
      </c>
      <c r="O76" s="45" t="n">
        <v>46242</v>
      </c>
      <c r="P76" s="46" t="s">
        <v>115</v>
      </c>
      <c r="Q76" s="37" t="n">
        <v>-2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361</v>
      </c>
      <c r="N77" s="55" t="n">
        <v>46237</v>
      </c>
      <c r="O77" s="55" t="n">
        <v>46239</v>
      </c>
      <c r="P77" s="50" t="s">
        <v>124</v>
      </c>
      <c r="Q77" s="52" t="n">
        <v>1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365</v>
      </c>
      <c r="N78" s="55" t="n">
        <v>46238</v>
      </c>
      <c r="O78" s="55" t="n">
        <v>46241</v>
      </c>
      <c r="P78" s="50" t="s">
        <v>124</v>
      </c>
      <c r="Q78" s="52" t="n">
        <v>-2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369</v>
      </c>
      <c r="N79" s="55" t="n">
        <v>46239</v>
      </c>
      <c r="O79" s="55" t="n">
        <v>46242</v>
      </c>
      <c r="P79" s="50" t="s">
        <v>124</v>
      </c>
      <c r="Q79" s="52" t="n">
        <v>-2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373</v>
      </c>
      <c r="N80" s="55" t="n">
        <v>46241</v>
      </c>
      <c r="O80" s="55" t="n">
        <v>46242</v>
      </c>
      <c r="P80" s="50" t="s">
        <v>124</v>
      </c>
      <c r="Q80" s="52" t="n">
        <v>-2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377</v>
      </c>
      <c r="N81" s="55" t="n">
        <v>46242</v>
      </c>
      <c r="O81" s="55" t="n">
        <v>46242</v>
      </c>
      <c r="P81" s="50" t="s">
        <v>124</v>
      </c>
      <c r="Q81" s="52" t="n">
        <v>-2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385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389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46238</v>
      </c>
      <c r="O85" s="45" t="n">
        <v>46241</v>
      </c>
      <c r="P85" s="46" t="s">
        <v>115</v>
      </c>
      <c r="Q85" s="37" t="n">
        <v>-1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397</v>
      </c>
      <c r="N86" s="55" t="n">
        <v>46238</v>
      </c>
      <c r="O86" s="55" t="n">
        <v>46240</v>
      </c>
      <c r="P86" s="50" t="s">
        <v>124</v>
      </c>
      <c r="Q86" s="52" t="n">
        <v>2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401</v>
      </c>
      <c r="N87" s="55" t="n">
        <v>46239</v>
      </c>
      <c r="O87" s="55" t="n">
        <v>46241</v>
      </c>
      <c r="P87" s="50" t="s">
        <v>124</v>
      </c>
      <c r="Q87" s="52" t="n">
        <v>0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405</v>
      </c>
      <c r="N88" s="55" t="n">
        <v>46240</v>
      </c>
      <c r="O88" s="55" t="n">
        <v>46241</v>
      </c>
      <c r="P88" s="50" t="s">
        <v>124</v>
      </c>
      <c r="Q88" s="52" t="n">
        <v>-1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409</v>
      </c>
      <c r="N89" s="55" t="n">
        <v>46241</v>
      </c>
      <c r="O89" s="55" t="n">
        <v>46241</v>
      </c>
      <c r="P89" s="50" t="s">
        <v>124</v>
      </c>
      <c r="Q89" s="52" t="n">
        <v>-1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46239</v>
      </c>
      <c r="O90" s="45" t="n">
        <v>46242</v>
      </c>
      <c r="P90" s="46" t="s">
        <v>115</v>
      </c>
      <c r="Q90" s="37" t="n">
        <v>-1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418</v>
      </c>
      <c r="N91" s="55" t="n">
        <v>46239</v>
      </c>
      <c r="O91" s="55" t="n">
        <v>46241</v>
      </c>
      <c r="P91" s="50" t="s">
        <v>124</v>
      </c>
      <c r="Q91" s="52" t="n">
        <v>2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422</v>
      </c>
      <c r="N92" s="55" t="n">
        <v>46241</v>
      </c>
      <c r="O92" s="55" t="n">
        <v>46242</v>
      </c>
      <c r="P92" s="50" t="s">
        <v>124</v>
      </c>
      <c r="Q92" s="52" t="n">
        <v>-1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426</v>
      </c>
      <c r="N93" s="55" t="n">
        <v>46239</v>
      </c>
      <c r="O93" s="55" t="n">
        <v>46241</v>
      </c>
      <c r="P93" s="50" t="s">
        <v>124</v>
      </c>
      <c r="Q93" s="52" t="n">
        <v>3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430</v>
      </c>
      <c r="N94" s="55" t="n">
        <v>46241</v>
      </c>
      <c r="O94" s="55" t="n">
        <v>46242</v>
      </c>
      <c r="P94" s="50" t="s">
        <v>124</v>
      </c>
      <c r="Q94" s="52" t="n">
        <v>-1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434</v>
      </c>
      <c r="N95" s="55" t="n">
        <v>46242</v>
      </c>
      <c r="O95" s="55" t="n">
        <v>46242</v>
      </c>
      <c r="P95" s="50" t="s">
        <v>124</v>
      </c>
      <c r="Q95" s="52" t="n">
        <v>-1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46240</v>
      </c>
      <c r="O96" s="45" t="n">
        <v>46242</v>
      </c>
      <c r="P96" s="46" t="s">
        <v>115</v>
      </c>
      <c r="Q96" s="37" t="n">
        <v>-1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441</v>
      </c>
      <c r="N97" s="55" t="n">
        <v>46240</v>
      </c>
      <c r="O97" s="55" t="n">
        <v>46242</v>
      </c>
      <c r="P97" s="50" t="s">
        <v>124</v>
      </c>
      <c r="Q97" s="52" t="n">
        <v>0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445</v>
      </c>
      <c r="N98" s="55" t="n">
        <v>46241</v>
      </c>
      <c r="O98" s="55" t="n">
        <v>46242</v>
      </c>
      <c r="P98" s="50" t="s">
        <v>124</v>
      </c>
      <c r="Q98" s="52" t="n">
        <v>-1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449</v>
      </c>
      <c r="N99" s="55" t="n">
        <v>46242</v>
      </c>
      <c r="O99" s="55" t="n">
        <v>46242</v>
      </c>
      <c r="P99" s="50" t="s">
        <v>124</v>
      </c>
      <c r="Q99" s="52" t="n">
        <v>-1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46241</v>
      </c>
      <c r="O100" s="45" t="n">
        <v>46243</v>
      </c>
      <c r="P100" s="46" t="s">
        <v>115</v>
      </c>
      <c r="Q100" s="37" t="n">
        <v>-1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46239</v>
      </c>
      <c r="J101" s="53" t="n">
        <v>46240</v>
      </c>
      <c r="K101" s="52"/>
      <c r="L101" s="52"/>
      <c r="M101" s="61"/>
      <c r="N101" s="55" t="n">
        <v>46241</v>
      </c>
      <c r="O101" s="55" t="n">
        <v>46241</v>
      </c>
      <c r="P101" s="50" t="s">
        <v>124</v>
      </c>
      <c r="Q101" s="52" t="n">
        <v>1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46240</v>
      </c>
      <c r="J102" s="53" t="n">
        <v>46243</v>
      </c>
      <c r="K102" s="52"/>
      <c r="L102" s="52"/>
      <c r="M102" s="54" t="s">
        <v>460</v>
      </c>
      <c r="N102" s="55" t="n">
        <v>46241</v>
      </c>
      <c r="O102" s="55" t="n">
        <v>46242</v>
      </c>
      <c r="P102" s="50" t="s">
        <v>124</v>
      </c>
      <c r="Q102" s="52" t="n">
        <v>-1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467</v>
      </c>
      <c r="N104" s="55" t="n">
        <v>46242</v>
      </c>
      <c r="O104" s="55" t="n">
        <v>46243</v>
      </c>
      <c r="P104" s="50" t="s">
        <v>124</v>
      </c>
      <c r="Q104" s="52" t="n">
        <v>0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471</v>
      </c>
      <c r="N105" s="55" t="n">
        <v>46242</v>
      </c>
      <c r="O105" s="55" t="n">
        <v>46243</v>
      </c>
      <c r="P105" s="50" t="s">
        <v>124</v>
      </c>
      <c r="Q105" s="52" t="n">
        <v>-1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475</v>
      </c>
      <c r="N106" s="55" t="n">
        <v>46243</v>
      </c>
      <c r="O106" s="55" t="n">
        <v>46243</v>
      </c>
      <c r="P106" s="50" t="s">
        <v>124</v>
      </c>
      <c r="Q106" s="52" t="n">
        <v>-1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46242</v>
      </c>
      <c r="O107" s="45" t="n">
        <v>46243</v>
      </c>
      <c r="P107" s="46" t="s">
        <v>115</v>
      </c>
      <c r="Q107" s="37" t="n">
        <v>-2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482</v>
      </c>
      <c r="N108" s="55" t="n">
        <v>46242</v>
      </c>
      <c r="O108" s="55" t="n">
        <v>46243</v>
      </c>
      <c r="P108" s="50" t="s">
        <v>124</v>
      </c>
      <c r="Q108" s="52" t="n">
        <v>-1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486</v>
      </c>
      <c r="N109" s="55" t="n">
        <v>46243</v>
      </c>
      <c r="O109" s="55" t="n">
        <v>46243</v>
      </c>
      <c r="P109" s="50" t="s">
        <v>124</v>
      </c>
      <c r="Q109" s="52" t="n">
        <v>-2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490</v>
      </c>
      <c r="N110" s="55" t="n">
        <v>46242</v>
      </c>
      <c r="O110" s="55" t="n">
        <v>46243</v>
      </c>
      <c r="P110" s="50" t="s">
        <v>124</v>
      </c>
      <c r="Q110" s="52" t="n">
        <v>-1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46244</v>
      </c>
      <c r="M111" s="43"/>
      <c r="N111" s="44" t="n">
        <v>46244</v>
      </c>
      <c r="O111" s="45" t="n">
        <v>46244</v>
      </c>
      <c r="P111" s="46" t="s">
        <v>60</v>
      </c>
      <c r="Q111" s="37" t="n">
        <v>-2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498</v>
      </c>
      <c r="N112" s="55" t="n">
        <v>46244</v>
      </c>
      <c r="O112" s="55" t="n">
        <v>46244</v>
      </c>
      <c r="P112" s="50" t="s">
        <v>124</v>
      </c>
      <c r="Q112" s="52" t="n">
        <v>-2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502</v>
      </c>
      <c r="N113" s="55" t="n">
        <v>46244</v>
      </c>
      <c r="O113" s="55" t="n">
        <v>46244</v>
      </c>
      <c r="P113" s="50" t="s">
        <v>124</v>
      </c>
      <c r="Q113" s="52" t="n">
        <v>-2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46252</v>
      </c>
      <c r="O114" s="33" t="n">
        <v>46405</v>
      </c>
      <c r="P114" s="34" t="s">
        <v>75</v>
      </c>
      <c r="Q114" s="31" t="n">
        <v>96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46322</v>
      </c>
      <c r="O115" s="45" t="n">
        <v>46322</v>
      </c>
      <c r="P115" s="46" t="s">
        <v>285</v>
      </c>
      <c r="Q115" s="37" t="n">
        <v>73</v>
      </c>
      <c r="R115" s="39"/>
      <c r="S115" s="39" t="n">
        <v>1</v>
      </c>
      <c r="T115" s="39" t="s">
        <v>286</v>
      </c>
      <c r="U115" s="58" t="n">
        <v>46322.0115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512</v>
      </c>
      <c r="N116" s="55" t="n">
        <v>46322</v>
      </c>
      <c r="O116" s="55" t="n">
        <v>46322</v>
      </c>
      <c r="P116" s="50" t="s">
        <v>285</v>
      </c>
      <c r="Q116" s="52" t="n">
        <v>75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516</v>
      </c>
      <c r="N117" s="55" t="n">
        <v>46322</v>
      </c>
      <c r="O117" s="55" t="n">
        <v>46322</v>
      </c>
      <c r="P117" s="50" t="s">
        <v>285</v>
      </c>
      <c r="Q117" s="52" t="n">
        <v>74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520</v>
      </c>
      <c r="N118" s="55" t="n">
        <v>46322</v>
      </c>
      <c r="O118" s="55" t="n">
        <v>46322</v>
      </c>
      <c r="P118" s="50" t="s">
        <v>285</v>
      </c>
      <c r="Q118" s="52" t="n">
        <v>74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524</v>
      </c>
      <c r="N119" s="55" t="n">
        <v>46322</v>
      </c>
      <c r="O119" s="55" t="n">
        <v>46322</v>
      </c>
      <c r="P119" s="50" t="s">
        <v>285</v>
      </c>
      <c r="Q119" s="52" t="n">
        <v>74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528</v>
      </c>
      <c r="N120" s="55" t="n">
        <v>46322</v>
      </c>
      <c r="O120" s="55" t="n">
        <v>46322</v>
      </c>
      <c r="P120" s="50" t="s">
        <v>285</v>
      </c>
      <c r="Q120" s="52" t="n">
        <v>73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532</v>
      </c>
      <c r="N121" s="55" t="n">
        <v>46322</v>
      </c>
      <c r="O121" s="55" t="n">
        <v>46322</v>
      </c>
      <c r="P121" s="50" t="s">
        <v>285</v>
      </c>
      <c r="Q121" s="52" t="n">
        <v>73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 t="n">
        <v>46284</v>
      </c>
      <c r="M122" s="43"/>
      <c r="N122" s="44" t="n">
        <v>46284</v>
      </c>
      <c r="O122" s="45" t="n">
        <v>46284</v>
      </c>
      <c r="P122" s="46" t="s">
        <v>60</v>
      </c>
      <c r="Q122" s="37" t="n">
        <v>35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46252</v>
      </c>
      <c r="L123" s="42" t="n">
        <v>46255</v>
      </c>
      <c r="M123" s="43"/>
      <c r="N123" s="44" t="n">
        <v>46252</v>
      </c>
      <c r="O123" s="45" t="n">
        <v>46255</v>
      </c>
      <c r="P123" s="46" t="s">
        <v>60</v>
      </c>
      <c r="Q123" s="37" t="n">
        <v>4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46392</v>
      </c>
      <c r="O124" s="45" t="n">
        <v>46405</v>
      </c>
      <c r="P124" s="46" t="s">
        <v>285</v>
      </c>
      <c r="Q124" s="37" t="n">
        <v>96</v>
      </c>
      <c r="R124" s="39"/>
      <c r="S124" s="39" t="n">
        <v>1</v>
      </c>
      <c r="T124" s="39" t="s">
        <v>286</v>
      </c>
      <c r="U124" s="58" t="n">
        <v>46392.0124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547</v>
      </c>
      <c r="N125" s="55" t="n">
        <v>46392</v>
      </c>
      <c r="O125" s="55" t="n">
        <v>46396</v>
      </c>
      <c r="P125" s="50" t="s">
        <v>285</v>
      </c>
      <c r="Q125" s="52" t="n">
        <v>96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551</v>
      </c>
      <c r="N126" s="55" t="n">
        <v>46395</v>
      </c>
      <c r="O126" s="55" t="n">
        <v>46402</v>
      </c>
      <c r="P126" s="50" t="s">
        <v>285</v>
      </c>
      <c r="Q126" s="52" t="n">
        <v>96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555</v>
      </c>
      <c r="N127" s="55" t="n">
        <v>46402</v>
      </c>
      <c r="O127" s="55" t="n">
        <v>46405</v>
      </c>
      <c r="P127" s="50" t="s">
        <v>285</v>
      </c>
      <c r="Q127" s="52" t="n">
        <v>96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46332</v>
      </c>
      <c r="O128" s="45" t="n">
        <v>46332</v>
      </c>
      <c r="P128" s="46" t="s">
        <v>285</v>
      </c>
      <c r="Q128" s="37" t="n">
        <v>73</v>
      </c>
      <c r="R128" s="39"/>
      <c r="S128" s="39" t="n">
        <v>1</v>
      </c>
      <c r="T128" s="39" t="s">
        <v>286</v>
      </c>
      <c r="U128" s="58" t="n">
        <v>46332.0128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/>
      <c r="N129" s="44" t="n">
        <v>46333</v>
      </c>
      <c r="O129" s="45" t="n">
        <v>46335</v>
      </c>
      <c r="P129" s="46" t="s">
        <v>285</v>
      </c>
      <c r="Q129" s="37" t="n">
        <v>76</v>
      </c>
      <c r="R129" s="39"/>
      <c r="S129" s="39" t="n">
        <v>1</v>
      </c>
      <c r="T129" s="39" t="s">
        <v>286</v>
      </c>
      <c r="U129" s="58" t="n">
        <v>46333.0129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46333</v>
      </c>
      <c r="O130" s="45" t="n">
        <v>46337</v>
      </c>
      <c r="P130" s="46" t="s">
        <v>285</v>
      </c>
      <c r="Q130" s="37" t="n">
        <v>78</v>
      </c>
      <c r="R130" s="39"/>
      <c r="S130" s="39" t="n">
        <v>1</v>
      </c>
      <c r="T130" s="39" t="s">
        <v>286</v>
      </c>
      <c r="U130" s="58" t="n">
        <v>46333.013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46386</v>
      </c>
      <c r="O131" s="45" t="n">
        <v>46391</v>
      </c>
      <c r="P131" s="46" t="s">
        <v>285</v>
      </c>
      <c r="Q131" s="37" t="n">
        <v>96</v>
      </c>
      <c r="R131" s="39"/>
      <c r="S131" s="39" t="n">
        <v>1</v>
      </c>
      <c r="T131" s="39" t="s">
        <v>286</v>
      </c>
      <c r="U131" s="58" t="n">
        <v>46386.0131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565</v>
      </c>
      <c r="D134" s="6" t="s">
        <v>566</v>
      </c>
    </row>
    <row r="135" customFormat="false" ht="15" hidden="false" customHeight="true" outlineLevel="0" collapsed="false">
      <c r="B135" s="63" t="s">
        <v>567</v>
      </c>
      <c r="D135" s="63" t="s">
        <v>568</v>
      </c>
      <c r="E135" s="63" t="s">
        <v>569</v>
      </c>
      <c r="I135" s="64" t="s">
        <v>570</v>
      </c>
      <c r="J135" s="64" t="s">
        <v>571</v>
      </c>
      <c r="K135" s="64" t="s">
        <v>572</v>
      </c>
      <c r="L135" s="64" t="s">
        <v>573</v>
      </c>
      <c r="O135" s="63" t="s">
        <v>574</v>
      </c>
      <c r="P135" s="63" t="s">
        <v>575</v>
      </c>
    </row>
    <row r="136" customFormat="false" ht="15" hidden="false" customHeight="true" outlineLevel="0" collapsed="false">
      <c r="B136" s="65" t="s">
        <v>576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577</v>
      </c>
    </row>
    <row r="137" customFormat="false" ht="15" hidden="false" customHeight="true" outlineLevel="0" collapsed="false">
      <c r="B137" s="65" t="s">
        <v>578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579</v>
      </c>
    </row>
    <row r="138" customFormat="false" ht="15" hidden="false" customHeight="true" outlineLevel="0" collapsed="false">
      <c r="B138" s="65" t="s">
        <v>580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581</v>
      </c>
    </row>
    <row r="139" customFormat="false" ht="15" hidden="false" customHeight="true" outlineLevel="0" collapsed="false">
      <c r="B139" s="65" t="s">
        <v>582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583</v>
      </c>
    </row>
    <row r="140" customFormat="false" ht="15" hidden="false" customHeight="true" outlineLevel="0" collapsed="false">
      <c r="B140" s="65" t="s">
        <v>584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585</v>
      </c>
    </row>
    <row r="141" customFormat="false" ht="15" hidden="false" customHeight="true" outlineLevel="0" collapsed="false">
      <c r="B141" s="70" t="s">
        <v>586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587</v>
      </c>
    </row>
    <row r="142" customFormat="false" ht="15" hidden="false" customHeight="true" outlineLevel="0" collapsed="false">
      <c r="B142" s="72" t="s">
        <v>588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7" t="s">
        <v>590</v>
      </c>
    </row>
    <row r="146" customFormat="false" ht="15" hidden="false" customHeight="true" outlineLevel="0" collapsed="false">
      <c r="B146" s="17" t="s">
        <v>591</v>
      </c>
      <c r="D146" s="78" t="s">
        <v>592</v>
      </c>
      <c r="E146" s="78"/>
      <c r="F146" s="78"/>
      <c r="G146" s="78"/>
      <c r="H146" s="78"/>
      <c r="I146" s="78"/>
      <c r="J146" s="78"/>
      <c r="K146" s="19" t="s">
        <v>593</v>
      </c>
    </row>
    <row r="147" customFormat="false" ht="15" hidden="false" customHeight="true" outlineLevel="0" collapsed="false">
      <c r="B147" s="79" t="s">
        <v>594</v>
      </c>
      <c r="E147" s="80" t="s">
        <v>595</v>
      </c>
      <c r="I147" s="79" t="s">
        <v>596</v>
      </c>
    </row>
    <row r="148" customFormat="false" ht="24" hidden="false" customHeight="true" outlineLevel="0" collapsed="false">
      <c r="A148" s="81" t="s">
        <v>597</v>
      </c>
      <c r="B148" s="82" t="s">
        <v>598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599</v>
      </c>
      <c r="B149" s="82" t="s">
        <v>600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601</v>
      </c>
      <c r="B150" s="82" t="s">
        <v>602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603</v>
      </c>
      <c r="B151" s="82" t="s">
        <v>604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605</v>
      </c>
      <c r="B152" s="82" t="s">
        <v>606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607</v>
      </c>
      <c r="B153" s="82" t="s">
        <v>608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641</v>
      </c>
      <c r="C8" s="95" t="s">
        <v>642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644</v>
      </c>
      <c r="C10" s="95" t="s">
        <v>642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46190</v>
      </c>
      <c r="F11" s="99" t="n">
        <v>46199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645</v>
      </c>
      <c r="C12" s="95" t="s">
        <v>642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46209</v>
      </c>
      <c r="F13" s="99" t="n">
        <v>46209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646</v>
      </c>
      <c r="C14" s="95" t="s">
        <v>642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46261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651</v>
      </c>
      <c r="C23" s="95" t="s">
        <v>642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46219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6.6667</v>
      </c>
      <c r="Q24" s="101" t="n">
        <v>6.6667</v>
      </c>
      <c r="R24" s="101" t="n">
        <v>6.6667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652</v>
      </c>
      <c r="C25" s="95" t="s">
        <v>642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46238</v>
      </c>
      <c r="F26" s="99" t="n">
        <v>46241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10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653</v>
      </c>
      <c r="C27" s="95" t="s">
        <v>642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46237</v>
      </c>
      <c r="F28" s="99" t="n">
        <v>46242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20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654</v>
      </c>
      <c r="C29" s="95" t="s">
        <v>642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655</v>
      </c>
      <c r="C31" s="95" t="s">
        <v>642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46238</v>
      </c>
      <c r="F32" s="99" t="n">
        <v>46241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656</v>
      </c>
      <c r="C33" s="95" t="s">
        <v>642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46239</v>
      </c>
      <c r="F34" s="99" t="n">
        <v>46242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657</v>
      </c>
      <c r="C35" s="95" t="s">
        <v>642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46240</v>
      </c>
      <c r="F36" s="99" t="n">
        <v>46242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658</v>
      </c>
      <c r="C37" s="95" t="s">
        <v>642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46241</v>
      </c>
      <c r="F38" s="99" t="n">
        <v>46243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5</v>
      </c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659</v>
      </c>
      <c r="C39" s="95" t="s">
        <v>642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46242</v>
      </c>
      <c r="F40" s="99" t="n">
        <v>46243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 t="n">
        <v>2.5</v>
      </c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661</v>
      </c>
      <c r="C42" s="95" t="s">
        <v>642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0.5</v>
      </c>
      <c r="O48" s="103" t="n">
        <f aca="false">SUMIF($C$7:$C$45,"Actual",O$7:O$45)</f>
        <v>0.5</v>
      </c>
      <c r="P48" s="103" t="n">
        <f aca="false">SUMIF($C$7:$C$45,"Actual",P$7:P$45)</f>
        <v>6.6667</v>
      </c>
      <c r="Q48" s="103" t="n">
        <f aca="false">SUMIF($C$7:$C$45,"Actual",Q$7:Q$45)</f>
        <v>6.6667</v>
      </c>
      <c r="R48" s="103" t="n">
        <f aca="false">SUMIF($C$7:$C$45,"Actual",R$7:R$45)</f>
        <v>6.6667</v>
      </c>
      <c r="S48" s="103" t="n">
        <f aca="false">SUMIF($C$7:$C$45,"Actual",S$7:S$45)</f>
        <v>70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</v>
      </c>
      <c r="O50" s="105" t="n">
        <f aca="false">IF(O$6&gt;46314,"",N50+O48)</f>
        <v>3.5</v>
      </c>
      <c r="P50" s="105" t="n">
        <f aca="false">IF(P$6&gt;46314,"",O50+P48)</f>
        <v>10.1667</v>
      </c>
      <c r="Q50" s="105" t="n">
        <f aca="false">IF(Q$6&gt;46314,"",P50+Q48)</f>
        <v>16.8334</v>
      </c>
      <c r="R50" s="105" t="n">
        <f aca="false">IF(R$6&gt;46314,"",Q50+R48)</f>
        <v>23.5001</v>
      </c>
      <c r="S50" s="105" t="n">
        <f aca="false">IF(S$6&gt;46314,"",R50+S48)</f>
        <v>93.5001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93.6668</v>
      </c>
      <c r="W50" s="105" t="n">
        <f aca="false">IF(W$6&gt;46314,"",V50+W48)</f>
        <v>93.8335</v>
      </c>
      <c r="X50" s="105" t="n">
        <f aca="false">IF(X$6&gt;46314,"",W50+X48)</f>
        <v>94.0002</v>
      </c>
      <c r="Y50" s="105" t="n">
        <f aca="false">IF(Y$6&gt;46314,"",X50+Y48)</f>
        <v>94.1669</v>
      </c>
      <c r="Z50" s="105" t="n">
        <f aca="false">IF(Z$6&gt;46314,"",Y50+Z48)</f>
        <v>94.3336</v>
      </c>
      <c r="AA50" s="105" t="n">
        <f aca="false">IF(AA$6&gt;46314,"",Z50+AA48)</f>
        <v>94.5003</v>
      </c>
      <c r="AB50" s="105" t="n">
        <f aca="false">IF(AB$6&gt;46314,"",AA50+AB48)</f>
        <v>94.667</v>
      </c>
      <c r="AC50" s="105" t="n">
        <f aca="false">IF(AC$6&gt;46314,"",AB50+AC48)</f>
        <v>94.8337000000001</v>
      </c>
      <c r="AD50" s="105" t="n">
        <f aca="false">IF(AD$6&gt;46314,"",AC50+AD48)</f>
        <v>95.0004000000001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2026-10-26T04:42:48Z</dcterms:created>
  <dc:creator>openpyxl</dc:creator>
  <dc:description/>
  <dc:language>en-US</dc:language>
  <cp:lastModifiedBy/>
  <dcterms:modified xsi:type="dcterms:W3CDTF">2026-10-26T11:46:39Z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