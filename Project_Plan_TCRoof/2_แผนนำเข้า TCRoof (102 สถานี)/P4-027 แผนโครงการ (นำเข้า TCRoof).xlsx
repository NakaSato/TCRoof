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<sst xmlns="http://schemas.openxmlformats.org/spreadsheetml/2006/main" count="1306" uniqueCount="669">
  <si>
    <t xml:space="preserve">แผนโครงการ P4-027 – สถานีผลิตน้ำแม่ข่ายชนบท 206.34 kWp</t>
  </si>
  <si>
    <t xml:space="preserve">กปภ.สาขาชนบท, ภาคอีสาน, กฟภ. เขต ฉ.1, Inverter 185 kW (ไม่ต้อง พค.2), Zero export HV, คำขอ PPIM1A5082B0, วิศวกร อ๋อง, Admin เตย,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</si>
  <si>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</si>
  <si>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</si>
  <si>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</si>
  <si>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</si>
  <si>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</si>
  <si>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</si>
  <si>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</si>
  <si>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</si>
  <si>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</si>
  <si>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</si>
  <si>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</si>
  <si>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</si>
  <si>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</si>
  <si>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</si>
  <si>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</si>
  <si>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</si>
  <si>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</si>
  <si>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</si>
  <si>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</si>
  <si>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</si>
  <si>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</si>
  <si>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</si>
  <si>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</si>
  <si>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</si>
  <si>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</si>
  <si>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</si>
  <si>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</si>
  <si>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</si>
  <si>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</si>
  <si>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</si>
  <si>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</si>
  <si>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</si>
  <si>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</si>
  <si>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</si>
  <si>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</si>
  <si>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</si>
  <si>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</si>
  <si>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</si>
  <si>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</si>
  <si>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</si>
  <si>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</si>
  <si>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</si>
  <si>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</si>
  <si>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</si>
  <si>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</si>
  <si>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</si>
  <si>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</si>
  <si>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</si>
  <si>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</si>
  <si>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</si>
  <si>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</si>
  <si>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</si>
  <si>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</si>
  <si>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</si>
  <si>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</si>
  <si>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</si>
  <si>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</si>
  <si>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</si>
  <si>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</si>
  <si>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</si>
  <si>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</si>
  <si>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</si>
  <si>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</si>
  <si>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</si>
  <si>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</si>
  <si>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</si>
  <si>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</si>
  <si>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</si>
  <si>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</si>
  <si>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</si>
  <si>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</si>
  <si>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</si>
  <si>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</si>
  <si>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</si>
  <si>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</si>
  <si>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</si>
  <si>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</si>
  <si>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</si>
  <si>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</si>
  <si>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</si>
  <si>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</si>
  <si>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</si>
  <si>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</si>
  <si>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</si>
  <si>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</si>
  <si>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</si>
  <si>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</si>
  <si>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</si>
  <si>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</si>
  <si>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</si>
  <si>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</si>
  <si>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</si>
  <si>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</si>
  <si>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</si>
  <si>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</si>
  <si>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</si>
  <si>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</si>
  <si>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</si>
  <si>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</si>
  <si>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</si>
  <si>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</si>
  <si>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</si>
  <si>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</si>
  <si>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</si>
  <si>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</si>
  <si>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</si>
  <si>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</si>
  <si>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</si>
  <si>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</si>
  <si>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</si>
  <si>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</si>
  <si>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</si>
  <si>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</si>
  <si>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</si>
  <si>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</si>
  <si>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</si>
  <si>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</si>
  <si>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</si>
  <si>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</si>
  <si>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</si>
  <si>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</si>
  <si>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</si>
  <si>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</si>
  <si>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</si>
  <si>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</si>
  <si>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</si>
  <si>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</si>
  <si>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</si>
  <si>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</si>
  <si>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</si>
  <si>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</si>
  <si>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</si>
  <si>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</si>
  <si>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</si>
  <si>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</si>
  <si>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</si>
  <si>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</si>
  <si>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</si>
  <si>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</si>
  <si>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</si>
  <si>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</si>
  <si>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</si>
  <si>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</si>
  <si>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</si>
  <si>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</si>
  <si>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</si>
  <si>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</si>
  <si>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</si>
  <si>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</si>
  <si>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</si>
  <si>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WBS'!L7709</t>
    </r>
  </si>
  <si>
    <t xml:space="preserve">0.3</t>
  </si>
  <si>
    <t xml:space="preserve">หนังสือแจ้งขอดับไฟ</t>
  </si>
  <si>
    <t xml:space="preserve">TC-PML-2026-576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</si>
  <si>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</si>
  <si>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</si>
  <si>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</si>
  <si>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</si>
  <si>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</si>
  <si>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</si>
  <si>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</si>
  <si>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</si>
  <si>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</si>
  <si>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</si>
  <si>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</si>
  <si>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</si>
  <si>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</si>
  <si>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</si>
  <si>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</si>
  <si>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</si>
  <si>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</si>
  <si>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</si>
  <si>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</si>
  <si>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</si>
  <si>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</si>
  <si>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</si>
  <si>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</si>
  <si>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</si>
  <si>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</si>
  <si>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</si>
  <si>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</si>
  <si>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</si>
  <si>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</si>
  <si>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</si>
  <si>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</si>
  <si>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</si>
  <si>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</si>
  <si>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</si>
  <si>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</si>
  <si>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</si>
  <si>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</si>
  <si>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</si>
  <si>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</si>
  <si>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</si>
  <si>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</si>
  <si>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</si>
  <si>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</si>
  <si>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</si>
  <si>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</si>
  <si>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</si>
  <si>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</si>
  <si>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</si>
  <si>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</si>
  <si>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</si>
  <si>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</si>
  <si>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</si>
  <si>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</si>
  <si>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</si>
  <si>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</si>
  <si>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</si>
  <si>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</si>
  <si>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</si>
  <si>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</si>
  <si>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</si>
  <si>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</si>
  <si>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</si>
  <si>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</si>
  <si>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</si>
  <si>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</si>
  <si>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</si>
  <si>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</si>
  <si>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</si>
  <si>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</si>
  <si>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</si>
  <si>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</si>
  <si>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</si>
  <si>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</si>
  <si>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</si>
  <si>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</si>
  <si>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</si>
  <si>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</si>
  <si>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</si>
  <si>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</si>
  <si>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</si>
  <si>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</si>
  <si>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</si>
  <si>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</si>
  <si>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</si>
  <si>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</si>
  <si>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</si>
  <si>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WBS'!L7725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</si>
  <si>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</si>
  <si>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</si>
  <si>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</si>
  <si>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</si>
  <si>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</si>
  <si>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</si>
  <si>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</si>
  <si>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</si>
  <si>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</si>
  <si>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</si>
  <si>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</si>
  <si>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</si>
  <si>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</si>
  <si>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</si>
  <si>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</si>
  <si>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</si>
  <si>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</si>
  <si>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</si>
  <si>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</si>
  <si>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</si>
  <si>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</si>
  <si>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</si>
  <si>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</si>
  <si>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</si>
  <si>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</si>
  <si>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</si>
  <si>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</si>
  <si>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</si>
  <si>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</si>
  <si>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</si>
  <si>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WBS'!L7727</t>
    </r>
  </si>
  <si>
    <t xml:space="preserve">1.7.1</t>
  </si>
  <si>
    <t xml:space="preserve">คำขอขนานไฟ PPIM (ชุด 11 ไฟล์)</t>
  </si>
  <si>
    <t xml:space="preserve">PPIM1A5082B0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</si>
  <si>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</si>
  <si>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</si>
  <si>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</si>
  <si>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</si>
  <si>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</si>
  <si>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</si>
  <si>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</si>
  <si>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</si>
  <si>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</si>
  <si>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</si>
  <si>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</si>
  <si>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</si>
  <si>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</si>
  <si>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</si>
  <si>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</si>
  <si>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</si>
  <si>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</si>
  <si>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</si>
  <si>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</si>
  <si>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</si>
  <si>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</si>
  <si>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</si>
  <si>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</si>
  <si>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</si>
  <si>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</si>
  <si>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</si>
  <si>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</si>
  <si>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</si>
  <si>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</si>
  <si>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</si>
  <si>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</si>
  <si>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</si>
  <si>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</si>
  <si>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</si>
  <si>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</si>
  <si>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</si>
  <si>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</si>
  <si>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</si>
  <si>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</si>
  <si>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</si>
  <si>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</si>
  <si>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</si>
  <si>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</si>
  <si>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</si>
  <si>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</si>
  <si>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</si>
  <si>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</si>
  <si>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</si>
  <si>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</si>
  <si>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</si>
  <si>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</si>
  <si>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</si>
  <si>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</si>
  <si>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</si>
  <si>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</si>
  <si>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</si>
  <si>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</si>
  <si>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</si>
  <si>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</si>
  <si>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</si>
  <si>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</si>
  <si>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</si>
  <si>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</si>
  <si>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</si>
  <si>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</si>
  <si>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</si>
  <si>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</si>
  <si>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</si>
  <si>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</si>
  <si>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</si>
  <si>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</si>
  <si>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</si>
  <si>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</si>
  <si>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</si>
  <si>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</si>
  <si>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</si>
  <si>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</si>
  <si>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</si>
  <si>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</si>
  <si>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</si>
  <si>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</si>
  <si>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</si>
  <si>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</si>
  <si>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</si>
  <si>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</si>
  <si>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</si>
  <si>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</si>
  <si>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</si>
  <si>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</si>
  <si>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</si>
  <si>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</si>
  <si>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</si>
  <si>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</si>
  <si>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</si>
  <si>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</si>
  <si>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</si>
  <si>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</si>
  <si>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</si>
  <si>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</si>
  <si>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</si>
  <si>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</si>
  <si>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</si>
  <si>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</si>
  <si>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</si>
  <si>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</si>
  <si>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</si>
  <si>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</si>
  <si>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</si>
  <si>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</si>
  <si>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</si>
  <si>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</si>
  <si>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</si>
  <si>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WBS'!L7746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</si>
  <si>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</si>
  <si>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</si>
  <si>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</si>
  <si>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</si>
  <si>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</si>
  <si>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</si>
  <si>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</si>
  <si>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</si>
  <si>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</si>
  <si>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</si>
  <si>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</si>
  <si>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</si>
  <si>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</si>
  <si>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</si>
  <si>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</si>
  <si>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</si>
  <si>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</si>
  <si>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</si>
  <si>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</si>
  <si>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WBS'!L7750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</si>
  <si>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</si>
  <si>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</si>
  <si>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</si>
  <si>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</si>
  <si>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</si>
  <si>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</si>
  <si>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</si>
  <si>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</si>
  <si>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</si>
  <si>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</si>
  <si>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</si>
  <si>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</si>
  <si>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</si>
  <si>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</si>
  <si>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</si>
  <si>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</si>
  <si>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</si>
  <si>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</si>
  <si>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</si>
  <si>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</si>
  <si>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</si>
  <si>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</si>
  <si>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</si>
  <si>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</si>
  <si>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</si>
  <si>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</si>
  <si>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</si>
  <si>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</si>
  <si>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</si>
  <si>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</si>
  <si>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</si>
  <si>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</si>
  <si>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</si>
  <si>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</si>
  <si>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</si>
  <si>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</si>
  <si>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</si>
  <si>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</si>
  <si>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</si>
  <si>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WBS'!L7758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</si>
  <si>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</si>
  <si>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</si>
  <si>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</si>
  <si>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</si>
  <si>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</si>
  <si>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</si>
  <si>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</si>
  <si>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</si>
  <si>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</si>
  <si>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</si>
  <si>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WBS'!L7759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</si>
  <si>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</si>
  <si>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</si>
  <si>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</si>
  <si>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</si>
  <si>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</si>
  <si>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</si>
  <si>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</si>
  <si>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</si>
  <si>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</si>
  <si>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</si>
  <si>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</si>
  <si>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</si>
  <si>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</si>
  <si>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</si>
  <si>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</si>
  <si>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</si>
  <si>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</si>
  <si>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</si>
  <si>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</si>
  <si>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</si>
  <si>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</si>
  <si>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</si>
  <si>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</si>
  <si>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</si>
  <si>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</si>
  <si>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</si>
  <si>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</si>
  <si>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</si>
  <si>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</si>
  <si>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</si>
  <si>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</si>
  <si>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</si>
  <si>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</si>
  <si>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</si>
  <si>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</si>
  <si>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</si>
  <si>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</si>
  <si>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</si>
  <si>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</si>
  <si>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</si>
  <si>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</si>
  <si>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</si>
  <si>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</si>
  <si>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</si>
  <si>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</si>
  <si>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</si>
  <si>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</si>
  <si>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</si>
  <si>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</si>
  <si>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</si>
  <si>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</si>
  <si>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</si>
  <si>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</si>
  <si>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</si>
  <si>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</si>
  <si>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</si>
  <si>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</si>
  <si>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</si>
  <si>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</si>
  <si>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</si>
  <si>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</si>
  <si>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</si>
  <si>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</si>
  <si>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</si>
  <si>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</si>
  <si>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</si>
  <si>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</si>
  <si>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</si>
  <si>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</si>
  <si>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</si>
  <si>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</si>
  <si>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</si>
  <si>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</si>
  <si>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</si>
  <si>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</si>
  <si>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</si>
  <si>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</si>
  <si>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</si>
  <si>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</si>
  <si>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</si>
  <si>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</si>
  <si>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</si>
  <si>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</si>
  <si>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</si>
  <si>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</si>
  <si>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</si>
  <si>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</si>
  <si>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</si>
  <si>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</si>
  <si>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</si>
  <si>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</si>
  <si>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</si>
  <si>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</si>
  <si>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</si>
  <si>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WBS'!L7776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</si>
  <si>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</si>
  <si>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</si>
  <si>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</si>
  <si>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</si>
  <si>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</si>
  <si>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</si>
  <si>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</si>
  <si>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</si>
  <si>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</si>
  <si>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</si>
  <si>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</si>
  <si>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</si>
  <si>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</si>
  <si>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</si>
  <si>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</si>
  <si>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</si>
  <si>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</si>
  <si>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</si>
  <si>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</si>
  <si>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</si>
  <si>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</si>
  <si>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</si>
  <si>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</si>
  <si>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</si>
  <si>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</si>
  <si>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</si>
  <si>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</si>
  <si>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</si>
  <si>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</si>
  <si>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</si>
  <si>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</si>
  <si>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</si>
  <si>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</si>
  <si>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</si>
  <si>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</si>
  <si>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</si>
  <si>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</si>
  <si>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</si>
  <si>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</si>
  <si>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</si>
  <si>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</si>
  <si>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</si>
  <si>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</si>
  <si>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</si>
  <si>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</si>
  <si>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</si>
  <si>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</si>
  <si>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</si>
  <si>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</si>
  <si>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</si>
  <si>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</si>
  <si>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</si>
  <si>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</si>
  <si>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</si>
  <si>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</si>
  <si>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</si>
  <si>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</si>
  <si>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</si>
  <si>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สถานีผลิตน้ำแม่ข่ายชนบท การประปาส่วนภูมิภาคสาขาชนบท ขนาดกำลังผลิต </t>
    </r>
    <r>
      <rPr>
        <sz val="10"/>
        <rFont val="Tahoma"/>
        <family val="0"/>
        <charset val="1"/>
      </rPr>
      <t xml:space="preserve">206.34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</si>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</sst>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1.3333</c:v>
                </c:pt>
                <c:pt idx="9">
                  <c:v>2.1666</c:v>
                </c:pt>
                <c:pt idx="10">
                  <c:v>2.9999</c:v>
                </c:pt>
                <c:pt idx="11">
                  <c:v>2.9999</c:v>
                </c:pt>
                <c:pt idx="12">
                  <c:v>10.1666</c:v>
                </c:pt>
                <c:pt idx="13">
                  <c:v>16.8333</c:v>
                </c:pt>
                <c:pt idx="14">
                  <c:v>23.5</c:v>
                </c:pt>
                <c:pt idx="15">
                  <c:v>56</c:v>
                </c:pt>
                <c:pt idx="16">
                  <c:v>93.5</c:v>
                </c:pt>
                <c:pt idx="17">
                  <c:v>93.5</c:v>
                </c:pt>
                <c:pt idx="18">
                  <c:v>93.5</c:v>
                </c:pt>
                <c:pt idx="19">
                  <c:v>93.5</c:v>
                </c:pt>
                <c:pt idx="20">
                  <c:v>93.5</c:v>
                </c:pt>
                <c:pt idx="21">
                  <c:v>94.25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774398"/>
        <c:axId val="44202963"/>
      </c:lineChart>
      <c:catAx>
        <c:axId val="8977439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02963"/>
        <c:crosses val="autoZero"/>
        <c:auto val="1"/>
        <c:lblAlgn val="ctr"/>
        <c:lblOffset val="100"/>
        <c:noMultiLvlLbl val="0"/>
      </c:catAx>
      <c:valAx>
        <c:axId val="44202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43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46441</v>
      </c>
      <c r="G4" s="10"/>
      <c r="H4" s="10"/>
      <c r="J4" s="11" t="n">
        <v>0.95</v>
      </c>
      <c r="K4" s="11"/>
      <c r="L4" s="12" t="n">
        <v>32</v>
      </c>
      <c r="M4" s="12"/>
      <c r="N4" s="12" t="n">
        <v>119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46458</v>
      </c>
      <c r="P8" s="34" t="s">
        <v>75</v>
      </c>
      <c r="Q8" s="31" t="n">
        <v>119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46458</v>
      </c>
      <c r="P9" s="46" t="s">
        <v>75</v>
      </c>
      <c r="Q9" s="37" t="n">
        <v>119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46238</v>
      </c>
      <c r="P10" s="50" t="s">
        <v>75</v>
      </c>
      <c r="Q10" s="52" t="n">
        <v>12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46238</v>
      </c>
      <c r="P11" s="50" t="s">
        <v>75</v>
      </c>
      <c r="Q11" s="52" t="n">
        <v>12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46238</v>
      </c>
      <c r="P12" s="50" t="s">
        <v>75</v>
      </c>
      <c r="Q12" s="52" t="n">
        <v>12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46251</v>
      </c>
      <c r="P13" s="50" t="s">
        <v>75</v>
      </c>
      <c r="Q13" s="52" t="n">
        <v>18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46238</v>
      </c>
      <c r="O14" s="55" t="n">
        <v>46458</v>
      </c>
      <c r="P14" s="50" t="s">
        <v>75</v>
      </c>
      <c r="Q14" s="52" t="n">
        <v>119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46238</v>
      </c>
      <c r="O15" s="55" t="n">
        <v>46458</v>
      </c>
      <c r="P15" s="50" t="s">
        <v>75</v>
      </c>
      <c r="Q15" s="52" t="n">
        <v>119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46240</v>
      </c>
      <c r="O23" s="55" t="n">
        <v>46244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46261</v>
      </c>
      <c r="O26" s="55" t="n">
        <v>46261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46261</v>
      </c>
      <c r="O27" s="55" t="n">
        <v>46261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46261</v>
      </c>
      <c r="O28" s="55" t="n">
        <v>46261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46441</v>
      </c>
      <c r="P29" s="34" t="s">
        <v>75</v>
      </c>
      <c r="Q29" s="31" t="n">
        <v>119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46309</v>
      </c>
      <c r="M55" s="43"/>
      <c r="N55" s="44" t="n">
        <v>46309</v>
      </c>
      <c r="O55" s="45" t="n">
        <v>46309</v>
      </c>
      <c r="P55" s="46" t="s">
        <v>60</v>
      </c>
      <c r="Q55" s="37" t="n">
        <v>32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46309</v>
      </c>
      <c r="L57" s="42"/>
      <c r="M57" s="43"/>
      <c r="N57" s="44" t="n">
        <v>46309</v>
      </c>
      <c r="O57" s="45" t="n">
        <v>46331</v>
      </c>
      <c r="P57" s="46" t="s">
        <v>75</v>
      </c>
      <c r="Q57" s="37" t="n">
        <v>33</v>
      </c>
      <c r="R57" s="39"/>
      <c r="S57" s="39" t="n">
        <v>1</v>
      </c>
      <c r="T57" s="39" t="s">
        <v>76</v>
      </c>
      <c r="U57" s="58" t="n">
        <v>46309.0057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46332</v>
      </c>
      <c r="O58" s="45" t="n">
        <v>46338</v>
      </c>
      <c r="P58" s="46" t="s">
        <v>285</v>
      </c>
      <c r="Q58" s="37" t="n">
        <v>33</v>
      </c>
      <c r="R58" s="39"/>
      <c r="S58" s="39" t="n">
        <v>1</v>
      </c>
      <c r="T58" s="39" t="s">
        <v>286</v>
      </c>
      <c r="U58" s="58" t="n">
        <v>46332.0058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46398</v>
      </c>
      <c r="O59" s="45" t="n">
        <v>46398</v>
      </c>
      <c r="P59" s="46" t="s">
        <v>285</v>
      </c>
      <c r="Q59" s="37" t="n">
        <v>92</v>
      </c>
      <c r="R59" s="39"/>
      <c r="S59" s="39" t="n">
        <v>1</v>
      </c>
      <c r="T59" s="39" t="s">
        <v>286</v>
      </c>
      <c r="U59" s="58" t="n">
        <v>46398.0059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46400</v>
      </c>
      <c r="O60" s="60" t="n">
        <v>46441</v>
      </c>
      <c r="P60" s="46" t="s">
        <v>285</v>
      </c>
      <c r="Q60" s="37" t="n">
        <v>119</v>
      </c>
      <c r="R60" s="39"/>
      <c r="S60" s="39" t="n">
        <v>1</v>
      </c>
      <c r="T60" s="39" t="s">
        <v>286</v>
      </c>
      <c r="U60" s="58" t="n">
        <v>46400.006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46244</v>
      </c>
      <c r="O61" s="33" t="n">
        <v>46280</v>
      </c>
      <c r="P61" s="34" t="s">
        <v>60</v>
      </c>
      <c r="Q61" s="31" t="n">
        <v>4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21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46244</v>
      </c>
      <c r="O62" s="45" t="n">
        <v>46264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305</v>
      </c>
      <c r="N63" s="55" t="n">
        <v>46244</v>
      </c>
      <c r="O63" s="55" t="n">
        <v>46246</v>
      </c>
      <c r="P63" s="50" t="s">
        <v>124</v>
      </c>
      <c r="Q63" s="52" t="n">
        <v>-3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309</v>
      </c>
      <c r="N64" s="55" t="n">
        <v>46244</v>
      </c>
      <c r="O64" s="55" t="n">
        <v>46248</v>
      </c>
      <c r="P64" s="50" t="s">
        <v>124</v>
      </c>
      <c r="Q64" s="52" t="n">
        <v>-2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313</v>
      </c>
      <c r="N65" s="55" t="n">
        <v>46246</v>
      </c>
      <c r="O65" s="55" t="n">
        <v>46254</v>
      </c>
      <c r="P65" s="50" t="s">
        <v>124</v>
      </c>
      <c r="Q65" s="52" t="n">
        <v>-1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317</v>
      </c>
      <c r="N66" s="55" t="n">
        <v>46252</v>
      </c>
      <c r="O66" s="55" t="n">
        <v>46261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321</v>
      </c>
      <c r="N67" s="55" t="n">
        <v>46256</v>
      </c>
      <c r="O67" s="55" t="n">
        <v>46263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325</v>
      </c>
      <c r="N68" s="55" t="n">
        <v>46260</v>
      </c>
      <c r="O68" s="55" t="n">
        <v>46264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329</v>
      </c>
      <c r="N69" s="55" t="n">
        <v>46263</v>
      </c>
      <c r="O69" s="55" t="n">
        <v>46264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337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341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345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349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353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8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46267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361</v>
      </c>
      <c r="N77" s="55" t="n">
        <v>46267</v>
      </c>
      <c r="O77" s="55" t="n">
        <v>46269</v>
      </c>
      <c r="P77" s="50" t="s">
        <v>124</v>
      </c>
      <c r="Q77" s="52" t="n">
        <v>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365</v>
      </c>
      <c r="N78" s="55" t="n">
        <v>46268</v>
      </c>
      <c r="O78" s="55" t="n">
        <v>46273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369</v>
      </c>
      <c r="N79" s="55" t="n">
        <v>46270</v>
      </c>
      <c r="O79" s="55" t="n">
        <v>46274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373</v>
      </c>
      <c r="N80" s="55" t="n">
        <v>46273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377</v>
      </c>
      <c r="N81" s="55" t="n">
        <v>46274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385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389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397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401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405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409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46272</v>
      </c>
      <c r="O101" s="55" t="n">
        <v>46272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460</v>
      </c>
      <c r="N102" s="55" t="n">
        <v>46272</v>
      </c>
      <c r="O102" s="55" t="n">
        <v>46273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467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471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475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482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486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490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46280</v>
      </c>
      <c r="M111" s="43"/>
      <c r="N111" s="44" t="n">
        <v>46280</v>
      </c>
      <c r="O111" s="45" t="n">
        <v>46280</v>
      </c>
      <c r="P111" s="46" t="s">
        <v>60</v>
      </c>
      <c r="Q111" s="37" t="n">
        <v>4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498</v>
      </c>
      <c r="N112" s="55" t="n">
        <v>46280</v>
      </c>
      <c r="O112" s="55" t="n">
        <v>46280</v>
      </c>
      <c r="P112" s="50" t="s">
        <v>124</v>
      </c>
      <c r="Q112" s="52" t="n">
        <v>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502</v>
      </c>
      <c r="N113" s="55" t="n">
        <v>46280</v>
      </c>
      <c r="O113" s="55" t="n">
        <v>46280</v>
      </c>
      <c r="P113" s="50" t="s">
        <v>124</v>
      </c>
      <c r="Q113" s="52" t="n">
        <v>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46265</v>
      </c>
      <c r="O114" s="33" t="n">
        <v>46458</v>
      </c>
      <c r="P114" s="34" t="s">
        <v>75</v>
      </c>
      <c r="Q114" s="31" t="n">
        <v>119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46394</v>
      </c>
      <c r="O115" s="45" t="n">
        <v>46394</v>
      </c>
      <c r="P115" s="46" t="s">
        <v>285</v>
      </c>
      <c r="Q115" s="37" t="n">
        <v>115</v>
      </c>
      <c r="R115" s="39"/>
      <c r="S115" s="39" t="n">
        <v>1</v>
      </c>
      <c r="T115" s="39" t="s">
        <v>286</v>
      </c>
      <c r="U115" s="58" t="n">
        <v>46394.0115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512</v>
      </c>
      <c r="N116" s="55" t="n">
        <v>46394</v>
      </c>
      <c r="O116" s="55" t="n">
        <v>46394</v>
      </c>
      <c r="P116" s="50" t="s">
        <v>285</v>
      </c>
      <c r="Q116" s="52" t="n">
        <v>117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516</v>
      </c>
      <c r="N117" s="55" t="n">
        <v>46394</v>
      </c>
      <c r="O117" s="55" t="n">
        <v>46394</v>
      </c>
      <c r="P117" s="50" t="s">
        <v>285</v>
      </c>
      <c r="Q117" s="52" t="n">
        <v>116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520</v>
      </c>
      <c r="N118" s="55" t="n">
        <v>46394</v>
      </c>
      <c r="O118" s="55" t="n">
        <v>46394</v>
      </c>
      <c r="P118" s="50" t="s">
        <v>285</v>
      </c>
      <c r="Q118" s="52" t="n">
        <v>116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524</v>
      </c>
      <c r="N119" s="55" t="n">
        <v>46394</v>
      </c>
      <c r="O119" s="55" t="n">
        <v>46394</v>
      </c>
      <c r="P119" s="50" t="s">
        <v>285</v>
      </c>
      <c r="Q119" s="52" t="n">
        <v>116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528</v>
      </c>
      <c r="N120" s="55" t="n">
        <v>46394</v>
      </c>
      <c r="O120" s="55" t="n">
        <v>46394</v>
      </c>
      <c r="P120" s="50" t="s">
        <v>285</v>
      </c>
      <c r="Q120" s="52" t="n">
        <v>115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532</v>
      </c>
      <c r="N121" s="55" t="n">
        <v>46394</v>
      </c>
      <c r="O121" s="55" t="n">
        <v>46394</v>
      </c>
      <c r="P121" s="50" t="s">
        <v>285</v>
      </c>
      <c r="Q121" s="52" t="n">
        <v>115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46356</v>
      </c>
      <c r="O122" s="45" t="n">
        <v>46356</v>
      </c>
      <c r="P122" s="46" t="s">
        <v>285</v>
      </c>
      <c r="Q122" s="37" t="n">
        <v>77</v>
      </c>
      <c r="R122" s="39"/>
      <c r="S122" s="39" t="n">
        <v>1</v>
      </c>
      <c r="T122" s="39" t="s">
        <v>286</v>
      </c>
      <c r="U122" s="58" t="n">
        <v>46356.0122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-13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46445</v>
      </c>
      <c r="O124" s="45" t="n">
        <v>46458</v>
      </c>
      <c r="P124" s="46" t="s">
        <v>285</v>
      </c>
      <c r="Q124" s="37" t="n">
        <v>119</v>
      </c>
      <c r="R124" s="39"/>
      <c r="S124" s="39" t="n">
        <v>1</v>
      </c>
      <c r="T124" s="39" t="s">
        <v>286</v>
      </c>
      <c r="U124" s="58" t="n">
        <v>46445.0124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547</v>
      </c>
      <c r="N125" s="55" t="n">
        <v>46445</v>
      </c>
      <c r="O125" s="55" t="n">
        <v>46449</v>
      </c>
      <c r="P125" s="50" t="s">
        <v>285</v>
      </c>
      <c r="Q125" s="52" t="n">
        <v>119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551</v>
      </c>
      <c r="N126" s="55" t="n">
        <v>46448</v>
      </c>
      <c r="O126" s="55" t="n">
        <v>46455</v>
      </c>
      <c r="P126" s="50" t="s">
        <v>285</v>
      </c>
      <c r="Q126" s="52" t="n">
        <v>119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555</v>
      </c>
      <c r="N127" s="55" t="n">
        <v>46455</v>
      </c>
      <c r="O127" s="55" t="n">
        <v>46458</v>
      </c>
      <c r="P127" s="50" t="s">
        <v>285</v>
      </c>
      <c r="Q127" s="52" t="n">
        <v>119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558</v>
      </c>
      <c r="Q128" s="37" t="n">
        <v>32</v>
      </c>
      <c r="R128" s="39"/>
      <c r="S128" s="39" t="n">
        <v>1</v>
      </c>
      <c r="T128" s="39" t="s">
        <v>559</v>
      </c>
      <c r="U128" s="58" t="n">
        <v>46321.0128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46322</v>
      </c>
      <c r="O129" s="45" t="n">
        <v>46322</v>
      </c>
      <c r="P129" s="46" t="s">
        <v>285</v>
      </c>
      <c r="Q129" s="37" t="n">
        <v>33</v>
      </c>
      <c r="R129" s="39"/>
      <c r="S129" s="39" t="n">
        <v>1</v>
      </c>
      <c r="T129" s="39" t="s">
        <v>286</v>
      </c>
      <c r="U129" s="58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46322</v>
      </c>
      <c r="O130" s="45" t="n">
        <v>46328</v>
      </c>
      <c r="P130" s="46" t="s">
        <v>285</v>
      </c>
      <c r="Q130" s="37" t="n">
        <v>39</v>
      </c>
      <c r="R130" s="39"/>
      <c r="S130" s="39" t="n">
        <v>1</v>
      </c>
      <c r="T130" s="39" t="s">
        <v>286</v>
      </c>
      <c r="U130" s="58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46442</v>
      </c>
      <c r="O131" s="45" t="n">
        <v>46444</v>
      </c>
      <c r="P131" s="46" t="s">
        <v>285</v>
      </c>
      <c r="Q131" s="37" t="n">
        <v>119</v>
      </c>
      <c r="R131" s="39"/>
      <c r="S131" s="39" t="n">
        <v>1</v>
      </c>
      <c r="T131" s="39" t="s">
        <v>286</v>
      </c>
      <c r="U131" s="58" t="n">
        <v>46442.0131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0.5</v>
      </c>
      <c r="Q15" s="101" t="n">
        <v>0.5</v>
      </c>
      <c r="R15" s="101" t="n">
        <v>0.5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46309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46244</v>
      </c>
      <c r="F24" s="99" t="n">
        <v>46264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 t="n">
        <v>6.6667</v>
      </c>
      <c r="U24" s="101" t="n">
        <v>6.6667</v>
      </c>
      <c r="V24" s="101" t="n">
        <v>6.6667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46267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10</v>
      </c>
      <c r="X28" s="101" t="n">
        <v>10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663</v>
      </c>
      <c r="C42" s="95" t="s">
        <v>644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664</v>
      </c>
      <c r="C44" s="95" t="s">
        <v>644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0.8333</v>
      </c>
      <c r="S48" s="103" t="n">
        <f aca="false">SUMIF($C$7:$C$45,"Actual",S$7:S$45)</f>
        <v>0</v>
      </c>
      <c r="T48" s="103" t="n">
        <f aca="false">SUMIF($C$7:$C$45,"Actual",T$7:T$45)</f>
        <v>7.1667</v>
      </c>
      <c r="U48" s="103" t="n">
        <f aca="false">SUMIF($C$7:$C$45,"Actual",U$7:U$45)</f>
        <v>6.6667</v>
      </c>
      <c r="V48" s="103" t="n">
        <f aca="false">SUMIF($C$7:$C$45,"Actual",V$7:V$45)</f>
        <v>6.6667</v>
      </c>
      <c r="W48" s="103" t="n">
        <f aca="false">SUMIF($C$7:$C$45,"Actual",W$7:W$45)</f>
        <v>32.5</v>
      </c>
      <c r="X48" s="103" t="n">
        <f aca="false">SUMIF($C$7:$C$45,"Actual",X$7:X$45)</f>
        <v>37.5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1.3333</v>
      </c>
      <c r="Q50" s="105" t="n">
        <f aca="false">IF(Q$6&gt;46314,"",P50+Q48)</f>
        <v>2.1666</v>
      </c>
      <c r="R50" s="105" t="n">
        <f aca="false">IF(R$6&gt;46314,"",Q50+R48)</f>
        <v>2.9999</v>
      </c>
      <c r="S50" s="105" t="n">
        <f aca="false">IF(S$6&gt;46314,"",R50+S48)</f>
        <v>2.9999</v>
      </c>
      <c r="T50" s="105" t="n">
        <f aca="false">IF(T$6&gt;46314,"",S50+T48)</f>
        <v>10.1666</v>
      </c>
      <c r="U50" s="105" t="n">
        <f aca="false">IF(U$6&gt;46314,"",T50+U48)</f>
        <v>16.8333</v>
      </c>
      <c r="V50" s="105" t="n">
        <f aca="false">IF(V$6&gt;46314,"",U50+V48)</f>
        <v>23.5</v>
      </c>
      <c r="W50" s="105" t="n">
        <f aca="false">IF(W$6&gt;46314,"",V50+W48)</f>
        <v>56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93.5</v>
      </c>
      <c r="AA50" s="105" t="n">
        <f aca="false">IF(AA$6&gt;46314,"",Z50+AA48)</f>
        <v>93.5</v>
      </c>
      <c r="AB50" s="105" t="n">
        <f aca="false">IF(AB$6&gt;46314,"",AA50+AB48)</f>
        <v>93.5</v>
      </c>
      <c r="AC50" s="105" t="n">
        <f aca="false">IF(AC$6&gt;46314,"",AB50+AC48)</f>
        <v>94.25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2026-10-26T04:43:40Z</dcterms:created>
  <dc:creator>openpyxl</dc:creator>
  <dc:description/>
  <dc:language>en-US</dc:language>
  <cp:lastModifiedBy/>
  <dcterms:modified xsi:type="dcterms:W3CDTF">2026-10-26T11:47:07Z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