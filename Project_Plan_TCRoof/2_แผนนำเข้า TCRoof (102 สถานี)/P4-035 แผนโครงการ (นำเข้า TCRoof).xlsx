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<sst xmlns="http://schemas.openxmlformats.org/spreadsheetml/2006/main" count="1295" uniqueCount="673">
  <si>
    <t xml:space="preserve">แผนโครงการ P4-035 – สถานีผลิตน้ำแม่ข่าย (หนองแสง) 410.40 kWp</t>
  </si>
  <si>
    <t xml:space="preserve">กปภ.สาขาศรีสะเกษ, ภาคอีสาน, กฟภ. เขต ฉ.2, Inverter 375 kW (ต้องยื่น พค.2), Zero export HV, คำขอ PPIM1A5083EC, วิศวกร น็อต, Admin เตย,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</si>
  <si>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</si>
  <si>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</si>
  <si>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</si>
  <si>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</si>
  <si>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</si>
  <si>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</si>
  <si>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</si>
  <si>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</si>
  <si>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</si>
  <si>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</si>
  <si>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</si>
  <si>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</si>
  <si>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</si>
  <si>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</si>
  <si>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</si>
  <si>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</si>
  <si>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</si>
  <si>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</si>
  <si>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</si>
  <si>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</si>
  <si>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</si>
  <si>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</si>
  <si>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</si>
  <si>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</si>
  <si>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</si>
  <si>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</si>
  <si>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</si>
  <si>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P4-035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</si>
  <si>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</si>
  <si>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</si>
  <si>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</si>
  <si>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</si>
  <si>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</si>
  <si>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</si>
  <si>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</si>
  <si>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</si>
  <si>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</si>
  <si>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</si>
  <si>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</si>
  <si>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</si>
  <si>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</si>
  <si>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</si>
  <si>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</si>
  <si>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</si>
  <si>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</si>
  <si>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</si>
  <si>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</si>
  <si>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</si>
  <si>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</si>
  <si>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</si>
  <si>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</si>
  <si>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</si>
  <si>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</si>
  <si>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</si>
  <si>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</si>
  <si>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</si>
  <si>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</si>
  <si>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</si>
  <si>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</si>
  <si>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</si>
  <si>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</si>
  <si>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</si>
  <si>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</si>
  <si>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</si>
  <si>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</si>
  <si>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</si>
  <si>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</si>
  <si>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</si>
  <si>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</si>
  <si>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</si>
  <si>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</si>
  <si>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</si>
  <si>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</si>
  <si>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</si>
  <si>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</si>
  <si>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</si>
  <si>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</si>
  <si>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</si>
  <si>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</si>
  <si>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</si>
  <si>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</si>
  <si>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</si>
  <si>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</si>
  <si>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</si>
  <si>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</si>
  <si>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WBS'!L6306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</si>
  <si>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</si>
  <si>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</si>
  <si>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</si>
  <si>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</si>
  <si>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WBS'!L6307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</si>
  <si>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</si>
  <si>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</si>
  <si>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</si>
  <si>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WBS'!L6308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</si>
  <si>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</si>
  <si>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</si>
  <si>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</si>
  <si>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WBS'!L6309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</si>
  <si>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</si>
  <si>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</si>
  <si>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</si>
  <si>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WBS'!L6310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</si>
  <si>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</si>
  <si>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</si>
  <si>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</si>
  <si>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WBS'!L6311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</si>
  <si>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</si>
  <si>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</si>
  <si>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TC-PML-2026-527,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</si>
  <si>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</si>
  <si>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</si>
  <si>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</si>
  <si>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</si>
  <si>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</si>
  <si>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</si>
  <si>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</si>
  <si>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</si>
  <si>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</si>
  <si>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</si>
  <si>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</si>
  <si>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WBS'!L6312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</si>
  <si>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</si>
  <si>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</si>
  <si>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</si>
  <si>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</si>
  <si>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WBS'!L6313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</si>
  <si>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</si>
  <si>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</si>
  <si>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</si>
  <si>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WBS'!L6314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</si>
  <si>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</si>
  <si>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</si>
  <si>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</si>
  <si>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</si>
  <si>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</si>
  <si>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</si>
  <si>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</si>
  <si>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</si>
  <si>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</si>
  <si>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</si>
  <si>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</si>
  <si>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WBS'!L6317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</si>
  <si>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</si>
  <si>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</si>
  <si>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</si>
  <si>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WBS'!L6318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</si>
  <si>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</si>
  <si>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</si>
  <si>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</si>
  <si>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WBS'!L6319</t>
    </r>
  </si>
  <si>
    <t xml:space="preserve">0.3</t>
  </si>
  <si>
    <t xml:space="preserve">หนังสือแจ้งขอดับไฟ</t>
  </si>
  <si>
    <t xml:space="preserve">TC-PML-2026-591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</si>
  <si>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</si>
  <si>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</si>
  <si>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</si>
  <si>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</si>
  <si>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</si>
  <si>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</si>
  <si>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</si>
  <si>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WBS'!L6320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</si>
  <si>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</si>
  <si>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</si>
  <si>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</si>
  <si>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WBS'!L6321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</si>
  <si>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</si>
  <si>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</si>
  <si>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</si>
  <si>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WBS'!L6322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</si>
  <si>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</si>
  <si>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</si>
  <si>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</si>
  <si>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</si>
  <si>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</si>
  <si>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</si>
  <si>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</si>
  <si>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</si>
  <si>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</si>
  <si>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WBS'!L6323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</si>
  <si>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</si>
  <si>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</si>
  <si>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</si>
  <si>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WBS'!L6324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</si>
  <si>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</si>
  <si>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</si>
  <si>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</si>
  <si>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WBS'!L6325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</si>
  <si>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</si>
  <si>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</si>
  <si>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</si>
  <si>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</si>
  <si>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</si>
  <si>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</si>
  <si>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</si>
  <si>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WBS'!L6326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</si>
  <si>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</si>
  <si>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</si>
  <si>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</si>
  <si>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WBS'!L6327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</si>
  <si>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</si>
  <si>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</si>
  <si>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</si>
  <si>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WBS'!L6328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</si>
  <si>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</si>
  <si>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</si>
  <si>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</si>
  <si>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WBS'!L6329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</si>
  <si>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</si>
  <si>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</si>
  <si>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</si>
  <si>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</si>
  <si>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</si>
  <si>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</si>
  <si>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</si>
  <si>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WBS'!L6330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</si>
  <si>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</si>
  <si>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</si>
  <si>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</si>
  <si>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WBS'!L6331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</si>
  <si>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</si>
  <si>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</si>
  <si>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</si>
  <si>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WBS'!L6332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</si>
  <si>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</si>
  <si>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</si>
  <si>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</si>
  <si>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</si>
  <si>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</si>
  <si>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</si>
  <si>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</si>
  <si>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</si>
  <si>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WBS'!L6333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</si>
  <si>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</si>
  <si>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</si>
  <si>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</si>
  <si>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WBS'!L6334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</si>
  <si>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</si>
  <si>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</si>
  <si>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</si>
  <si>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WBS'!L6335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</si>
  <si>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</si>
  <si>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</si>
  <si>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</si>
  <si>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</si>
  <si>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</si>
  <si>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</si>
  <si>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</si>
  <si>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</si>
  <si>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WBS'!L6336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</si>
  <si>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</si>
  <si>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</si>
  <si>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</si>
  <si>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WBS'!L6337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</si>
  <si>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</si>
  <si>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</si>
  <si>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</si>
  <si>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</si>
  <si>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</si>
  <si>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</si>
  <si>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WBS'!L6338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</si>
  <si>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</si>
  <si>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</si>
  <si>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</si>
  <si>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</si>
  <si>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</si>
  <si>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</si>
  <si>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</si>
  <si>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</si>
  <si>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WBS'!L6339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</si>
  <si>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</si>
  <si>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</si>
  <si>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</si>
  <si>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WBS'!L6340</t>
    </r>
  </si>
  <si>
    <t xml:space="preserve">1.7.1</t>
  </si>
  <si>
    <t xml:space="preserve">คำขอขนานไฟ PPIM (ชุด 11 ไฟล์)</t>
  </si>
  <si>
    <t xml:space="preserve">PPIM1A5083EC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</si>
  <si>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</si>
  <si>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</si>
  <si>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</si>
  <si>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</si>
  <si>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</si>
  <si>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</si>
  <si>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</si>
  <si>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</si>
  <si>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</si>
  <si>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</si>
  <si>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</si>
  <si>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</si>
  <si>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</si>
  <si>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</si>
  <si>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</si>
  <si>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</si>
  <si>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</si>
  <si>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</si>
  <si>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</si>
  <si>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</si>
  <si>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</si>
  <si>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</si>
  <si>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(18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</si>
  <si>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</si>
  <si>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</si>
  <si>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</si>
  <si>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</si>
  <si>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</si>
  <si>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</si>
  <si>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</si>
  <si>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</si>
  <si>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</si>
  <si>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</si>
  <si>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</si>
  <si>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</si>
  <si>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</si>
  <si>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</si>
  <si>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</si>
  <si>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</si>
  <si>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</si>
  <si>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</si>
  <si>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</si>
  <si>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</si>
  <si>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</si>
  <si>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</si>
  <si>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</si>
  <si>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</si>
  <si>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</si>
  <si>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</si>
  <si>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</si>
  <si>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</si>
  <si>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</si>
  <si>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</si>
  <si>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</si>
  <si>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</si>
  <si>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</si>
  <si>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</si>
  <si>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</si>
  <si>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</si>
  <si>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</si>
  <si>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</si>
  <si>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</si>
  <si>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</si>
  <si>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</si>
  <si>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WBS'!L6349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</si>
  <si>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</si>
  <si>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</si>
  <si>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</si>
  <si>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</si>
  <si>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</si>
  <si>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</si>
  <si>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</si>
  <si>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</si>
  <si>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</si>
  <si>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</si>
  <si>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</si>
  <si>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</si>
  <si>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</si>
  <si>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</si>
  <si>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</si>
  <si>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</si>
  <si>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</si>
  <si>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</si>
  <si>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</si>
  <si>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</si>
  <si>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</si>
  <si>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</si>
  <si>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</si>
  <si>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</si>
  <si>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</si>
  <si>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</si>
  <si>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</si>
  <si>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</si>
  <si>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</si>
  <si>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</si>
  <si>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</si>
  <si>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</si>
  <si>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</si>
  <si>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</si>
  <si>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</si>
  <si>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</si>
  <si>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</si>
  <si>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</si>
  <si>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</si>
  <si>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</si>
  <si>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</si>
  <si>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</si>
  <si>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</si>
  <si>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</si>
  <si>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</si>
  <si>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</si>
  <si>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</si>
  <si>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WBS'!L6359</t>
    </r>
  </si>
  <si>
    <t xml:space="preserve">2.5</t>
  </si>
  <si>
    <t xml:space="preserve">ติดตั้ง Inverter</t>
  </si>
  <si>
    <t xml:space="preserve">Inverter 375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</si>
  <si>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</si>
  <si>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</si>
  <si>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</si>
  <si>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</si>
  <si>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</si>
  <si>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</si>
  <si>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</si>
  <si>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</si>
  <si>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</si>
  <si>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</si>
  <si>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</si>
  <si>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</si>
  <si>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</si>
  <si>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</si>
  <si>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</si>
  <si>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</si>
  <si>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WBS'!L6363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</si>
  <si>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</si>
  <si>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</si>
  <si>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</si>
  <si>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</si>
  <si>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</si>
  <si>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</si>
  <si>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</si>
  <si>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</si>
  <si>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</si>
  <si>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</si>
  <si>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</si>
  <si>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</si>
  <si>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</si>
  <si>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</si>
  <si>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</si>
  <si>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</si>
  <si>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</si>
  <si>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</si>
  <si>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</si>
  <si>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</si>
  <si>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</si>
  <si>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</si>
  <si>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</si>
  <si>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</si>
  <si>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</si>
  <si>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</si>
  <si>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</si>
  <si>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</si>
  <si>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</si>
  <si>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</si>
  <si>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WBS'!L6369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</si>
  <si>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</si>
  <si>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</si>
  <si>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</si>
  <si>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</si>
  <si>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</si>
  <si>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</si>
  <si>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</si>
  <si>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WBS'!L6371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</si>
  <si>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</si>
  <si>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</si>
  <si>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</si>
  <si>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</si>
  <si>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</si>
  <si>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</si>
  <si>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</si>
  <si>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</si>
  <si>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</si>
  <si>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</si>
  <si>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WBS'!L6372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</si>
  <si>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</si>
  <si>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</si>
  <si>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</si>
  <si>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</si>
  <si>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</si>
  <si>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</si>
  <si>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</si>
  <si>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</si>
  <si>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</si>
  <si>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</si>
  <si>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</si>
  <si>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</si>
  <si>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</si>
  <si>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</si>
  <si>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</si>
  <si>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</si>
  <si>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</si>
  <si>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</si>
  <si>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</si>
  <si>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</si>
  <si>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</si>
  <si>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</si>
  <si>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</si>
  <si>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</si>
  <si>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</si>
  <si>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</si>
  <si>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</si>
  <si>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</si>
  <si>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</si>
  <si>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</si>
  <si>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</si>
  <si>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WBS'!L6378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</si>
  <si>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</si>
  <si>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</si>
  <si>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10/9/69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</si>
  <si>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</si>
  <si>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</si>
  <si>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</si>
  <si>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</si>
  <si>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</si>
  <si>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WBS'!L6379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</si>
  <si>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</si>
  <si>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</si>
  <si>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</si>
  <si>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</si>
  <si>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</si>
  <si>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</si>
  <si>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</si>
  <si>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</si>
  <si>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</si>
  <si>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</si>
  <si>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</si>
  <si>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</si>
  <si>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</si>
  <si>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</si>
  <si>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</si>
  <si>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</si>
  <si>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</si>
  <si>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</si>
  <si>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</si>
  <si>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</si>
  <si>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</si>
  <si>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</si>
  <si>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</si>
  <si>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</si>
  <si>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</si>
  <si>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</si>
  <si>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</si>
  <si>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</si>
  <si>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</si>
  <si>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</si>
  <si>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</si>
  <si>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</si>
  <si>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</si>
  <si>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</si>
  <si>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</si>
  <si>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</si>
  <si>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</si>
  <si>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</si>
  <si>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</si>
  <si>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</si>
  <si>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</si>
  <si>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</si>
  <si>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</si>
  <si>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</si>
  <si>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</si>
  <si>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</si>
  <si>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</si>
  <si>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</si>
  <si>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</si>
  <si>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</si>
  <si>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</si>
  <si>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</si>
  <si>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</si>
  <si>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</si>
  <si>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</si>
  <si>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</si>
  <si>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</si>
  <si>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</si>
  <si>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WBS'!L6389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</si>
  <si>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</si>
  <si>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</si>
  <si>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</si>
  <si>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</si>
  <si>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</si>
  <si>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</si>
  <si>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</si>
  <si>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</si>
  <si>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</si>
  <si>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</si>
  <si>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</si>
  <si>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</si>
  <si>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</si>
  <si>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</si>
  <si>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</si>
  <si>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</si>
  <si>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</si>
  <si>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</si>
  <si>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</si>
  <si>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</si>
  <si>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</si>
  <si>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</si>
  <si>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</si>
  <si>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</si>
  <si>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</si>
  <si>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</si>
  <si>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</si>
  <si>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</si>
  <si>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</si>
  <si>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</si>
  <si>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</si>
  <si>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</si>
  <si>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</si>
  <si>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</si>
  <si>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</si>
  <si>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</si>
  <si>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</si>
  <si>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</si>
  <si>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</si>
  <si>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</si>
  <si>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</si>
  <si>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</si>
  <si>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</si>
  <si>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</si>
  <si>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</si>
  <si>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</si>
  <si>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</si>
  <si>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</si>
  <si>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</si>
  <si>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</si>
  <si>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</si>
  <si>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</si>
  <si>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</si>
  <si>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</si>
  <si>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</si>
  <si>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</si>
  <si>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สถานีผลิตน้ำแม่ข่าย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หนองแสง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การประปาส่วนภูมิภาคสาขาศรีสะเกษ ขนาดกำลังผลิต </t>
    </r>
    <r>
      <rPr>
        <sz val="10"/>
        <rFont val="Tahoma"/>
        <family val="0"/>
        <charset val="1"/>
      </rPr>
      <t xml:space="preserve">410.40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</si>
  <si>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</si>
  <si>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</si>
  <si>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</si>
  <si>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P4-035,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</si>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</sst>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1.1666</c:v>
                </c:pt>
                <c:pt idx="8">
                  <c:v>4.6903</c:v>
                </c:pt>
                <c:pt idx="9">
                  <c:v>8.214</c:v>
                </c:pt>
                <c:pt idx="10">
                  <c:v>11.0711</c:v>
                </c:pt>
                <c:pt idx="11">
                  <c:v>14.4282</c:v>
                </c:pt>
                <c:pt idx="12">
                  <c:v>17.2853</c:v>
                </c:pt>
                <c:pt idx="13">
                  <c:v>26.8091</c:v>
                </c:pt>
                <c:pt idx="14">
                  <c:v>50.0829</c:v>
                </c:pt>
                <c:pt idx="15">
                  <c:v>92.9996</c:v>
                </c:pt>
                <c:pt idx="16">
                  <c:v>92.9996</c:v>
                </c:pt>
                <c:pt idx="17">
                  <c:v>92.9996</c:v>
                </c:pt>
                <c:pt idx="18">
                  <c:v>93.9996</c:v>
                </c:pt>
                <c:pt idx="19">
                  <c:v>93.9996</c:v>
                </c:pt>
                <c:pt idx="20">
                  <c:v>93.9996</c:v>
                </c:pt>
                <c:pt idx="21">
                  <c:v>94.4996</c:v>
                </c:pt>
                <c:pt idx="22">
                  <c:v>94.9996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043930"/>
        <c:axId val="31085307"/>
      </c:lineChart>
      <c:catAx>
        <c:axId val="4304393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85307"/>
        <c:crosses val="autoZero"/>
        <c:auto val="1"/>
        <c:lblAlgn val="ctr"/>
        <c:lblOffset val="100"/>
        <c:noMultiLvlLbl val="0"/>
      </c:catAx>
      <c:valAx>
        <c:axId val="31085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439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46393</v>
      </c>
      <c r="G4" s="10"/>
      <c r="H4" s="10"/>
      <c r="J4" s="11" t="n">
        <v>0.95</v>
      </c>
      <c r="K4" s="11"/>
      <c r="L4" s="12" t="n">
        <v>33</v>
      </c>
      <c r="M4" s="12"/>
      <c r="N4" s="12" t="n">
        <v>77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46412</v>
      </c>
      <c r="P8" s="34" t="s">
        <v>75</v>
      </c>
      <c r="Q8" s="31" t="n">
        <v>79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46412</v>
      </c>
      <c r="P9" s="46" t="s">
        <v>75</v>
      </c>
      <c r="Q9" s="37" t="n">
        <v>79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46228</v>
      </c>
      <c r="P10" s="50" t="s">
        <v>75</v>
      </c>
      <c r="Q10" s="52" t="n">
        <v>8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46228</v>
      </c>
      <c r="P11" s="50" t="s">
        <v>75</v>
      </c>
      <c r="Q11" s="52" t="n">
        <v>8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46228</v>
      </c>
      <c r="P12" s="50" t="s">
        <v>75</v>
      </c>
      <c r="Q12" s="52" t="n">
        <v>8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46239</v>
      </c>
      <c r="P13" s="50" t="s">
        <v>75</v>
      </c>
      <c r="Q13" s="52" t="n">
        <v>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46228</v>
      </c>
      <c r="O14" s="55" t="n">
        <v>46412</v>
      </c>
      <c r="P14" s="50" t="s">
        <v>75</v>
      </c>
      <c r="Q14" s="52" t="n">
        <v>79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46228</v>
      </c>
      <c r="O15" s="55" t="n">
        <v>46412</v>
      </c>
      <c r="P15" s="50" t="s">
        <v>75</v>
      </c>
      <c r="Q15" s="52" t="n">
        <v>79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148</v>
      </c>
      <c r="N23" s="55" t="n">
        <v>46234</v>
      </c>
      <c r="O23" s="55" t="n">
        <v>46238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152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46265</v>
      </c>
      <c r="M25" s="43"/>
      <c r="N25" s="44" t="n">
        <v>46265</v>
      </c>
      <c r="O25" s="45" t="n">
        <v>46265</v>
      </c>
      <c r="P25" s="46" t="s">
        <v>60</v>
      </c>
      <c r="Q25" s="37" t="n">
        <v>33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163</v>
      </c>
      <c r="N26" s="55" t="n">
        <v>46265</v>
      </c>
      <c r="O26" s="55" t="n">
        <v>46265</v>
      </c>
      <c r="P26" s="50" t="s">
        <v>124</v>
      </c>
      <c r="Q26" s="52" t="n">
        <v>33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167</v>
      </c>
      <c r="N27" s="55" t="n">
        <v>46265</v>
      </c>
      <c r="O27" s="55" t="n">
        <v>46265</v>
      </c>
      <c r="P27" s="50" t="s">
        <v>124</v>
      </c>
      <c r="Q27" s="52" t="n">
        <v>33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171</v>
      </c>
      <c r="N28" s="55" t="n">
        <v>46265</v>
      </c>
      <c r="O28" s="55" t="n">
        <v>46265</v>
      </c>
      <c r="P28" s="50" t="s">
        <v>124</v>
      </c>
      <c r="Q28" s="52" t="n">
        <v>33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46393</v>
      </c>
      <c r="P29" s="34" t="s">
        <v>75</v>
      </c>
      <c r="Q29" s="31" t="n">
        <v>77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46238</v>
      </c>
      <c r="O39" s="45" t="n">
        <v>46238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46238</v>
      </c>
      <c r="O40" s="55" t="n">
        <v>46238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46238</v>
      </c>
      <c r="O41" s="55" t="n">
        <v>46238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46238</v>
      </c>
      <c r="O42" s="55" t="n">
        <v>46238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234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238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242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46290</v>
      </c>
      <c r="M47" s="43"/>
      <c r="N47" s="44" t="n">
        <v>46290</v>
      </c>
      <c r="O47" s="45" t="n">
        <v>46290</v>
      </c>
      <c r="P47" s="46" t="s">
        <v>60</v>
      </c>
      <c r="Q47" s="37" t="n">
        <v>19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251</v>
      </c>
      <c r="N48" s="55" t="n">
        <v>46290</v>
      </c>
      <c r="O48" s="55" t="n">
        <v>46290</v>
      </c>
      <c r="P48" s="50" t="s">
        <v>124</v>
      </c>
      <c r="Q48" s="52" t="n">
        <v>19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255</v>
      </c>
      <c r="N49" s="55" t="n">
        <v>46290</v>
      </c>
      <c r="O49" s="55" t="n">
        <v>46290</v>
      </c>
      <c r="P49" s="50" t="s">
        <v>124</v>
      </c>
      <c r="Q49" s="52" t="n">
        <v>19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262</v>
      </c>
      <c r="N51" s="55" t="n">
        <v>46290</v>
      </c>
      <c r="O51" s="55" t="n">
        <v>46290</v>
      </c>
      <c r="P51" s="50" t="s">
        <v>124</v>
      </c>
      <c r="Q51" s="52" t="n">
        <v>19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46311</v>
      </c>
      <c r="M55" s="43"/>
      <c r="N55" s="44" t="n">
        <v>46311</v>
      </c>
      <c r="O55" s="45" t="n">
        <v>46311</v>
      </c>
      <c r="P55" s="46" t="s">
        <v>60</v>
      </c>
      <c r="Q55" s="37" t="n">
        <v>40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46272</v>
      </c>
      <c r="J57" s="41" t="n">
        <v>46292</v>
      </c>
      <c r="K57" s="42" t="n">
        <v>46311</v>
      </c>
      <c r="L57" s="42"/>
      <c r="M57" s="43"/>
      <c r="N57" s="44" t="n">
        <v>46311</v>
      </c>
      <c r="O57" s="45" t="n">
        <v>46335</v>
      </c>
      <c r="P57" s="46" t="s">
        <v>75</v>
      </c>
      <c r="Q57" s="37" t="n">
        <v>43</v>
      </c>
      <c r="R57" s="39"/>
      <c r="S57" s="39" t="n">
        <v>1</v>
      </c>
      <c r="T57" s="39" t="s">
        <v>76</v>
      </c>
      <c r="U57" s="58" t="n">
        <v>46311.0057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46336</v>
      </c>
      <c r="O58" s="45" t="n">
        <v>46342</v>
      </c>
      <c r="P58" s="46" t="s">
        <v>287</v>
      </c>
      <c r="Q58" s="37" t="n">
        <v>43</v>
      </c>
      <c r="R58" s="39"/>
      <c r="S58" s="39" t="n">
        <v>1</v>
      </c>
      <c r="T58" s="39" t="s">
        <v>288</v>
      </c>
      <c r="U58" s="58" t="n">
        <v>46336.0058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46345</v>
      </c>
      <c r="O59" s="45" t="n">
        <v>46345</v>
      </c>
      <c r="P59" s="46" t="s">
        <v>287</v>
      </c>
      <c r="Q59" s="37" t="n">
        <v>45</v>
      </c>
      <c r="R59" s="39"/>
      <c r="S59" s="39" t="n">
        <v>1</v>
      </c>
      <c r="T59" s="39" t="s">
        <v>288</v>
      </c>
      <c r="U59" s="58" t="n">
        <v>46345.0059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46352</v>
      </c>
      <c r="O60" s="60" t="n">
        <v>46393</v>
      </c>
      <c r="P60" s="46" t="s">
        <v>287</v>
      </c>
      <c r="Q60" s="37" t="n">
        <v>77</v>
      </c>
      <c r="R60" s="39"/>
      <c r="S60" s="39" t="n">
        <v>1</v>
      </c>
      <c r="T60" s="39" t="s">
        <v>288</v>
      </c>
      <c r="U60" s="58" t="n">
        <v>46352.006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46218</v>
      </c>
      <c r="O61" s="33" t="n">
        <v>46276</v>
      </c>
      <c r="P61" s="34" t="s">
        <v>60</v>
      </c>
      <c r="Q61" s="31" t="n">
        <v>6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41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46218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307</v>
      </c>
      <c r="N63" s="55" t="n">
        <v>46218</v>
      </c>
      <c r="O63" s="55" t="n">
        <v>46222</v>
      </c>
      <c r="P63" s="50" t="s">
        <v>124</v>
      </c>
      <c r="Q63" s="52" t="n">
        <v>-21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311</v>
      </c>
      <c r="N64" s="55" t="n">
        <v>46218</v>
      </c>
      <c r="O64" s="55" t="n">
        <v>46226</v>
      </c>
      <c r="P64" s="50" t="s">
        <v>124</v>
      </c>
      <c r="Q64" s="52" t="n">
        <v>-18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315</v>
      </c>
      <c r="N65" s="55" t="n">
        <v>46222</v>
      </c>
      <c r="O65" s="55" t="n">
        <v>46238</v>
      </c>
      <c r="P65" s="50" t="s">
        <v>124</v>
      </c>
      <c r="Q65" s="52" t="n">
        <v>-11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319</v>
      </c>
      <c r="N66" s="55" t="n">
        <v>46234</v>
      </c>
      <c r="O66" s="55" t="n">
        <v>46252</v>
      </c>
      <c r="P66" s="50" t="s">
        <v>124</v>
      </c>
      <c r="Q66" s="52" t="n">
        <v>-3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323</v>
      </c>
      <c r="N67" s="55" t="n">
        <v>46242</v>
      </c>
      <c r="O67" s="55" t="n">
        <v>46256</v>
      </c>
      <c r="P67" s="50" t="s">
        <v>124</v>
      </c>
      <c r="Q67" s="52" t="n">
        <v>-1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327</v>
      </c>
      <c r="N68" s="55" t="n">
        <v>46250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331</v>
      </c>
      <c r="N69" s="55" t="n">
        <v>46256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339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343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347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351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355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16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46253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363</v>
      </c>
      <c r="N77" s="55" t="n">
        <v>46253</v>
      </c>
      <c r="O77" s="55" t="n">
        <v>46258</v>
      </c>
      <c r="P77" s="50" t="s">
        <v>124</v>
      </c>
      <c r="Q77" s="52" t="n">
        <v>-4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367</v>
      </c>
      <c r="N78" s="55" t="n">
        <v>46255</v>
      </c>
      <c r="O78" s="55" t="n">
        <v>46266</v>
      </c>
      <c r="P78" s="50" t="s">
        <v>124</v>
      </c>
      <c r="Q78" s="52" t="n">
        <v>-1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371</v>
      </c>
      <c r="N79" s="55" t="n">
        <v>46259</v>
      </c>
      <c r="O79" s="55" t="n">
        <v>46267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375</v>
      </c>
      <c r="N80" s="55" t="n">
        <v>46265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379</v>
      </c>
      <c r="N81" s="55" t="n">
        <v>46267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387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391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399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403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407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411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419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423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427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431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435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442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446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450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46266</v>
      </c>
      <c r="O101" s="55" t="n">
        <v>46266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461</v>
      </c>
      <c r="N102" s="55" t="n">
        <v>46266</v>
      </c>
      <c r="O102" s="55" t="n">
        <v>46267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465</v>
      </c>
      <c r="Q103" s="52"/>
      <c r="R103" s="52"/>
      <c r="S103" s="52" t="n">
        <v>2</v>
      </c>
      <c r="T103" s="52" t="s">
        <v>466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467</v>
      </c>
      <c r="B104" s="50" t="s">
        <v>468</v>
      </c>
      <c r="C104" s="50" t="s">
        <v>469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470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471</v>
      </c>
      <c r="B105" s="50" t="s">
        <v>472</v>
      </c>
      <c r="C105" s="50" t="s">
        <v>473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474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475</v>
      </c>
      <c r="B106" s="52" t="s">
        <v>476</v>
      </c>
      <c r="C106" s="50" t="s">
        <v>477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478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479</v>
      </c>
      <c r="B107" s="39" t="s">
        <v>480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481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482</v>
      </c>
      <c r="B108" s="52" t="s">
        <v>483</v>
      </c>
      <c r="C108" s="52" t="s">
        <v>484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485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486</v>
      </c>
      <c r="B109" s="50" t="s">
        <v>487</v>
      </c>
      <c r="C109" s="50" t="s">
        <v>488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489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490</v>
      </c>
      <c r="B110" s="52" t="s">
        <v>491</v>
      </c>
      <c r="C110" s="50" t="s">
        <v>492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493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494</v>
      </c>
      <c r="B111" s="39" t="s">
        <v>495</v>
      </c>
      <c r="C111" s="39" t="s">
        <v>496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46276</v>
      </c>
      <c r="M111" s="43"/>
      <c r="N111" s="44" t="n">
        <v>46276</v>
      </c>
      <c r="O111" s="45" t="n">
        <v>46276</v>
      </c>
      <c r="P111" s="46" t="s">
        <v>60</v>
      </c>
      <c r="Q111" s="37" t="n">
        <v>6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502</v>
      </c>
      <c r="N112" s="55" t="n">
        <v>46276</v>
      </c>
      <c r="O112" s="55" t="n">
        <v>46276</v>
      </c>
      <c r="P112" s="50" t="s">
        <v>124</v>
      </c>
      <c r="Q112" s="52" t="n">
        <v>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506</v>
      </c>
      <c r="N113" s="55" t="n">
        <v>46276</v>
      </c>
      <c r="O113" s="55" t="n">
        <v>46276</v>
      </c>
      <c r="P113" s="50" t="s">
        <v>124</v>
      </c>
      <c r="Q113" s="52" t="n">
        <v>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46412</v>
      </c>
      <c r="P114" s="34" t="s">
        <v>75</v>
      </c>
      <c r="Q114" s="31" t="n">
        <v>79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46316</v>
      </c>
      <c r="M115" s="43"/>
      <c r="N115" s="44" t="n">
        <v>46316</v>
      </c>
      <c r="O115" s="45" t="n">
        <v>46316</v>
      </c>
      <c r="P115" s="46" t="s">
        <v>511</v>
      </c>
      <c r="Q115" s="37" t="n">
        <v>43</v>
      </c>
      <c r="R115" s="39"/>
      <c r="S115" s="39" t="n">
        <v>1</v>
      </c>
      <c r="T115" s="39" t="s">
        <v>512</v>
      </c>
      <c r="U115" s="58" t="n">
        <v>46316.0115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518</v>
      </c>
      <c r="N116" s="55" t="n">
        <v>46316</v>
      </c>
      <c r="O116" s="55" t="n">
        <v>46316</v>
      </c>
      <c r="P116" s="50" t="s">
        <v>287</v>
      </c>
      <c r="Q116" s="52" t="n">
        <v>45</v>
      </c>
      <c r="R116" s="52"/>
      <c r="S116" s="52" t="n">
        <v>2</v>
      </c>
      <c r="T116" s="52" t="s">
        <v>288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522</v>
      </c>
      <c r="N117" s="55" t="n">
        <v>46316</v>
      </c>
      <c r="O117" s="55" t="n">
        <v>46316</v>
      </c>
      <c r="P117" s="50" t="s">
        <v>287</v>
      </c>
      <c r="Q117" s="52" t="n">
        <v>44</v>
      </c>
      <c r="R117" s="52"/>
      <c r="S117" s="52" t="n">
        <v>2</v>
      </c>
      <c r="T117" s="52" t="s">
        <v>288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526</v>
      </c>
      <c r="N118" s="55" t="n">
        <v>46316</v>
      </c>
      <c r="O118" s="55" t="n">
        <v>46316</v>
      </c>
      <c r="P118" s="50" t="s">
        <v>287</v>
      </c>
      <c r="Q118" s="52" t="n">
        <v>44</v>
      </c>
      <c r="R118" s="52"/>
      <c r="S118" s="52" t="n">
        <v>2</v>
      </c>
      <c r="T118" s="52" t="s">
        <v>288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530</v>
      </c>
      <c r="N119" s="55" t="n">
        <v>46316</v>
      </c>
      <c r="O119" s="55" t="n">
        <v>46316</v>
      </c>
      <c r="P119" s="50" t="s">
        <v>287</v>
      </c>
      <c r="Q119" s="52" t="n">
        <v>44</v>
      </c>
      <c r="R119" s="52"/>
      <c r="S119" s="52" t="n">
        <v>2</v>
      </c>
      <c r="T119" s="52" t="s">
        <v>288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534</v>
      </c>
      <c r="N120" s="55" t="n">
        <v>46316</v>
      </c>
      <c r="O120" s="55" t="n">
        <v>46316</v>
      </c>
      <c r="P120" s="50" t="s">
        <v>287</v>
      </c>
      <c r="Q120" s="52" t="n">
        <v>43</v>
      </c>
      <c r="R120" s="52"/>
      <c r="S120" s="52" t="n">
        <v>2</v>
      </c>
      <c r="T120" s="52" t="s">
        <v>288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538</v>
      </c>
      <c r="N121" s="55" t="n">
        <v>46316</v>
      </c>
      <c r="O121" s="55" t="n">
        <v>46316</v>
      </c>
      <c r="P121" s="50" t="s">
        <v>287</v>
      </c>
      <c r="Q121" s="52" t="n">
        <v>43</v>
      </c>
      <c r="R121" s="52"/>
      <c r="S121" s="52" t="n">
        <v>2</v>
      </c>
      <c r="T121" s="52" t="s">
        <v>288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46342</v>
      </c>
      <c r="O122" s="45" t="n">
        <v>46342</v>
      </c>
      <c r="P122" s="46" t="s">
        <v>287</v>
      </c>
      <c r="Q122" s="37" t="n">
        <v>69</v>
      </c>
      <c r="R122" s="39"/>
      <c r="S122" s="39" t="n">
        <v>1</v>
      </c>
      <c r="T122" s="39" t="s">
        <v>288</v>
      </c>
      <c r="U122" s="58" t="n">
        <v>46342.0122</v>
      </c>
      <c r="V122" s="47" t="n">
        <v>0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494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46399</v>
      </c>
      <c r="O124" s="45" t="n">
        <v>46412</v>
      </c>
      <c r="P124" s="46" t="s">
        <v>287</v>
      </c>
      <c r="Q124" s="37" t="n">
        <v>79</v>
      </c>
      <c r="R124" s="39"/>
      <c r="S124" s="39" t="n">
        <v>1</v>
      </c>
      <c r="T124" s="39" t="s">
        <v>288</v>
      </c>
      <c r="U124" s="58" t="n">
        <v>46399.0124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553</v>
      </c>
      <c r="N125" s="55" t="n">
        <v>46399</v>
      </c>
      <c r="O125" s="55" t="n">
        <v>46403</v>
      </c>
      <c r="P125" s="50" t="s">
        <v>287</v>
      </c>
      <c r="Q125" s="52" t="n">
        <v>79</v>
      </c>
      <c r="R125" s="52"/>
      <c r="S125" s="52" t="n">
        <v>2</v>
      </c>
      <c r="T125" s="52" t="s">
        <v>288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557</v>
      </c>
      <c r="N126" s="55" t="n">
        <v>46402</v>
      </c>
      <c r="O126" s="55" t="n">
        <v>46409</v>
      </c>
      <c r="P126" s="50" t="s">
        <v>287</v>
      </c>
      <c r="Q126" s="52" t="n">
        <v>79</v>
      </c>
      <c r="R126" s="52"/>
      <c r="S126" s="52" t="n">
        <v>2</v>
      </c>
      <c r="T126" s="52" t="s">
        <v>288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561</v>
      </c>
      <c r="N127" s="55" t="n">
        <v>46409</v>
      </c>
      <c r="O127" s="55" t="n">
        <v>46412</v>
      </c>
      <c r="P127" s="50" t="s">
        <v>287</v>
      </c>
      <c r="Q127" s="52" t="n">
        <v>79</v>
      </c>
      <c r="R127" s="52"/>
      <c r="S127" s="52" t="n">
        <v>2</v>
      </c>
      <c r="T127" s="52" t="s">
        <v>288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46316</v>
      </c>
      <c r="M128" s="43"/>
      <c r="N128" s="44" t="n">
        <v>46316</v>
      </c>
      <c r="O128" s="45" t="n">
        <v>46316</v>
      </c>
      <c r="P128" s="46" t="s">
        <v>511</v>
      </c>
      <c r="Q128" s="37" t="n">
        <v>33</v>
      </c>
      <c r="R128" s="39"/>
      <c r="S128" s="39" t="n">
        <v>1</v>
      </c>
      <c r="T128" s="39" t="s">
        <v>512</v>
      </c>
      <c r="U128" s="58" t="n">
        <v>46316.0128</v>
      </c>
      <c r="V128" s="47" t="n">
        <v>0</v>
      </c>
      <c r="W128" s="39" t="s">
        <v>86</v>
      </c>
      <c r="X128" s="39"/>
      <c r="Y128" s="38" t="s">
        <v>564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565</v>
      </c>
      <c r="B129" s="38" t="s">
        <v>566</v>
      </c>
      <c r="C129" s="39"/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46317</v>
      </c>
      <c r="O129" s="45" t="n">
        <v>46317</v>
      </c>
      <c r="P129" s="46" t="s">
        <v>287</v>
      </c>
      <c r="Q129" s="37" t="n">
        <v>34</v>
      </c>
      <c r="R129" s="39"/>
      <c r="S129" s="39" t="n">
        <v>1</v>
      </c>
      <c r="T129" s="39" t="s">
        <v>288</v>
      </c>
      <c r="U129" s="58" t="n">
        <v>46317.0129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567</v>
      </c>
      <c r="B130" s="38" t="s">
        <v>568</v>
      </c>
      <c r="C130" s="39"/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46317</v>
      </c>
      <c r="O130" s="45" t="n">
        <v>46321</v>
      </c>
      <c r="P130" s="46" t="s">
        <v>287</v>
      </c>
      <c r="Q130" s="37" t="n">
        <v>38</v>
      </c>
      <c r="R130" s="39"/>
      <c r="S130" s="39" t="n">
        <v>1</v>
      </c>
      <c r="T130" s="39" t="s">
        <v>288</v>
      </c>
      <c r="U130" s="58" t="n">
        <v>46317.013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569</v>
      </c>
      <c r="B131" s="39" t="s">
        <v>570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46394</v>
      </c>
      <c r="O131" s="45" t="n">
        <v>46398</v>
      </c>
      <c r="P131" s="46" t="s">
        <v>287</v>
      </c>
      <c r="Q131" s="37" t="n">
        <v>79</v>
      </c>
      <c r="R131" s="39"/>
      <c r="S131" s="39" t="n">
        <v>1</v>
      </c>
      <c r="T131" s="39" t="s">
        <v>288</v>
      </c>
      <c r="U131" s="58" t="n">
        <v>46394.0131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571</v>
      </c>
      <c r="D134" s="6" t="s">
        <v>572</v>
      </c>
    </row>
    <row r="135" customFormat="false" ht="15" hidden="false" customHeight="true" outlineLevel="0" collapsed="false">
      <c r="B135" s="63" t="s">
        <v>573</v>
      </c>
      <c r="D135" s="63" t="s">
        <v>574</v>
      </c>
      <c r="E135" s="63" t="s">
        <v>575</v>
      </c>
      <c r="I135" s="64" t="s">
        <v>576</v>
      </c>
      <c r="J135" s="64" t="s">
        <v>577</v>
      </c>
      <c r="K135" s="64" t="s">
        <v>578</v>
      </c>
      <c r="L135" s="64" t="s">
        <v>579</v>
      </c>
      <c r="O135" s="63" t="s">
        <v>580</v>
      </c>
      <c r="P135" s="63" t="s">
        <v>581</v>
      </c>
    </row>
    <row r="136" customFormat="false" ht="15" hidden="false" customHeight="true" outlineLevel="0" collapsed="false">
      <c r="B136" s="65" t="s">
        <v>582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583</v>
      </c>
    </row>
    <row r="137" customFormat="false" ht="15" hidden="false" customHeight="true" outlineLevel="0" collapsed="false">
      <c r="B137" s="65" t="s">
        <v>584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585</v>
      </c>
    </row>
    <row r="138" customFormat="false" ht="15" hidden="false" customHeight="true" outlineLevel="0" collapsed="false">
      <c r="B138" s="65" t="s">
        <v>586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587</v>
      </c>
    </row>
    <row r="139" customFormat="false" ht="15" hidden="false" customHeight="true" outlineLevel="0" collapsed="false">
      <c r="B139" s="65" t="s">
        <v>588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589</v>
      </c>
    </row>
    <row r="140" customFormat="false" ht="15" hidden="false" customHeight="true" outlineLevel="0" collapsed="false">
      <c r="B140" s="65" t="s">
        <v>590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591</v>
      </c>
    </row>
    <row r="141" customFormat="false" ht="15" hidden="false" customHeight="true" outlineLevel="0" collapsed="false">
      <c r="B141" s="70" t="s">
        <v>592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593</v>
      </c>
    </row>
    <row r="142" customFormat="false" ht="15" hidden="false" customHeight="true" outlineLevel="0" collapsed="false">
      <c r="B142" s="72" t="s">
        <v>594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595</v>
      </c>
    </row>
    <row r="145" customFormat="false" ht="15.75" hidden="false" customHeight="true" outlineLevel="0" collapsed="false">
      <c r="A145" s="77" t="s">
        <v>596</v>
      </c>
    </row>
    <row r="146" customFormat="false" ht="15" hidden="false" customHeight="true" outlineLevel="0" collapsed="false">
      <c r="B146" s="17" t="s">
        <v>597</v>
      </c>
      <c r="D146" s="78" t="s">
        <v>598</v>
      </c>
      <c r="E146" s="78"/>
      <c r="F146" s="78"/>
      <c r="G146" s="78"/>
      <c r="H146" s="78"/>
      <c r="I146" s="78"/>
      <c r="J146" s="78"/>
      <c r="K146" s="19" t="s">
        <v>599</v>
      </c>
    </row>
    <row r="147" customFormat="false" ht="15" hidden="false" customHeight="true" outlineLevel="0" collapsed="false">
      <c r="B147" s="79" t="s">
        <v>600</v>
      </c>
      <c r="E147" s="80" t="s">
        <v>601</v>
      </c>
      <c r="I147" s="79" t="s">
        <v>602</v>
      </c>
    </row>
    <row r="148" customFormat="false" ht="24" hidden="false" customHeight="true" outlineLevel="0" collapsed="false">
      <c r="A148" s="81" t="s">
        <v>603</v>
      </c>
      <c r="B148" s="82" t="s">
        <v>604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605</v>
      </c>
      <c r="B149" s="82" t="s">
        <v>606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607</v>
      </c>
      <c r="B150" s="82" t="s">
        <v>608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609</v>
      </c>
      <c r="B151" s="82" t="s">
        <v>610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611</v>
      </c>
      <c r="B152" s="82" t="s">
        <v>612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613</v>
      </c>
      <c r="B153" s="82" t="s">
        <v>614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615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616</v>
      </c>
    </row>
    <row r="2" customFormat="false" ht="15" hidden="false" customHeight="false" outlineLevel="0" collapsed="false">
      <c r="B2" s="87" t="s">
        <v>617</v>
      </c>
      <c r="C2" s="88" t="s">
        <v>618</v>
      </c>
    </row>
    <row r="3" customFormat="false" ht="15" hidden="false" customHeight="false" outlineLevel="0" collapsed="false">
      <c r="B3" s="87" t="s">
        <v>619</v>
      </c>
      <c r="C3" s="88" t="s">
        <v>620</v>
      </c>
    </row>
    <row r="4" customFormat="false" ht="15" hidden="false" customHeight="false" outlineLevel="0" collapsed="false">
      <c r="B4" s="89" t="s">
        <v>621</v>
      </c>
      <c r="C4" s="88" t="s">
        <v>622</v>
      </c>
    </row>
    <row r="5" customFormat="false" ht="15" hidden="false" customHeight="false" outlineLevel="0" collapsed="false">
      <c r="H5" s="90" t="s">
        <v>623</v>
      </c>
      <c r="I5" s="90"/>
      <c r="J5" s="90" t="s">
        <v>624</v>
      </c>
      <c r="K5" s="90"/>
      <c r="L5" s="90"/>
      <c r="M5" s="90"/>
      <c r="N5" s="90"/>
      <c r="O5" s="90" t="s">
        <v>625</v>
      </c>
      <c r="P5" s="90"/>
      <c r="Q5" s="90"/>
      <c r="R5" s="90"/>
      <c r="S5" s="90" t="s">
        <v>626</v>
      </c>
      <c r="T5" s="90"/>
      <c r="U5" s="90"/>
      <c r="V5" s="90"/>
      <c r="W5" s="90"/>
      <c r="X5" s="90" t="s">
        <v>627</v>
      </c>
      <c r="Y5" s="90"/>
      <c r="Z5" s="90"/>
      <c r="AA5" s="90"/>
      <c r="AB5" s="90" t="s">
        <v>628</v>
      </c>
      <c r="AC5" s="90"/>
      <c r="AD5" s="90"/>
      <c r="AE5" s="90"/>
      <c r="AF5" s="90" t="s">
        <v>629</v>
      </c>
      <c r="AG5" s="90"/>
      <c r="AH5" s="90"/>
      <c r="AI5" s="90"/>
      <c r="AJ5" s="90"/>
      <c r="AK5" s="90" t="s">
        <v>630</v>
      </c>
      <c r="AL5" s="90"/>
      <c r="AM5" s="90"/>
      <c r="AN5" s="90"/>
      <c r="AO5" s="90" t="s">
        <v>631</v>
      </c>
      <c r="AP5" s="90"/>
      <c r="AQ5" s="90"/>
      <c r="AR5" s="90"/>
      <c r="AS5" s="90" t="s">
        <v>632</v>
      </c>
      <c r="AT5" s="90"/>
      <c r="AU5" s="90"/>
      <c r="AV5" s="90"/>
      <c r="AW5" s="90" t="s">
        <v>633</v>
      </c>
      <c r="AX5" s="90"/>
      <c r="AY5" s="90"/>
      <c r="AZ5" s="90"/>
      <c r="BA5" s="90"/>
      <c r="BB5" s="90" t="s">
        <v>634</v>
      </c>
      <c r="BC5" s="90"/>
      <c r="BD5" s="90"/>
      <c r="BE5" s="90"/>
      <c r="BF5" s="90" t="s">
        <v>635</v>
      </c>
      <c r="BG5" s="90"/>
      <c r="BH5" s="90"/>
      <c r="BI5" s="90"/>
      <c r="BJ5" s="90"/>
      <c r="BK5" s="90" t="s">
        <v>636</v>
      </c>
      <c r="BL5" s="90"/>
      <c r="BM5" s="90"/>
      <c r="BN5" s="90"/>
      <c r="BO5" s="90" t="s">
        <v>637</v>
      </c>
      <c r="BP5" s="90"/>
      <c r="BQ5" s="90"/>
      <c r="BR5" s="90"/>
      <c r="BS5" s="90" t="s">
        <v>638</v>
      </c>
      <c r="BT5" s="90"/>
      <c r="BU5" s="90"/>
      <c r="BV5" s="90"/>
      <c r="BW5" s="90"/>
      <c r="BX5" s="90" t="s">
        <v>639</v>
      </c>
      <c r="BY5" s="90"/>
    </row>
    <row r="6" customFormat="false" ht="43.5" hidden="false" customHeight="true" outlineLevel="0" collapsed="false">
      <c r="A6" s="91" t="s">
        <v>640</v>
      </c>
      <c r="B6" s="91" t="s">
        <v>641</v>
      </c>
      <c r="C6" s="91" t="s">
        <v>642</v>
      </c>
      <c r="D6" s="91" t="s">
        <v>643</v>
      </c>
      <c r="E6" s="91" t="s">
        <v>644</v>
      </c>
      <c r="F6" s="91" t="s">
        <v>645</v>
      </c>
      <c r="G6" s="91" t="s">
        <v>646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647</v>
      </c>
      <c r="C8" s="95" t="s">
        <v>648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649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650</v>
      </c>
      <c r="C10" s="95" t="s">
        <v>648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649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651</v>
      </c>
      <c r="C12" s="95" t="s">
        <v>648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649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652</v>
      </c>
      <c r="C14" s="95" t="s">
        <v>648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649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0.3333</v>
      </c>
      <c r="P15" s="101" t="n">
        <v>0.3333</v>
      </c>
      <c r="Q15" s="101" t="n">
        <v>0.3333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653</v>
      </c>
      <c r="C16" s="95" t="s">
        <v>648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649</v>
      </c>
      <c r="D17" s="96"/>
      <c r="E17" s="99" t="n">
        <v>46290</v>
      </c>
      <c r="F17" s="99" t="n">
        <v>46290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 t="n">
        <v>1</v>
      </c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654</v>
      </c>
      <c r="C18" s="95" t="s">
        <v>648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649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655</v>
      </c>
      <c r="B20" s="95" t="s">
        <v>656</v>
      </c>
      <c r="C20" s="95" t="s">
        <v>648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649</v>
      </c>
      <c r="D21" s="96"/>
      <c r="E21" s="99" t="n">
        <v>46311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657</v>
      </c>
      <c r="C23" s="95" t="s">
        <v>648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649</v>
      </c>
      <c r="D24" s="96"/>
      <c r="E24" s="99" t="n">
        <v>46218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2.8571</v>
      </c>
      <c r="Q24" s="101" t="n">
        <v>2.8571</v>
      </c>
      <c r="R24" s="101" t="n">
        <v>2.8571</v>
      </c>
      <c r="S24" s="101" t="n">
        <v>2.8571</v>
      </c>
      <c r="T24" s="101" t="n">
        <v>2.8571</v>
      </c>
      <c r="U24" s="101" t="n">
        <v>2.8571</v>
      </c>
      <c r="V24" s="101" t="n">
        <v>2.8571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658</v>
      </c>
      <c r="C25" s="95" t="s">
        <v>648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649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659</v>
      </c>
      <c r="C27" s="95" t="s">
        <v>648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649</v>
      </c>
      <c r="D28" s="96"/>
      <c r="E28" s="99" t="n">
        <v>46253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6.6667</v>
      </c>
      <c r="V28" s="101" t="n">
        <v>6.6667</v>
      </c>
      <c r="W28" s="101" t="n">
        <v>6.6667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660</v>
      </c>
      <c r="C29" s="95" t="s">
        <v>648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649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661</v>
      </c>
      <c r="C31" s="95" t="s">
        <v>648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649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662</v>
      </c>
      <c r="C33" s="95" t="s">
        <v>648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649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663</v>
      </c>
      <c r="C35" s="95" t="s">
        <v>648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649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664</v>
      </c>
      <c r="C37" s="95" t="s">
        <v>648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649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479</v>
      </c>
      <c r="B39" s="95" t="s">
        <v>665</v>
      </c>
      <c r="C39" s="95" t="s">
        <v>648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649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666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667</v>
      </c>
      <c r="C42" s="95" t="s">
        <v>648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649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668</v>
      </c>
      <c r="C44" s="95" t="s">
        <v>648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649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669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670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0.6666</v>
      </c>
      <c r="P48" s="103" t="n">
        <f aca="false">SUMIF($C$7:$C$45,"Actual",P$7:P$45)</f>
        <v>3.5237</v>
      </c>
      <c r="Q48" s="103" t="n">
        <f aca="false">SUMIF($C$7:$C$45,"Actual",Q$7:Q$45)</f>
        <v>3.5237</v>
      </c>
      <c r="R48" s="103" t="n">
        <f aca="false">SUMIF($C$7:$C$45,"Actual",R$7:R$45)</f>
        <v>2.8571</v>
      </c>
      <c r="S48" s="103" t="n">
        <f aca="false">SUMIF($C$7:$C$45,"Actual",S$7:S$45)</f>
        <v>3.3571</v>
      </c>
      <c r="T48" s="103" t="n">
        <f aca="false">SUMIF($C$7:$C$45,"Actual",T$7:T$45)</f>
        <v>2.8571</v>
      </c>
      <c r="U48" s="103" t="n">
        <f aca="false">SUMIF($C$7:$C$45,"Actual",U$7:U$45)</f>
        <v>9.5238</v>
      </c>
      <c r="V48" s="103" t="n">
        <f aca="false">SUMIF($C$7:$C$45,"Actual",V$7:V$45)</f>
        <v>23.2738</v>
      </c>
      <c r="W48" s="103" t="n">
        <f aca="false">SUMIF($C$7:$C$45,"Actual",W$7:W$45)</f>
        <v>42.9167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1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671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672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1.1666</v>
      </c>
      <c r="P50" s="105" t="n">
        <f aca="false">IF(P$6&gt;46314,"",O50+P48)</f>
        <v>4.6903</v>
      </c>
      <c r="Q50" s="105" t="n">
        <f aca="false">IF(Q$6&gt;46314,"",P50+Q48)</f>
        <v>8.214</v>
      </c>
      <c r="R50" s="105" t="n">
        <f aca="false">IF(R$6&gt;46314,"",Q50+R48)</f>
        <v>11.0711</v>
      </c>
      <c r="S50" s="105" t="n">
        <f aca="false">IF(S$6&gt;46314,"",R50+S48)</f>
        <v>14.4282</v>
      </c>
      <c r="T50" s="105" t="n">
        <f aca="false">IF(T$6&gt;46314,"",S50+T48)</f>
        <v>17.2853</v>
      </c>
      <c r="U50" s="105" t="n">
        <f aca="false">IF(U$6&gt;46314,"",T50+U48)</f>
        <v>26.8091</v>
      </c>
      <c r="V50" s="105" t="n">
        <f aca="false">IF(V$6&gt;46314,"",U50+V48)</f>
        <v>50.0829</v>
      </c>
      <c r="W50" s="105" t="n">
        <f aca="false">IF(W$6&gt;46314,"",V50+W48)</f>
        <v>92.9996</v>
      </c>
      <c r="X50" s="105" t="n">
        <f aca="false">IF(X$6&gt;46314,"",W50+X48)</f>
        <v>92.9996</v>
      </c>
      <c r="Y50" s="105" t="n">
        <f aca="false">IF(Y$6&gt;46314,"",X50+Y48)</f>
        <v>92.9996</v>
      </c>
      <c r="Z50" s="105" t="n">
        <f aca="false">IF(Z$6&gt;46314,"",Y50+Z48)</f>
        <v>93.9996</v>
      </c>
      <c r="AA50" s="105" t="n">
        <f aca="false">IF(AA$6&gt;46314,"",Z50+AA48)</f>
        <v>93.9996</v>
      </c>
      <c r="AB50" s="105" t="n">
        <f aca="false">IF(AB$6&gt;46314,"",AA50+AB48)</f>
        <v>93.9996</v>
      </c>
      <c r="AC50" s="105" t="n">
        <f aca="false">IF(AC$6&gt;46314,"",AB50+AC48)</f>
        <v>94.4996</v>
      </c>
      <c r="AD50" s="105" t="n">
        <f aca="false">IF(AD$6&gt;46314,"",AC50+AD48)</f>
        <v>94.9996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2026-10-26T04:44:03Z</dcterms:created>
  <dc:creator>openpyxl</dc:creator>
  <dc:description/>
  <dc:language>en-US</dc:language>
  <cp:lastModifiedBy/>
  <dcterms:modified xsi:type="dcterms:W3CDTF">2026-10-26T11:47:19Z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