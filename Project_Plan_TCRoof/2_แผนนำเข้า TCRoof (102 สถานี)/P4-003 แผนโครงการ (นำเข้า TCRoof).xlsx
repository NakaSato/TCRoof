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<sst xmlns="http://schemas.openxmlformats.org/spreadsheetml/2006/main" count="1308" uniqueCount="668">
  <si>
    <t xml:space="preserve">แผนโครงการ P4-003 – สถานีจ่ายน้ำหนองบัว 148.20 kWp</t>
  </si>
  <si>
    <t xml:space="preserve">กปภ.สาขาสิงห์บุรี, ภาคเหนือ-กลาง, กฟภ. เขต น.3, Inverter 125 kW (ไม่ต้อง พค.2), Zero export HV, คำขอ PPIM1A5066AD, วิศวกร เก้า, Admin บีม,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</si>
  <si>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</si>
  <si>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</si>
  <si>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</si>
  <si>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</si>
  <si>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</si>
  <si>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</si>
  <si>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</si>
  <si>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</si>
  <si>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</si>
  <si>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</si>
  <si>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</si>
  <si>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</si>
  <si>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</si>
  <si>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</si>
  <si>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</si>
  <si>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</si>
  <si>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</si>
  <si>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</si>
  <si>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</si>
  <si>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</si>
  <si>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</si>
  <si>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</si>
  <si>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</si>
  <si>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</si>
  <si>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</si>
  <si>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</si>
  <si>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</si>
  <si>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</si>
  <si>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</si>
  <si>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</si>
  <si>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</si>
  <si>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</si>
  <si>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</si>
  <si>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</si>
  <si>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</si>
  <si>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</si>
  <si>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</si>
  <si>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</si>
  <si>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</si>
  <si>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</si>
  <si>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</si>
  <si>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</si>
  <si>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</si>
  <si>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</si>
  <si>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</si>
  <si>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</si>
  <si>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</si>
  <si>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</si>
  <si>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</si>
  <si>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</si>
  <si>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</si>
  <si>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</si>
  <si>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</si>
  <si>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</si>
  <si>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</si>
  <si>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</si>
  <si>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</si>
  <si>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</si>
  <si>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</si>
  <si>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</si>
  <si>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</si>
  <si>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</si>
  <si>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</si>
  <si>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</si>
  <si>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</si>
  <si>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</si>
  <si>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</si>
  <si>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</si>
  <si>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</si>
  <si>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</si>
  <si>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</si>
  <si>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</si>
  <si>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</si>
  <si>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</si>
  <si>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</si>
  <si>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</si>
  <si>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</si>
  <si>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</si>
  <si>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</si>
  <si>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</si>
  <si>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</si>
  <si>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</si>
  <si>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</si>
  <si>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</si>
  <si>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</si>
  <si>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</si>
  <si>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</si>
  <si>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</si>
  <si>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</si>
  <si>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</si>
  <si>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</si>
  <si>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</si>
  <si>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</si>
  <si>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</si>
  <si>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</si>
  <si>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</si>
  <si>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</si>
  <si>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</si>
  <si>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</si>
  <si>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</si>
  <si>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</si>
  <si>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</si>
  <si>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WBS'!L1556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</si>
  <si>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</si>
  <si>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</si>
  <si>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</si>
  <si>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</si>
  <si>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</si>
  <si>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</si>
  <si>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TC-PML-2026-175,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</si>
  <si>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</si>
  <si>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</si>
  <si>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</si>
  <si>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</si>
  <si>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</si>
  <si>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</si>
  <si>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</si>
  <si>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</si>
  <si>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</si>
  <si>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</si>
  <si>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</si>
  <si>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WBS'!L1558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</si>
  <si>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</si>
  <si>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</si>
  <si>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</si>
  <si>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</si>
  <si>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</si>
  <si>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</si>
  <si>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</si>
  <si>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</si>
  <si>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</si>
  <si>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</si>
  <si>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</si>
  <si>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</si>
  <si>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</si>
  <si>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</si>
  <si>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</si>
  <si>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</si>
  <si>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</si>
  <si>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</si>
  <si>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</si>
  <si>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</si>
  <si>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WBS'!L1563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</si>
  <si>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</si>
  <si>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</si>
  <si>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</si>
  <si>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WBS'!L1564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</si>
  <si>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</si>
  <si>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</si>
  <si>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</si>
  <si>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WBS'!L1565</t>
    </r>
  </si>
  <si>
    <t xml:space="preserve">0.3</t>
  </si>
  <si>
    <t xml:space="preserve">หนังสือแจ้งขอดับไฟ</t>
  </si>
  <si>
    <t xml:space="preserve">TC-PML-2026-424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</si>
  <si>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</si>
  <si>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</si>
  <si>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</si>
  <si>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</si>
  <si>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</si>
  <si>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</si>
  <si>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</si>
  <si>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</si>
  <si>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</si>
  <si>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</si>
  <si>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</si>
  <si>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</si>
  <si>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</si>
  <si>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</si>
  <si>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</si>
  <si>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</si>
  <si>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</si>
  <si>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</si>
  <si>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</si>
  <si>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</si>
  <si>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</si>
  <si>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</si>
  <si>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</si>
  <si>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</si>
  <si>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</si>
  <si>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</si>
  <si>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</si>
  <si>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</si>
  <si>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</si>
  <si>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</si>
  <si>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</si>
  <si>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</si>
  <si>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</si>
  <si>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</si>
  <si>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</si>
  <si>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</si>
  <si>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</si>
  <si>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</si>
  <si>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</si>
  <si>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</si>
  <si>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</si>
  <si>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</si>
  <si>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</si>
  <si>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</si>
  <si>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</si>
  <si>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</si>
  <si>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</si>
  <si>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</si>
  <si>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</si>
  <si>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</si>
  <si>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</si>
  <si>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</si>
  <si>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</si>
  <si>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</si>
  <si>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</si>
  <si>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</si>
  <si>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</si>
  <si>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</si>
  <si>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</si>
  <si>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</si>
  <si>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</si>
  <si>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</si>
  <si>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</si>
  <si>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</si>
  <si>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</si>
  <si>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</si>
  <si>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</si>
  <si>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</si>
  <si>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</si>
  <si>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</si>
  <si>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</si>
  <si>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</si>
  <si>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</si>
  <si>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</si>
  <si>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</si>
  <si>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</si>
  <si>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</si>
  <si>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</si>
  <si>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WBS'!L1579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</si>
  <si>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</si>
  <si>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</si>
  <si>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</si>
  <si>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</si>
  <si>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</si>
  <si>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</si>
  <si>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</si>
  <si>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WBS'!L1581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</si>
  <si>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</si>
  <si>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</si>
  <si>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</si>
  <si>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</si>
  <si>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</si>
  <si>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</si>
  <si>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</si>
  <si>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</si>
  <si>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</si>
  <si>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</si>
  <si>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</si>
  <si>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</si>
  <si>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</si>
  <si>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</si>
  <si>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</si>
  <si>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</si>
  <si>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</si>
  <si>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</si>
  <si>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</si>
  <si>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</si>
  <si>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</si>
  <si>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</si>
  <si>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</si>
  <si>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</si>
  <si>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</si>
  <si>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</si>
  <si>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</si>
  <si>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</si>
  <si>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</si>
  <si>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</si>
  <si>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WBS'!L1583</t>
    </r>
  </si>
  <si>
    <t xml:space="preserve">1.7.1</t>
  </si>
  <si>
    <t xml:space="preserve">คำขอขนานไฟ PPIM (ชุด 11 ไฟล์)</t>
  </si>
  <si>
    <t xml:space="preserve">PPIM1A5066AD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</si>
  <si>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</si>
  <si>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</si>
  <si>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</si>
  <si>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</si>
  <si>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</si>
  <si>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</si>
  <si>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</si>
  <si>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</si>
  <si>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</si>
  <si>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</si>
  <si>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</si>
  <si>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</si>
  <si>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</si>
  <si>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</si>
  <si>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</si>
  <si>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</si>
  <si>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</si>
  <si>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</si>
  <si>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</si>
  <si>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</si>
  <si>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</si>
  <si>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</si>
  <si>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</si>
  <si>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</si>
  <si>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</si>
  <si>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</si>
  <si>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</si>
  <si>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</si>
  <si>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</si>
  <si>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</si>
  <si>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</si>
  <si>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</si>
  <si>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</si>
  <si>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</si>
  <si>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</si>
  <si>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</si>
  <si>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</si>
  <si>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</si>
  <si>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</si>
  <si>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</si>
  <si>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</si>
  <si>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</si>
  <si>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</si>
  <si>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</si>
  <si>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</si>
  <si>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</si>
  <si>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</si>
  <si>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</si>
  <si>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WBS'!L1589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</si>
  <si>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</si>
  <si>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</si>
  <si>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</si>
  <si>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</si>
  <si>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</si>
  <si>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</si>
  <si>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</si>
  <si>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</si>
  <si>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</si>
  <si>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</si>
  <si>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</si>
  <si>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</si>
  <si>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</si>
  <si>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</si>
  <si>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</si>
  <si>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</si>
  <si>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</si>
  <si>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</si>
  <si>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</si>
  <si>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</si>
  <si>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</si>
  <si>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</si>
  <si>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</si>
  <si>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</si>
  <si>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</si>
  <si>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</si>
  <si>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</si>
  <si>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</si>
  <si>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</si>
  <si>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</si>
  <si>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</si>
  <si>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</si>
  <si>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</si>
  <si>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</si>
  <si>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</si>
  <si>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</si>
  <si>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</si>
  <si>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</si>
  <si>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</si>
  <si>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</si>
  <si>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</si>
  <si>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</si>
  <si>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</si>
  <si>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</si>
  <si>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</si>
  <si>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</si>
  <si>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</si>
  <si>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WBS'!L1599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</si>
  <si>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</si>
  <si>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</si>
  <si>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</si>
  <si>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</si>
  <si>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</si>
  <si>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</si>
  <si>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</si>
  <si>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</si>
  <si>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</si>
  <si>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</si>
  <si>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</si>
  <si>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</si>
  <si>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</si>
  <si>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</si>
  <si>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</si>
  <si>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WBS'!L1602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</si>
  <si>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</si>
  <si>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</si>
  <si>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</si>
  <si>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</si>
  <si>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</si>
  <si>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</si>
  <si>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</si>
  <si>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</si>
  <si>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</si>
  <si>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</si>
  <si>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</si>
  <si>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</si>
  <si>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</si>
  <si>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</si>
  <si>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</si>
  <si>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</si>
  <si>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</si>
  <si>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</si>
  <si>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</si>
  <si>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WBS'!L1606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</si>
  <si>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</si>
  <si>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</si>
  <si>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</si>
  <si>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</si>
  <si>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</si>
  <si>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</si>
  <si>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</si>
  <si>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</si>
  <si>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</si>
  <si>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</si>
  <si>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</si>
  <si>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</si>
  <si>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</si>
  <si>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</si>
  <si>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</si>
  <si>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</si>
  <si>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WBS'!L1609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</si>
  <si>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</si>
  <si>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</si>
  <si>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</si>
  <si>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</si>
  <si>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</si>
  <si>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</si>
  <si>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</si>
  <si>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</si>
  <si>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</si>
  <si>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</si>
  <si>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</si>
  <si>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</si>
  <si>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</si>
  <si>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</si>
  <si>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</si>
  <si>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</si>
  <si>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</si>
  <si>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</si>
  <si>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</si>
  <si>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</si>
  <si>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</si>
  <si>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</si>
  <si>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WBS'!L1614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</si>
  <si>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</si>
  <si>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</si>
  <si>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</si>
  <si>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</si>
  <si>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</si>
  <si>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</si>
  <si>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</si>
  <si>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</si>
  <si>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</si>
  <si>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</si>
  <si>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WBS'!L1615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</si>
  <si>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</si>
  <si>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</si>
  <si>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</si>
  <si>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</si>
  <si>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</si>
  <si>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</si>
  <si>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</si>
  <si>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</si>
  <si>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</si>
  <si>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</si>
  <si>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</si>
  <si>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</si>
  <si>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</si>
  <si>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</si>
  <si>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</si>
  <si>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</si>
  <si>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</si>
  <si>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</si>
  <si>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</si>
  <si>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</si>
  <si>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</si>
  <si>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WBS'!L1619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</si>
  <si>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</si>
  <si>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</si>
  <si>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</si>
  <si>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</si>
  <si>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</si>
  <si>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</si>
  <si>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</si>
  <si>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WBS'!L1621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</si>
  <si>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</si>
  <si>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</si>
  <si>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</si>
  <si>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</si>
  <si>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</si>
  <si>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</si>
  <si>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</si>
  <si>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</si>
  <si>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</si>
  <si>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</si>
  <si>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</si>
  <si>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</si>
  <si>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</si>
  <si>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</si>
  <si>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</si>
  <si>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</si>
  <si>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</si>
  <si>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</si>
  <si>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</si>
  <si>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</si>
  <si>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</si>
  <si>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</si>
  <si>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</si>
  <si>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</si>
  <si>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</si>
  <si>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</si>
  <si>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</si>
  <si>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</si>
  <si>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</si>
  <si>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</si>
  <si>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</si>
  <si>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</si>
  <si>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</si>
  <si>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</si>
  <si>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</si>
  <si>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</si>
  <si>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</si>
  <si>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</si>
  <si>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</si>
  <si>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</si>
  <si>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</si>
  <si>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WBS'!L1629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</si>
  <si>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</si>
  <si>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</si>
  <si>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</si>
  <si>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</si>
  <si>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</si>
  <si>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</si>
  <si>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</si>
  <si>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</si>
  <si>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</si>
  <si>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</si>
  <si>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</si>
  <si>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</si>
  <si>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</si>
  <si>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</si>
  <si>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</si>
  <si>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</si>
  <si>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</si>
  <si>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</si>
  <si>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</si>
  <si>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</si>
  <si>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</si>
  <si>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</si>
  <si>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</si>
  <si>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</si>
  <si>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</si>
  <si>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</si>
  <si>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</si>
  <si>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</si>
  <si>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</si>
  <si>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</si>
  <si>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</si>
  <si>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</si>
  <si>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</si>
  <si>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</si>
  <si>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</si>
  <si>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</si>
  <si>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</si>
  <si>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</si>
  <si>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</si>
  <si>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</si>
  <si>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</si>
  <si>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</si>
  <si>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</si>
  <si>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</si>
  <si>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</si>
  <si>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</si>
  <si>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</si>
  <si>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</si>
  <si>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</si>
  <si>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</si>
  <si>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</si>
  <si>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</si>
  <si>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</si>
  <si>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</si>
  <si>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</si>
  <si>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</si>
  <si>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</si>
  <si>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</si>
  <si>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</si>
  <si>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</si>
  <si>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</si>
  <si>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</si>
  <si>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</si>
  <si>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</si>
  <si>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</si>
  <si>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</si>
  <si>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</si>
  <si>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</si>
  <si>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</si>
  <si>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</si>
  <si>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</si>
  <si>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</si>
  <si>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</si>
  <si>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</si>
  <si>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</si>
  <si>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</si>
  <si>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</si>
  <si>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</si>
  <si>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</si>
  <si>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</si>
  <si>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สถานีจ่ายน้ำหนองบัว การประปาส่วนภูมิภาคสาขาสิงห์บุรี ขนาดกำลังผลิต </t>
    </r>
    <r>
      <rPr>
        <sz val="10"/>
        <rFont val="Tahoma"/>
        <family val="0"/>
        <charset val="1"/>
      </rPr>
      <t xml:space="preserve">148.20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</si>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</sst>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23.5001</c:v>
                </c:pt>
                <c:pt idx="11">
                  <c:v>73.5001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614838"/>
        <c:axId val="2148156"/>
      </c:lineChart>
      <c:catAx>
        <c:axId val="9261483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8156"/>
        <c:crosses val="autoZero"/>
        <c:auto val="1"/>
        <c:lblAlgn val="ctr"/>
        <c:lblOffset val="100"/>
        <c:noMultiLvlLbl val="0"/>
      </c:catAx>
      <c:valAx>
        <c:axId val="2148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148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46385</v>
      </c>
      <c r="G4" s="10"/>
      <c r="H4" s="10"/>
      <c r="J4" s="11" t="n">
        <v>0.95</v>
      </c>
      <c r="K4" s="11"/>
      <c r="L4" s="12" t="n">
        <v>73</v>
      </c>
      <c r="M4" s="12"/>
      <c r="N4" s="12" t="n">
        <v>93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46405</v>
      </c>
      <c r="P8" s="34" t="s">
        <v>75</v>
      </c>
      <c r="Q8" s="31" t="n">
        <v>96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46405</v>
      </c>
      <c r="P9" s="46" t="s">
        <v>75</v>
      </c>
      <c r="Q9" s="37" t="n">
        <v>96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46206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46206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46206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46217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46206</v>
      </c>
      <c r="O14" s="55" t="n">
        <v>46405</v>
      </c>
      <c r="P14" s="50" t="s">
        <v>75</v>
      </c>
      <c r="Q14" s="52" t="n">
        <v>96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46206</v>
      </c>
      <c r="O15" s="55" t="n">
        <v>46405</v>
      </c>
      <c r="P15" s="50" t="s">
        <v>75</v>
      </c>
      <c r="Q15" s="52" t="n">
        <v>96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46209</v>
      </c>
      <c r="J23" s="53" t="n">
        <v>46214</v>
      </c>
      <c r="K23" s="52"/>
      <c r="L23" s="52"/>
      <c r="M23" s="54" t="s">
        <v>148</v>
      </c>
      <c r="N23" s="55" t="n">
        <v>46210</v>
      </c>
      <c r="O23" s="55" t="n">
        <v>46214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152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15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15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15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15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46385</v>
      </c>
      <c r="P29" s="34" t="s">
        <v>75</v>
      </c>
      <c r="Q29" s="31" t="n">
        <v>93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181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185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189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197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201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205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209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46212</v>
      </c>
      <c r="O39" s="45" t="n">
        <v>46212</v>
      </c>
      <c r="P39" s="46" t="s">
        <v>115</v>
      </c>
      <c r="Q39" s="37" t="n">
        <v>-2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217</v>
      </c>
      <c r="N40" s="55" t="n">
        <v>46212</v>
      </c>
      <c r="O40" s="55" t="n">
        <v>46212</v>
      </c>
      <c r="P40" s="50" t="s">
        <v>124</v>
      </c>
      <c r="Q40" s="52" t="n">
        <v>-2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221</v>
      </c>
      <c r="N41" s="55" t="n">
        <v>46212</v>
      </c>
      <c r="O41" s="55" t="n">
        <v>46212</v>
      </c>
      <c r="P41" s="50" t="s">
        <v>124</v>
      </c>
      <c r="Q41" s="52" t="n">
        <v>-2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225</v>
      </c>
      <c r="N42" s="55" t="n">
        <v>46212</v>
      </c>
      <c r="O42" s="55" t="n">
        <v>46212</v>
      </c>
      <c r="P42" s="50" t="s">
        <v>124</v>
      </c>
      <c r="Q42" s="52" t="n">
        <v>-2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234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238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242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46261</v>
      </c>
      <c r="M55" s="43"/>
      <c r="N55" s="44" t="n">
        <v>46261</v>
      </c>
      <c r="O55" s="45" t="n">
        <v>46261</v>
      </c>
      <c r="P55" s="46" t="s">
        <v>60</v>
      </c>
      <c r="Q55" s="37" t="n">
        <v>14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46307</v>
      </c>
      <c r="M56" s="43"/>
      <c r="N56" s="44" t="n">
        <v>46307</v>
      </c>
      <c r="O56" s="45" t="n">
        <v>46307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46248</v>
      </c>
      <c r="J57" s="41" t="n">
        <v>46268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61</v>
      </c>
      <c r="R57" s="39"/>
      <c r="S57" s="39" t="n">
        <v>1</v>
      </c>
      <c r="T57" s="39" t="s">
        <v>76</v>
      </c>
      <c r="U57" s="58" t="n">
        <v>46307.0057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46330</v>
      </c>
      <c r="O58" s="45" t="n">
        <v>46336</v>
      </c>
      <c r="P58" s="46" t="s">
        <v>285</v>
      </c>
      <c r="Q58" s="37" t="n">
        <v>61</v>
      </c>
      <c r="R58" s="39"/>
      <c r="S58" s="39" t="n">
        <v>1</v>
      </c>
      <c r="T58" s="39" t="s">
        <v>286</v>
      </c>
      <c r="U58" s="58" t="n">
        <v>46330.0058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46339</v>
      </c>
      <c r="O59" s="45" t="n">
        <v>46339</v>
      </c>
      <c r="P59" s="46" t="s">
        <v>285</v>
      </c>
      <c r="Q59" s="37" t="n">
        <v>63</v>
      </c>
      <c r="R59" s="39"/>
      <c r="S59" s="39" t="n">
        <v>1</v>
      </c>
      <c r="T59" s="39" t="s">
        <v>286</v>
      </c>
      <c r="U59" s="58" t="n">
        <v>46339.0059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46344</v>
      </c>
      <c r="O60" s="60" t="n">
        <v>46385</v>
      </c>
      <c r="P60" s="46" t="s">
        <v>285</v>
      </c>
      <c r="Q60" s="37" t="n">
        <v>93</v>
      </c>
      <c r="R60" s="39"/>
      <c r="S60" s="39" t="n">
        <v>1</v>
      </c>
      <c r="T60" s="39" t="s">
        <v>286</v>
      </c>
      <c r="U60" s="58" t="n">
        <v>46344.006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46220</v>
      </c>
      <c r="O61" s="33" t="n">
        <v>46247</v>
      </c>
      <c r="P61" s="34" t="s">
        <v>60</v>
      </c>
      <c r="Q61" s="31" t="n">
        <v>1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15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46220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305</v>
      </c>
      <c r="N63" s="55" t="n">
        <v>46220</v>
      </c>
      <c r="O63" s="55" t="n">
        <v>46221</v>
      </c>
      <c r="P63" s="50" t="s">
        <v>124</v>
      </c>
      <c r="Q63" s="52" t="n">
        <v>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309</v>
      </c>
      <c r="N64" s="55" t="n">
        <v>46220</v>
      </c>
      <c r="O64" s="55" t="n">
        <v>46223</v>
      </c>
      <c r="P64" s="50" t="s">
        <v>124</v>
      </c>
      <c r="Q64" s="52" t="n">
        <v>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313</v>
      </c>
      <c r="N65" s="55" t="n">
        <v>46221</v>
      </c>
      <c r="O65" s="55" t="n">
        <v>46227</v>
      </c>
      <c r="P65" s="50" t="s">
        <v>124</v>
      </c>
      <c r="Q65" s="52" t="n">
        <v>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317</v>
      </c>
      <c r="N66" s="55" t="n">
        <v>46226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321</v>
      </c>
      <c r="N67" s="55" t="n">
        <v>46228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325</v>
      </c>
      <c r="N68" s="55" t="n">
        <v>46231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329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46241</v>
      </c>
      <c r="O70" s="45" t="n">
        <v>46244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337</v>
      </c>
      <c r="N71" s="55" t="n">
        <v>46241</v>
      </c>
      <c r="O71" s="55" t="n">
        <v>46242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341</v>
      </c>
      <c r="N72" s="55" t="n">
        <v>46242</v>
      </c>
      <c r="O72" s="55" t="n">
        <v>46243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345</v>
      </c>
      <c r="N73" s="55" t="n">
        <v>46242</v>
      </c>
      <c r="O73" s="55" t="n">
        <v>46243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349</v>
      </c>
      <c r="N74" s="55" t="n">
        <v>46243</v>
      </c>
      <c r="O74" s="55" t="n">
        <v>46244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353</v>
      </c>
      <c r="N75" s="55" t="n">
        <v>46243</v>
      </c>
      <c r="O75" s="55" t="n">
        <v>46244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6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46239</v>
      </c>
      <c r="O76" s="45" t="n">
        <v>46244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361</v>
      </c>
      <c r="N77" s="55" t="n">
        <v>46239</v>
      </c>
      <c r="O77" s="55" t="n">
        <v>46241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365</v>
      </c>
      <c r="N78" s="55" t="n">
        <v>46240</v>
      </c>
      <c r="O78" s="55" t="n">
        <v>46243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369</v>
      </c>
      <c r="N79" s="55" t="n">
        <v>46241</v>
      </c>
      <c r="O79" s="55" t="n">
        <v>46244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373</v>
      </c>
      <c r="N80" s="55" t="n">
        <v>46243</v>
      </c>
      <c r="O80" s="55" t="n">
        <v>46244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377</v>
      </c>
      <c r="N81" s="55" t="n">
        <v>46244</v>
      </c>
      <c r="O81" s="55" t="n">
        <v>46244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385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389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397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401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405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409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418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422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426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430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434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441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445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449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46239</v>
      </c>
      <c r="J101" s="53" t="n">
        <v>46240</v>
      </c>
      <c r="K101" s="52"/>
      <c r="L101" s="52"/>
      <c r="M101" s="61"/>
      <c r="N101" s="55" t="n">
        <v>46242</v>
      </c>
      <c r="O101" s="55" t="n">
        <v>46242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46240</v>
      </c>
      <c r="J102" s="53" t="n">
        <v>46243</v>
      </c>
      <c r="K102" s="52"/>
      <c r="L102" s="52"/>
      <c r="M102" s="54" t="s">
        <v>460</v>
      </c>
      <c r="N102" s="55" t="n">
        <v>46242</v>
      </c>
      <c r="O102" s="55" t="n">
        <v>46243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467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471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475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46244</v>
      </c>
      <c r="O107" s="45" t="n">
        <v>46245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482</v>
      </c>
      <c r="N108" s="55" t="n">
        <v>46244</v>
      </c>
      <c r="O108" s="55" t="n">
        <v>46245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486</v>
      </c>
      <c r="N109" s="55" t="n">
        <v>46245</v>
      </c>
      <c r="O109" s="55" t="n">
        <v>46245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490</v>
      </c>
      <c r="N110" s="55" t="n">
        <v>46244</v>
      </c>
      <c r="O110" s="55" t="n">
        <v>46245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46247</v>
      </c>
      <c r="M111" s="43"/>
      <c r="N111" s="44" t="n">
        <v>46247</v>
      </c>
      <c r="O111" s="45" t="n">
        <v>46247</v>
      </c>
      <c r="P111" s="46" t="s">
        <v>60</v>
      </c>
      <c r="Q111" s="37" t="n">
        <v>1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498</v>
      </c>
      <c r="N112" s="55" t="n">
        <v>46247</v>
      </c>
      <c r="O112" s="55" t="n">
        <v>46247</v>
      </c>
      <c r="P112" s="50" t="s">
        <v>124</v>
      </c>
      <c r="Q112" s="52" t="n">
        <v>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502</v>
      </c>
      <c r="N113" s="55" t="n">
        <v>46247</v>
      </c>
      <c r="O113" s="55" t="n">
        <v>46247</v>
      </c>
      <c r="P113" s="50" t="s">
        <v>124</v>
      </c>
      <c r="Q113" s="52" t="n">
        <v>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46252</v>
      </c>
      <c r="O114" s="33" t="n">
        <v>46405</v>
      </c>
      <c r="P114" s="34" t="s">
        <v>75</v>
      </c>
      <c r="Q114" s="31" t="n">
        <v>96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46322</v>
      </c>
      <c r="O115" s="45" t="n">
        <v>46322</v>
      </c>
      <c r="P115" s="46" t="s">
        <v>285</v>
      </c>
      <c r="Q115" s="37" t="n">
        <v>73</v>
      </c>
      <c r="R115" s="39"/>
      <c r="S115" s="39" t="n">
        <v>1</v>
      </c>
      <c r="T115" s="39" t="s">
        <v>286</v>
      </c>
      <c r="U115" s="58" t="n">
        <v>46322.0115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512</v>
      </c>
      <c r="N116" s="55" t="n">
        <v>46322</v>
      </c>
      <c r="O116" s="55" t="n">
        <v>46322</v>
      </c>
      <c r="P116" s="50" t="s">
        <v>285</v>
      </c>
      <c r="Q116" s="52" t="n">
        <v>75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516</v>
      </c>
      <c r="N117" s="55" t="n">
        <v>46322</v>
      </c>
      <c r="O117" s="55" t="n">
        <v>46322</v>
      </c>
      <c r="P117" s="50" t="s">
        <v>285</v>
      </c>
      <c r="Q117" s="52" t="n">
        <v>74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520</v>
      </c>
      <c r="N118" s="55" t="n">
        <v>46322</v>
      </c>
      <c r="O118" s="55" t="n">
        <v>46322</v>
      </c>
      <c r="P118" s="50" t="s">
        <v>285</v>
      </c>
      <c r="Q118" s="52" t="n">
        <v>74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524</v>
      </c>
      <c r="N119" s="55" t="n">
        <v>46322</v>
      </c>
      <c r="O119" s="55" t="n">
        <v>46322</v>
      </c>
      <c r="P119" s="50" t="s">
        <v>285</v>
      </c>
      <c r="Q119" s="52" t="n">
        <v>74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528</v>
      </c>
      <c r="N120" s="55" t="n">
        <v>46322</v>
      </c>
      <c r="O120" s="55" t="n">
        <v>46322</v>
      </c>
      <c r="P120" s="50" t="s">
        <v>285</v>
      </c>
      <c r="Q120" s="52" t="n">
        <v>73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532</v>
      </c>
      <c r="N121" s="55" t="n">
        <v>46322</v>
      </c>
      <c r="O121" s="55" t="n">
        <v>46322</v>
      </c>
      <c r="P121" s="50" t="s">
        <v>285</v>
      </c>
      <c r="Q121" s="52" t="n">
        <v>73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 t="n">
        <v>46270</v>
      </c>
      <c r="M122" s="43"/>
      <c r="N122" s="44" t="n">
        <v>46270</v>
      </c>
      <c r="O122" s="45" t="n">
        <v>46270</v>
      </c>
      <c r="P122" s="46" t="s">
        <v>60</v>
      </c>
      <c r="Q122" s="37" t="n">
        <v>21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46252</v>
      </c>
      <c r="L123" s="42" t="n">
        <v>46255</v>
      </c>
      <c r="M123" s="43"/>
      <c r="N123" s="44" t="n">
        <v>46252</v>
      </c>
      <c r="O123" s="45" t="n">
        <v>46255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46392</v>
      </c>
      <c r="O124" s="45" t="n">
        <v>46405</v>
      </c>
      <c r="P124" s="46" t="s">
        <v>285</v>
      </c>
      <c r="Q124" s="37" t="n">
        <v>96</v>
      </c>
      <c r="R124" s="39"/>
      <c r="S124" s="39" t="n">
        <v>1</v>
      </c>
      <c r="T124" s="39" t="s">
        <v>286</v>
      </c>
      <c r="U124" s="58" t="n">
        <v>46392.0124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547</v>
      </c>
      <c r="N125" s="55" t="n">
        <v>46392</v>
      </c>
      <c r="O125" s="55" t="n">
        <v>46396</v>
      </c>
      <c r="P125" s="50" t="s">
        <v>285</v>
      </c>
      <c r="Q125" s="52" t="n">
        <v>96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551</v>
      </c>
      <c r="N126" s="55" t="n">
        <v>46395</v>
      </c>
      <c r="O126" s="55" t="n">
        <v>46402</v>
      </c>
      <c r="P126" s="50" t="s">
        <v>285</v>
      </c>
      <c r="Q126" s="52" t="n">
        <v>96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555</v>
      </c>
      <c r="N127" s="55" t="n">
        <v>46402</v>
      </c>
      <c r="O127" s="55" t="n">
        <v>46405</v>
      </c>
      <c r="P127" s="50" t="s">
        <v>285</v>
      </c>
      <c r="Q127" s="52" t="n">
        <v>96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46332</v>
      </c>
      <c r="O128" s="45" t="n">
        <v>46332</v>
      </c>
      <c r="P128" s="46" t="s">
        <v>285</v>
      </c>
      <c r="Q128" s="37" t="n">
        <v>73</v>
      </c>
      <c r="R128" s="39"/>
      <c r="S128" s="39" t="n">
        <v>1</v>
      </c>
      <c r="T128" s="39" t="s">
        <v>286</v>
      </c>
      <c r="U128" s="58" t="n">
        <v>46332.0128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 t="s">
        <v>561</v>
      </c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 t="s">
        <v>114</v>
      </c>
      <c r="N129" s="44" t="n">
        <v>46259</v>
      </c>
      <c r="O129" s="45" t="n">
        <v>46259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46333</v>
      </c>
      <c r="O130" s="45" t="n">
        <v>46337</v>
      </c>
      <c r="P130" s="46" t="s">
        <v>285</v>
      </c>
      <c r="Q130" s="37" t="n">
        <v>78</v>
      </c>
      <c r="R130" s="39"/>
      <c r="S130" s="39" t="n">
        <v>1</v>
      </c>
      <c r="T130" s="39" t="s">
        <v>286</v>
      </c>
      <c r="U130" s="58" t="n">
        <v>46333.013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46386</v>
      </c>
      <c r="O131" s="45" t="n">
        <v>46391</v>
      </c>
      <c r="P131" s="46" t="s">
        <v>285</v>
      </c>
      <c r="Q131" s="37" t="n">
        <v>96</v>
      </c>
      <c r="R131" s="39"/>
      <c r="S131" s="39" t="n">
        <v>1</v>
      </c>
      <c r="T131" s="39" t="s">
        <v>286</v>
      </c>
      <c r="U131" s="58" t="n">
        <v>46386.0131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566</v>
      </c>
      <c r="D134" s="6" t="s">
        <v>567</v>
      </c>
    </row>
    <row r="135" customFormat="false" ht="15" hidden="false" customHeight="true" outlineLevel="0" collapsed="false">
      <c r="B135" s="63" t="s">
        <v>568</v>
      </c>
      <c r="D135" s="63" t="s">
        <v>569</v>
      </c>
      <c r="E135" s="63" t="s">
        <v>570</v>
      </c>
      <c r="I135" s="64" t="s">
        <v>571</v>
      </c>
      <c r="J135" s="64" t="s">
        <v>572</v>
      </c>
      <c r="K135" s="64" t="s">
        <v>573</v>
      </c>
      <c r="L135" s="64" t="s">
        <v>574</v>
      </c>
      <c r="O135" s="63" t="s">
        <v>575</v>
      </c>
      <c r="P135" s="63" t="s">
        <v>576</v>
      </c>
    </row>
    <row r="136" customFormat="false" ht="15" hidden="false" customHeight="true" outlineLevel="0" collapsed="false">
      <c r="B136" s="65" t="s">
        <v>577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578</v>
      </c>
    </row>
    <row r="137" customFormat="false" ht="15" hidden="false" customHeight="true" outlineLevel="0" collapsed="false">
      <c r="B137" s="65" t="s">
        <v>579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580</v>
      </c>
    </row>
    <row r="138" customFormat="false" ht="15" hidden="false" customHeight="true" outlineLevel="0" collapsed="false">
      <c r="B138" s="65" t="s">
        <v>581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582</v>
      </c>
    </row>
    <row r="139" customFormat="false" ht="15" hidden="false" customHeight="true" outlineLevel="0" collapsed="false">
      <c r="B139" s="65" t="s">
        <v>583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584</v>
      </c>
    </row>
    <row r="140" customFormat="false" ht="15" hidden="false" customHeight="true" outlineLevel="0" collapsed="false">
      <c r="B140" s="65" t="s">
        <v>585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586</v>
      </c>
    </row>
    <row r="141" customFormat="false" ht="15" hidden="false" customHeight="true" outlineLevel="0" collapsed="false">
      <c r="B141" s="70" t="s">
        <v>587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588</v>
      </c>
    </row>
    <row r="142" customFormat="false" ht="15" hidden="false" customHeight="true" outlineLevel="0" collapsed="false">
      <c r="B142" s="72" t="s">
        <v>589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7" t="s">
        <v>591</v>
      </c>
    </row>
    <row r="146" customFormat="false" ht="15" hidden="false" customHeight="true" outlineLevel="0" collapsed="false">
      <c r="B146" s="17" t="s">
        <v>592</v>
      </c>
      <c r="D146" s="78" t="s">
        <v>593</v>
      </c>
      <c r="E146" s="78"/>
      <c r="F146" s="78"/>
      <c r="G146" s="78"/>
      <c r="H146" s="78"/>
      <c r="I146" s="78"/>
      <c r="J146" s="78"/>
      <c r="K146" s="19" t="s">
        <v>594</v>
      </c>
    </row>
    <row r="147" customFormat="false" ht="15" hidden="false" customHeight="true" outlineLevel="0" collapsed="false">
      <c r="B147" s="79" t="s">
        <v>595</v>
      </c>
      <c r="E147" s="80" t="s">
        <v>596</v>
      </c>
      <c r="I147" s="79" t="s">
        <v>597</v>
      </c>
    </row>
    <row r="148" customFormat="false" ht="24" hidden="false" customHeight="true" outlineLevel="0" collapsed="false">
      <c r="A148" s="81" t="s">
        <v>598</v>
      </c>
      <c r="B148" s="82" t="s">
        <v>599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600</v>
      </c>
      <c r="B149" s="82" t="s">
        <v>601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602</v>
      </c>
      <c r="B150" s="82" t="s">
        <v>603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604</v>
      </c>
      <c r="B151" s="82" t="s">
        <v>605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606</v>
      </c>
      <c r="B152" s="82" t="s">
        <v>607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608</v>
      </c>
      <c r="B153" s="82" t="s">
        <v>609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642</v>
      </c>
      <c r="C8" s="95" t="s">
        <v>643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645</v>
      </c>
      <c r="C10" s="95" t="s">
        <v>643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646</v>
      </c>
      <c r="C12" s="95" t="s">
        <v>643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46212</v>
      </c>
      <c r="F13" s="99" t="n">
        <v>46212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647</v>
      </c>
      <c r="C14" s="95" t="s">
        <v>643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46261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652</v>
      </c>
      <c r="C23" s="95" t="s">
        <v>643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46220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653</v>
      </c>
      <c r="C25" s="95" t="s">
        <v>643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46241</v>
      </c>
      <c r="F26" s="99" t="n">
        <v>46244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654</v>
      </c>
      <c r="C27" s="95" t="s">
        <v>643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46239</v>
      </c>
      <c r="F28" s="99" t="n">
        <v>46244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655</v>
      </c>
      <c r="C29" s="95" t="s">
        <v>643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656</v>
      </c>
      <c r="C31" s="95" t="s">
        <v>643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657</v>
      </c>
      <c r="C33" s="95" t="s">
        <v>643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658</v>
      </c>
      <c r="C35" s="95" t="s">
        <v>643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659</v>
      </c>
      <c r="C37" s="95" t="s">
        <v>643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660</v>
      </c>
      <c r="C39" s="95" t="s">
        <v>643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46244</v>
      </c>
      <c r="F40" s="99" t="n">
        <v>46245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662</v>
      </c>
      <c r="C42" s="95" t="s">
        <v>643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663</v>
      </c>
      <c r="C44" s="95" t="s">
        <v>643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50</v>
      </c>
      <c r="T48" s="103" t="n">
        <f aca="false">SUMIF($C$7:$C$45,"Actual",T$7:T$45)</f>
        <v>20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23.5001</v>
      </c>
      <c r="S50" s="105" t="n">
        <f aca="false">IF(S$6&gt;46314,"",R50+S48)</f>
        <v>73.5001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2026-10-26T04:42:29Z</dcterms:created>
  <dc:creator>openpyxl</dc:creator>
  <dc:description/>
  <dc:language>en-US</dc:language>
  <cp:lastModifiedBy/>
  <dcterms:modified xsi:type="dcterms:W3CDTF">2026-10-26T11:46:30Z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