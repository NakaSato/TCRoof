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<sst xmlns="http://schemas.openxmlformats.org/spreadsheetml/2006/main" count="1290" uniqueCount="668">
  <si>
    <t xml:space="preserve">แผนโครงการ P4-051 – สถานีผลิตน้ำท่าจีน 340.86 kWp</t>
  </si>
  <si>
    <t xml:space="preserve">กปภ.สาขากันตัง, ภาคใต้, กฟภ. เขต ต.2, Inverter 375 kW (ต้องยื่น พค.2), Zero export LV, คำขอ -, วิศวกร โดม,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</si>
  <si>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</si>
  <si>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</si>
  <si>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</si>
  <si>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</si>
  <si>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</si>
  <si>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</si>
  <si>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</si>
  <si>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</si>
  <si>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</si>
  <si>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</si>
  <si>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</si>
  <si>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</si>
  <si>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</si>
  <si>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</si>
  <si>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</si>
  <si>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</si>
  <si>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</si>
  <si>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</si>
  <si>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</si>
  <si>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</si>
  <si>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</si>
  <si>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</si>
  <si>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</si>
  <si>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</si>
  <si>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</si>
  <si>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</si>
  <si>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Kick Off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</si>
  <si>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P4-051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</si>
  <si>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</si>
  <si>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</si>
  <si>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</si>
  <si>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</si>
  <si>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</si>
  <si>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</si>
  <si>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</si>
  <si>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</si>
  <si>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</si>
  <si>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</si>
  <si>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</si>
  <si>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</si>
  <si>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</si>
  <si>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</si>
  <si>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</si>
  <si>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</si>
  <si>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</si>
  <si>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</si>
  <si>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</si>
  <si>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</si>
  <si>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</si>
  <si>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</si>
  <si>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</si>
  <si>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</si>
  <si>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</si>
  <si>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</si>
  <si>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</si>
  <si>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</si>
  <si>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</si>
  <si>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</si>
  <si>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</si>
  <si>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</si>
  <si>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</si>
  <si>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</si>
  <si>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</si>
  <si>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</si>
  <si>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</si>
  <si>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</si>
  <si>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</si>
  <si>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</si>
  <si>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</si>
  <si>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</si>
  <si>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</si>
  <si>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</si>
  <si>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</si>
  <si>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</si>
  <si>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</si>
  <si>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</si>
  <si>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</si>
  <si>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</si>
  <si>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</si>
  <si>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</si>
  <si>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</si>
  <si>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</si>
  <si>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</si>
  <si>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</si>
  <si>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</si>
  <si>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</si>
  <si>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</si>
  <si>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</si>
  <si>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</si>
  <si>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</si>
  <si>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</si>
  <si>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</si>
  <si>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</si>
  <si>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</si>
  <si>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</si>
  <si>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</si>
  <si>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</si>
  <si>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</si>
  <si>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</si>
  <si>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</si>
  <si>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</si>
  <si>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</si>
  <si>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WBS'!L6958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</si>
  <si>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</si>
  <si>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</si>
  <si>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</si>
  <si>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</si>
  <si>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</si>
  <si>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</si>
  <si>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</si>
  <si>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</si>
  <si>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TC-PML-2026-655,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</si>
  <si>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</si>
  <si>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</si>
  <si>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DN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</si>
  <si>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</si>
  <si>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</si>
  <si>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</si>
  <si>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</si>
  <si>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</si>
  <si>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</si>
  <si>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WBS'!L6960</t>
    </r>
  </si>
  <si>
    <t xml:space="preserve">เสร็จ*</t>
  </si>
  <si>
    <t xml:space="preserve">DY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</si>
  <si>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</si>
  <si>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</si>
  <si>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</si>
  <si>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</si>
  <si>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</si>
  <si>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</si>
  <si>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</si>
  <si>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</si>
  <si>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</si>
  <si>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</si>
  <si>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</si>
  <si>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</si>
  <si>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</si>
  <si>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</si>
  <si>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</si>
  <si>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</si>
  <si>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</si>
  <si>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</si>
  <si>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</si>
  <si>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</si>
  <si>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</si>
  <si>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</si>
  <si>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</si>
  <si>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</si>
  <si>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</si>
  <si>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</si>
  <si>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</si>
  <si>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</si>
  <si>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WBS'!L6966</t>
    </r>
  </si>
  <si>
    <t xml:space="preserve">0.3</t>
  </si>
  <si>
    <t xml:space="preserve">หนังสือแจ้งขอดับไฟ</t>
  </si>
  <si>
    <t xml:space="preserve">TC-PML-2026-600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</si>
  <si>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</si>
  <si>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</si>
  <si>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</si>
  <si>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</si>
  <si>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</si>
  <si>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</si>
  <si>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</si>
  <si>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</si>
  <si>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</si>
  <si>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</si>
  <si>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</si>
  <si>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</si>
  <si>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</si>
  <si>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</si>
  <si>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WBS'!L6969</t>
    </r>
  </si>
  <si>
    <t xml:space="preserve">1</t>
  </si>
  <si>
    <t xml:space="preserve">Part PERMIT</t>
  </si>
  <si>
    <t xml:space="preserve">1.1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</si>
  <si>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</si>
  <si>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</si>
  <si>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</si>
  <si>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</si>
  <si>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</si>
  <si>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</si>
  <si>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</si>
  <si>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</si>
  <si>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</si>
  <si>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</si>
  <si>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</si>
  <si>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</si>
  <si>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</si>
  <si>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</si>
  <si>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</si>
  <si>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</si>
  <si>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</si>
  <si>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</si>
  <si>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</si>
  <si>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</si>
  <si>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</si>
  <si>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</si>
  <si>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</si>
  <si>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</si>
  <si>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</si>
  <si>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</si>
  <si>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</si>
  <si>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</si>
  <si>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</si>
  <si>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</si>
  <si>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</si>
  <si>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</si>
  <si>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</si>
  <si>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</si>
  <si>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</si>
  <si>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</si>
  <si>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</si>
  <si>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</si>
  <si>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</si>
  <si>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</si>
  <si>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</si>
  <si>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</si>
  <si>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</si>
  <si>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</si>
  <si>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</si>
  <si>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</si>
  <si>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</si>
  <si>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</si>
  <si>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</si>
  <si>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</si>
  <si>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</si>
  <si>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</si>
  <si>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</si>
  <si>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</si>
  <si>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</si>
  <si>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</si>
  <si>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</si>
  <si>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</si>
  <si>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</si>
  <si>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</si>
  <si>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</si>
  <si>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</si>
  <si>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</si>
  <si>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</si>
  <si>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</si>
  <si>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</si>
  <si>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</si>
  <si>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</si>
  <si>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WBS'!L6982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</si>
  <si>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</si>
  <si>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</si>
  <si>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</si>
  <si>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</si>
  <si>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</si>
  <si>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</si>
  <si>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</si>
  <si>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</si>
  <si>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WBS'!L6983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</si>
  <si>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</si>
  <si>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</si>
  <si>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</si>
  <si>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WBS'!L6984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</si>
  <si>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</si>
  <si>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</si>
  <si>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</si>
  <si>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</si>
  <si>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</si>
  <si>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</si>
  <si>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WBS'!L6985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</si>
  <si>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</si>
  <si>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</si>
  <si>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</si>
  <si>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</si>
  <si>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</si>
  <si>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</si>
  <si>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</si>
  <si>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</si>
  <si>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</si>
  <si>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</si>
  <si>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</si>
  <si>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</si>
  <si>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WBS'!L6987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</si>
  <si>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</si>
  <si>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</si>
  <si>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</si>
  <si>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</si>
  <si>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</si>
  <si>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</si>
  <si>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</si>
  <si>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</si>
  <si>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</si>
  <si>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</si>
  <si>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</si>
  <si>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</si>
  <si>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</si>
  <si>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</si>
  <si>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</si>
  <si>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</si>
  <si>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</si>
  <si>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</si>
  <si>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</si>
  <si>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</si>
  <si>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</si>
  <si>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</si>
  <si>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</si>
  <si>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</si>
  <si>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</si>
  <si>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</si>
  <si>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</si>
  <si>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</si>
  <si>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</si>
  <si>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</si>
  <si>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</si>
  <si>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</si>
  <si>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</si>
  <si>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</si>
  <si>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</si>
  <si>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</si>
  <si>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</si>
  <si>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</si>
  <si>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</si>
  <si>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</si>
  <si>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</si>
  <si>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</si>
  <si>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</si>
  <si>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</si>
  <si>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</si>
  <si>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</si>
  <si>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</si>
  <si>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</si>
  <si>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</si>
  <si>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</si>
  <si>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</si>
  <si>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</si>
  <si>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</si>
  <si>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</si>
  <si>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</si>
  <si>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</si>
  <si>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</si>
  <si>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</si>
  <si>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</si>
  <si>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</si>
  <si>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</si>
  <si>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</si>
  <si>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</si>
  <si>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</si>
  <si>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</si>
  <si>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</si>
  <si>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</si>
  <si>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</si>
  <si>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</si>
  <si>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</si>
  <si>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</si>
  <si>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</si>
  <si>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</si>
  <si>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</si>
  <si>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</si>
  <si>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</si>
  <si>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</si>
  <si>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</si>
  <si>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</si>
  <si>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</si>
  <si>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</si>
  <si>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</si>
  <si>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</si>
  <si>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</si>
  <si>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</si>
  <si>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</si>
  <si>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</si>
  <si>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</si>
  <si>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</si>
  <si>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</si>
  <si>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</si>
  <si>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</si>
  <si>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</si>
  <si>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</si>
  <si>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</si>
  <si>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</si>
  <si>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</si>
  <si>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</si>
  <si>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</si>
  <si>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</si>
  <si>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</si>
  <si>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</si>
  <si>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</si>
  <si>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</si>
  <si>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</si>
  <si>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</si>
  <si>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</si>
  <si>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</si>
  <si>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</si>
  <si>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</si>
  <si>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</si>
  <si>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</si>
  <si>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WBS'!L7006</t>
    </r>
  </si>
  <si>
    <t xml:space="preserve">2.5</t>
  </si>
  <si>
    <t xml:space="preserve">ติดตั้ง Inverter</t>
  </si>
  <si>
    <t xml:space="preserve">Inverter 375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</si>
  <si>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</si>
  <si>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</si>
  <si>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</si>
  <si>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</si>
  <si>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</si>
  <si>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</si>
  <si>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</si>
  <si>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</si>
  <si>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</si>
  <si>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</si>
  <si>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</si>
  <si>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</si>
  <si>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</si>
  <si>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</si>
  <si>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</si>
  <si>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</si>
  <si>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WBS'!L7010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</si>
  <si>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</si>
  <si>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</si>
  <si>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</si>
  <si>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</si>
  <si>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</si>
  <si>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</si>
  <si>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</si>
  <si>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</si>
  <si>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</si>
  <si>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</si>
  <si>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</si>
  <si>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</si>
  <si>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</si>
  <si>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</si>
  <si>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</si>
  <si>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</si>
  <si>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</si>
  <si>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</si>
  <si>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</si>
  <si>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</si>
  <si>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</si>
  <si>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</si>
  <si>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</si>
  <si>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</si>
  <si>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</si>
  <si>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</si>
  <si>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</si>
  <si>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</si>
  <si>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</si>
  <si>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</si>
  <si>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</si>
  <si>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</si>
  <si>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</si>
  <si>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</si>
  <si>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</si>
  <si>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</si>
  <si>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</si>
  <si>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</si>
  <si>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</si>
  <si>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WBS'!L7018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</si>
  <si>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</si>
  <si>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</si>
  <si>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</si>
  <si>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</si>
  <si>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</si>
  <si>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</si>
  <si>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</si>
  <si>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</si>
  <si>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</si>
  <si>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</si>
  <si>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</si>
  <si>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</si>
  <si>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</si>
  <si>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WBS'!L7019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</si>
  <si>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</si>
  <si>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</si>
  <si>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</si>
  <si>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</si>
  <si>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</si>
  <si>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</si>
  <si>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</si>
  <si>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</si>
  <si>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</si>
  <si>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</si>
  <si>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</si>
  <si>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</si>
  <si>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</si>
  <si>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</si>
  <si>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</si>
  <si>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</si>
  <si>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</si>
  <si>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</si>
  <si>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</si>
  <si>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</si>
  <si>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</si>
  <si>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</si>
  <si>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</si>
  <si>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</si>
  <si>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</si>
  <si>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</si>
  <si>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WBS'!L7025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</si>
  <si>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</si>
  <si>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</si>
  <si>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</si>
  <si>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</si>
  <si>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</si>
  <si>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</si>
  <si>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</si>
  <si>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</si>
  <si>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</si>
  <si>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</si>
  <si>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</si>
  <si>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</si>
  <si>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</si>
  <si>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</si>
  <si>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</si>
  <si>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</si>
  <si>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</si>
  <si>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</si>
  <si>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</si>
  <si>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</si>
  <si>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</si>
  <si>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</si>
  <si>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</si>
  <si>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</si>
  <si>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</si>
  <si>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</si>
  <si>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</si>
  <si>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</si>
  <si>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</si>
  <si>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</si>
  <si>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</si>
  <si>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</si>
  <si>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</si>
  <si>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</si>
  <si>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</si>
  <si>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</si>
  <si>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</si>
  <si>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</si>
  <si>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</si>
  <si>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</si>
  <si>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</si>
  <si>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</si>
  <si>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</si>
  <si>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</si>
  <si>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</si>
  <si>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</si>
  <si>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</si>
  <si>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</si>
  <si>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</si>
  <si>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</si>
  <si>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</si>
  <si>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</si>
  <si>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</si>
  <si>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</si>
  <si>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</si>
  <si>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</si>
  <si>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</si>
  <si>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</si>
  <si>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</si>
  <si>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</si>
  <si>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</si>
  <si>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</si>
  <si>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</si>
  <si>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</si>
  <si>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</si>
  <si>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</si>
  <si>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</si>
  <si>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</si>
  <si>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</si>
  <si>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</si>
  <si>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</si>
  <si>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</si>
  <si>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</si>
  <si>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</si>
  <si>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</si>
  <si>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</si>
  <si>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</si>
  <si>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</si>
  <si>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</si>
  <si>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</si>
  <si>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</si>
  <si>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</si>
  <si>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</si>
  <si>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</si>
  <si>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</si>
  <si>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</si>
  <si>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</si>
  <si>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</si>
  <si>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</si>
  <si>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</si>
  <si>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</si>
  <si>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</si>
  <si>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</si>
  <si>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</si>
  <si>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</si>
  <si>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</si>
  <si>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</si>
  <si>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</si>
  <si>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</si>
  <si>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</si>
  <si>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</si>
  <si>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</si>
  <si>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</si>
  <si>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</si>
  <si>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</si>
  <si>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</si>
  <si>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</si>
  <si>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</si>
  <si>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</si>
  <si>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</si>
  <si>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</si>
  <si>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</si>
  <si>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</si>
  <si>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</si>
  <si>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</si>
  <si>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</si>
  <si>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</si>
  <si>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</si>
  <si>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</si>
  <si>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</si>
  <si>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</si>
  <si>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สถานีผลิตน้ำท่าจีน การประปาส่วนภูมิภาคสาขากันตัง ขนาดกำลังผลิต </t>
    </r>
    <r>
      <rPr>
        <sz val="10"/>
        <rFont val="Tahoma"/>
        <family val="0"/>
        <charset val="1"/>
      </rPr>
      <t xml:space="preserve">340.86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</si>
  <si>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</si>
  <si>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</si>
  <si>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</si>
  <si>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P4-051,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</si>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</sst>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</c:v>
                </c:pt>
                <c:pt idx="8">
                  <c:v>0.6666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0.9999</c:v>
                </c:pt>
                <c:pt idx="18">
                  <c:v>0.9999</c:v>
                </c:pt>
                <c:pt idx="19">
                  <c:v>1.9999</c:v>
                </c:pt>
                <c:pt idx="20">
                  <c:v>1.9999</c:v>
                </c:pt>
                <c:pt idx="21">
                  <c:v>1.9999</c:v>
                </c:pt>
                <c:pt idx="22">
                  <c:v>1.9999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141745"/>
        <c:axId val="63945869"/>
      </c:lineChart>
      <c:catAx>
        <c:axId val="8414174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45869"/>
        <c:crosses val="autoZero"/>
        <c:auto val="1"/>
        <c:lblAlgn val="ctr"/>
        <c:lblOffset val="100"/>
        <c:noMultiLvlLbl val="0"/>
      </c:catAx>
      <c:valAx>
        <c:axId val="63945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417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46462</v>
      </c>
      <c r="G4" s="10"/>
      <c r="H4" s="10"/>
      <c r="J4" s="11" t="n">
        <v>0.02</v>
      </c>
      <c r="K4" s="11"/>
      <c r="L4" s="12" t="n">
        <v>143</v>
      </c>
      <c r="M4" s="12"/>
      <c r="N4" s="12" t="n">
        <v>146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46265</v>
      </c>
      <c r="O8" s="33" t="n">
        <v>46479</v>
      </c>
      <c r="P8" s="34" t="s">
        <v>75</v>
      </c>
      <c r="Q8" s="31" t="n">
        <v>146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46479</v>
      </c>
      <c r="P9" s="46" t="s">
        <v>75</v>
      </c>
      <c r="Q9" s="37" t="n">
        <v>146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46331</v>
      </c>
      <c r="P10" s="50" t="s">
        <v>75</v>
      </c>
      <c r="Q10" s="52" t="n">
        <v>111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46331</v>
      </c>
      <c r="P11" s="50" t="s">
        <v>75</v>
      </c>
      <c r="Q11" s="52" t="n">
        <v>111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46331</v>
      </c>
      <c r="P12" s="50" t="s">
        <v>75</v>
      </c>
      <c r="Q12" s="52" t="n">
        <v>111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46339</v>
      </c>
      <c r="P13" s="50" t="s">
        <v>75</v>
      </c>
      <c r="Q13" s="52" t="n">
        <v>112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46331</v>
      </c>
      <c r="O14" s="55" t="n">
        <v>46479</v>
      </c>
      <c r="P14" s="50" t="s">
        <v>105</v>
      </c>
      <c r="Q14" s="52" t="n">
        <v>146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46331</v>
      </c>
      <c r="O15" s="55" t="n">
        <v>46479</v>
      </c>
      <c r="P15" s="50" t="s">
        <v>105</v>
      </c>
      <c r="Q15" s="52" t="n">
        <v>146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46227</v>
      </c>
      <c r="J16" s="41" t="n">
        <v>46238</v>
      </c>
      <c r="K16" s="42"/>
      <c r="L16" s="42" t="n">
        <v>46274</v>
      </c>
      <c r="M16" s="43"/>
      <c r="N16" s="44" t="n">
        <v>46265</v>
      </c>
      <c r="O16" s="45" t="n">
        <v>46274</v>
      </c>
      <c r="P16" s="46" t="s">
        <v>60</v>
      </c>
      <c r="Q16" s="37" t="n">
        <v>36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46265</v>
      </c>
      <c r="O17" s="55" t="n">
        <v>46267</v>
      </c>
      <c r="P17" s="50" t="s">
        <v>124</v>
      </c>
      <c r="Q17" s="52" t="n">
        <v>38</v>
      </c>
      <c r="R17" s="52"/>
      <c r="S17" s="52" t="n">
        <v>2</v>
      </c>
      <c r="T17" s="52" t="s">
        <v>125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126</v>
      </c>
      <c r="B18" s="50" t="s">
        <v>127</v>
      </c>
      <c r="C18" s="50" t="s">
        <v>128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129</v>
      </c>
      <c r="N18" s="55" t="n">
        <v>46266</v>
      </c>
      <c r="O18" s="55" t="n">
        <v>46269</v>
      </c>
      <c r="P18" s="50" t="s">
        <v>124</v>
      </c>
      <c r="Q18" s="52" t="n">
        <v>38</v>
      </c>
      <c r="R18" s="52"/>
      <c r="S18" s="52" t="n">
        <v>2</v>
      </c>
      <c r="T18" s="52" t="s">
        <v>125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130</v>
      </c>
      <c r="B19" s="50" t="s">
        <v>131</v>
      </c>
      <c r="C19" s="50" t="s">
        <v>132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133</v>
      </c>
      <c r="N19" s="55" t="n">
        <v>46268</v>
      </c>
      <c r="O19" s="55" t="n">
        <v>46271</v>
      </c>
      <c r="P19" s="50" t="s">
        <v>124</v>
      </c>
      <c r="Q19" s="52" t="n">
        <v>36</v>
      </c>
      <c r="R19" s="52"/>
      <c r="S19" s="52" t="n">
        <v>2</v>
      </c>
      <c r="T19" s="52" t="s">
        <v>125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134</v>
      </c>
      <c r="B20" s="50" t="s">
        <v>135</v>
      </c>
      <c r="C20" s="50" t="s">
        <v>136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137</v>
      </c>
      <c r="N20" s="55" t="n">
        <v>46268</v>
      </c>
      <c r="O20" s="55" t="n">
        <v>46271</v>
      </c>
      <c r="P20" s="50" t="s">
        <v>124</v>
      </c>
      <c r="Q20" s="52" t="n">
        <v>36</v>
      </c>
      <c r="R20" s="52"/>
      <c r="S20" s="52" t="n">
        <v>2</v>
      </c>
      <c r="T20" s="52" t="s">
        <v>125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138</v>
      </c>
      <c r="B21" s="50" t="s">
        <v>139</v>
      </c>
      <c r="C21" s="50" t="s">
        <v>140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141</v>
      </c>
      <c r="N21" s="55" t="n">
        <v>46269</v>
      </c>
      <c r="O21" s="55" t="n">
        <v>46272</v>
      </c>
      <c r="P21" s="50" t="s">
        <v>124</v>
      </c>
      <c r="Q21" s="52" t="n">
        <v>36</v>
      </c>
      <c r="R21" s="52"/>
      <c r="S21" s="52" t="n">
        <v>2</v>
      </c>
      <c r="T21" s="52" t="s">
        <v>125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142</v>
      </c>
      <c r="B22" s="50" t="s">
        <v>143</v>
      </c>
      <c r="C22" s="50" t="s">
        <v>144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145</v>
      </c>
      <c r="N22" s="55" t="n">
        <v>46270</v>
      </c>
      <c r="O22" s="55" t="n">
        <v>46273</v>
      </c>
      <c r="P22" s="50" t="s">
        <v>124</v>
      </c>
      <c r="Q22" s="52" t="n">
        <v>36</v>
      </c>
      <c r="R22" s="52"/>
      <c r="S22" s="52" t="n">
        <v>2</v>
      </c>
      <c r="T22" s="52" t="s">
        <v>125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146</v>
      </c>
      <c r="B23" s="50" t="s">
        <v>147</v>
      </c>
      <c r="C23" s="50" t="s">
        <v>148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149</v>
      </c>
      <c r="Q23" s="52"/>
      <c r="R23" s="52"/>
      <c r="S23" s="52" t="n">
        <v>2</v>
      </c>
      <c r="T23" s="52" t="s">
        <v>150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151</v>
      </c>
      <c r="B24" s="50" t="s">
        <v>152</v>
      </c>
      <c r="C24" s="50" t="s">
        <v>153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154</v>
      </c>
      <c r="N24" s="55" t="n">
        <v>46270</v>
      </c>
      <c r="O24" s="55" t="n">
        <v>46274</v>
      </c>
      <c r="P24" s="50" t="s">
        <v>124</v>
      </c>
      <c r="Q24" s="52" t="n">
        <v>36</v>
      </c>
      <c r="R24" s="52"/>
      <c r="S24" s="52" t="n">
        <v>2</v>
      </c>
      <c r="T24" s="52" t="s">
        <v>125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155</v>
      </c>
      <c r="B25" s="39" t="s">
        <v>156</v>
      </c>
      <c r="C25" s="38" t="s">
        <v>157</v>
      </c>
      <c r="D25" s="39" t="s">
        <v>114</v>
      </c>
      <c r="E25" s="40" t="n">
        <v>0</v>
      </c>
      <c r="F25" s="39" t="s">
        <v>158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34</v>
      </c>
      <c r="R25" s="39"/>
      <c r="S25" s="39" t="n">
        <v>1</v>
      </c>
      <c r="T25" s="39" t="s">
        <v>116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46266</v>
      </c>
      <c r="O26" s="55" t="n">
        <v>46266</v>
      </c>
      <c r="P26" s="50" t="s">
        <v>124</v>
      </c>
      <c r="Q26" s="52" t="n">
        <v>34</v>
      </c>
      <c r="R26" s="52"/>
      <c r="S26" s="52" t="n">
        <v>2</v>
      </c>
      <c r="T26" s="52" t="s">
        <v>125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46266</v>
      </c>
      <c r="O27" s="55" t="n">
        <v>46266</v>
      </c>
      <c r="P27" s="50" t="s">
        <v>124</v>
      </c>
      <c r="Q27" s="52" t="n">
        <v>34</v>
      </c>
      <c r="R27" s="52"/>
      <c r="S27" s="52" t="n">
        <v>2</v>
      </c>
      <c r="T27" s="52" t="s">
        <v>125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46266</v>
      </c>
      <c r="O28" s="55" t="n">
        <v>46266</v>
      </c>
      <c r="P28" s="50" t="s">
        <v>124</v>
      </c>
      <c r="Q28" s="52" t="n">
        <v>34</v>
      </c>
      <c r="R28" s="52"/>
      <c r="S28" s="52" t="n">
        <v>2</v>
      </c>
      <c r="T28" s="52" t="s">
        <v>125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46462</v>
      </c>
      <c r="P29" s="34" t="s">
        <v>75</v>
      </c>
      <c r="Q29" s="31" t="n">
        <v>146</v>
      </c>
      <c r="R29" s="31"/>
      <c r="S29" s="31" t="n">
        <v>0</v>
      </c>
      <c r="T29" s="31" t="s">
        <v>76</v>
      </c>
      <c r="U29" s="31"/>
      <c r="V29" s="35" t="n">
        <v>0.4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28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46314</v>
      </c>
      <c r="O39" s="45" t="n">
        <v>46314</v>
      </c>
      <c r="P39" s="46" t="s">
        <v>75</v>
      </c>
      <c r="Q39" s="37" t="n">
        <v>76</v>
      </c>
      <c r="R39" s="39"/>
      <c r="S39" s="39" t="n">
        <v>1</v>
      </c>
      <c r="T39" s="39" t="s">
        <v>76</v>
      </c>
      <c r="U39" s="57" t="n">
        <v>46314.0039</v>
      </c>
      <c r="V39" s="47" t="n">
        <v>0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46314</v>
      </c>
      <c r="O40" s="55" t="n">
        <v>46314</v>
      </c>
      <c r="P40" s="50" t="s">
        <v>75</v>
      </c>
      <c r="Q40" s="52" t="n">
        <v>76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46314</v>
      </c>
      <c r="O41" s="55" t="n">
        <v>46314</v>
      </c>
      <c r="P41" s="50" t="s">
        <v>75</v>
      </c>
      <c r="Q41" s="52" t="n">
        <v>76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46314</v>
      </c>
      <c r="O42" s="55" t="n">
        <v>46314</v>
      </c>
      <c r="P42" s="50" t="s">
        <v>75</v>
      </c>
      <c r="Q42" s="52" t="n">
        <v>76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114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230</v>
      </c>
      <c r="N43" s="44" t="n">
        <v>46215</v>
      </c>
      <c r="O43" s="45" t="n">
        <v>46228</v>
      </c>
      <c r="P43" s="46" t="s">
        <v>231</v>
      </c>
      <c r="Q43" s="37" t="n">
        <v>0</v>
      </c>
      <c r="R43" s="39"/>
      <c r="S43" s="39" t="n">
        <v>1</v>
      </c>
      <c r="T43" s="39" t="s">
        <v>125</v>
      </c>
      <c r="U43" s="39"/>
      <c r="V43" s="47" t="n">
        <v>1</v>
      </c>
      <c r="W43" s="38" t="s">
        <v>80</v>
      </c>
      <c r="X43" s="39" t="s">
        <v>232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233</v>
      </c>
      <c r="B44" s="50" t="s">
        <v>234</v>
      </c>
      <c r="C44" s="50" t="s">
        <v>235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236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125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237</v>
      </c>
      <c r="B45" s="50" t="s">
        <v>238</v>
      </c>
      <c r="C45" s="50" t="s">
        <v>239</v>
      </c>
      <c r="D45" s="52" t="s">
        <v>122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240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125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241</v>
      </c>
      <c r="B46" s="50" t="s">
        <v>242</v>
      </c>
      <c r="C46" s="50" t="s">
        <v>243</v>
      </c>
      <c r="D46" s="52" t="s">
        <v>122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244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125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245</v>
      </c>
      <c r="B47" s="39" t="s">
        <v>246</v>
      </c>
      <c r="C47" s="39"/>
      <c r="D47" s="39" t="s">
        <v>114</v>
      </c>
      <c r="E47" s="40" t="n">
        <v>1</v>
      </c>
      <c r="F47" s="38" t="s">
        <v>247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46293</v>
      </c>
      <c r="M47" s="43"/>
      <c r="N47" s="44" t="n">
        <v>46293</v>
      </c>
      <c r="O47" s="45" t="n">
        <v>46293</v>
      </c>
      <c r="P47" s="46" t="s">
        <v>60</v>
      </c>
      <c r="Q47" s="37" t="n">
        <v>22</v>
      </c>
      <c r="R47" s="39"/>
      <c r="S47" s="39" t="n">
        <v>1</v>
      </c>
      <c r="T47" s="39" t="s">
        <v>116</v>
      </c>
      <c r="U47" s="39"/>
      <c r="V47" s="47" t="n">
        <v>1</v>
      </c>
      <c r="W47" s="38" t="s">
        <v>80</v>
      </c>
      <c r="X47" s="39" t="s">
        <v>248</v>
      </c>
      <c r="Y47" s="38" t="s">
        <v>249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122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253</v>
      </c>
      <c r="N48" s="55" t="n">
        <v>46293</v>
      </c>
      <c r="O48" s="55" t="n">
        <v>46293</v>
      </c>
      <c r="P48" s="50" t="s">
        <v>124</v>
      </c>
      <c r="Q48" s="52" t="n">
        <v>22</v>
      </c>
      <c r="R48" s="52"/>
      <c r="S48" s="52" t="n">
        <v>2</v>
      </c>
      <c r="T48" s="52" t="s">
        <v>125</v>
      </c>
      <c r="U48" s="52"/>
      <c r="V48" s="56" t="n">
        <v>1</v>
      </c>
      <c r="W48" s="50" t="s">
        <v>86</v>
      </c>
      <c r="X48" s="52"/>
      <c r="Y48" s="52" t="s">
        <v>249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254</v>
      </c>
      <c r="B49" s="50" t="s">
        <v>255</v>
      </c>
      <c r="C49" s="50" t="s">
        <v>256</v>
      </c>
      <c r="D49" s="52" t="s">
        <v>122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257</v>
      </c>
      <c r="N49" s="55" t="n">
        <v>46293</v>
      </c>
      <c r="O49" s="55" t="n">
        <v>46293</v>
      </c>
      <c r="P49" s="50" t="s">
        <v>124</v>
      </c>
      <c r="Q49" s="52" t="n">
        <v>22</v>
      </c>
      <c r="R49" s="52"/>
      <c r="S49" s="52" t="n">
        <v>2</v>
      </c>
      <c r="T49" s="52" t="s">
        <v>125</v>
      </c>
      <c r="U49" s="52"/>
      <c r="V49" s="56" t="n">
        <v>1</v>
      </c>
      <c r="W49" s="52" t="s">
        <v>80</v>
      </c>
      <c r="X49" s="52"/>
      <c r="Y49" s="52" t="s">
        <v>249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258</v>
      </c>
      <c r="B50" s="39" t="s">
        <v>259</v>
      </c>
      <c r="C50" s="39"/>
      <c r="D50" s="39" t="s">
        <v>260</v>
      </c>
      <c r="E50" s="40" t="n">
        <v>0</v>
      </c>
      <c r="F50" s="38" t="s">
        <v>245</v>
      </c>
      <c r="G50" s="37" t="n">
        <v>0</v>
      </c>
      <c r="H50" s="58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7" t="n">
        <v>46314.005</v>
      </c>
      <c r="V50" s="47" t="n">
        <v>0</v>
      </c>
      <c r="W50" s="38" t="s">
        <v>80</v>
      </c>
      <c r="X50" s="39"/>
      <c r="Y50" s="38" t="s">
        <v>249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261</v>
      </c>
      <c r="B51" s="50" t="s">
        <v>262</v>
      </c>
      <c r="C51" s="50" t="s">
        <v>263</v>
      </c>
      <c r="D51" s="52" t="s">
        <v>122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264</v>
      </c>
      <c r="N51" s="55" t="n">
        <v>46293</v>
      </c>
      <c r="O51" s="55" t="n">
        <v>46293</v>
      </c>
      <c r="P51" s="50" t="s">
        <v>124</v>
      </c>
      <c r="Q51" s="52" t="n">
        <v>22</v>
      </c>
      <c r="R51" s="52"/>
      <c r="S51" s="52" t="n">
        <v>2</v>
      </c>
      <c r="T51" s="52" t="s">
        <v>125</v>
      </c>
      <c r="U51" s="52"/>
      <c r="V51" s="56" t="n">
        <v>1</v>
      </c>
      <c r="W51" s="52" t="s">
        <v>80</v>
      </c>
      <c r="X51" s="52"/>
      <c r="Y51" s="52" t="s">
        <v>249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265</v>
      </c>
      <c r="B52" s="38" t="s">
        <v>266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267</v>
      </c>
      <c r="Q52" s="37"/>
      <c r="R52" s="39"/>
      <c r="S52" s="39" t="n">
        <v>1</v>
      </c>
      <c r="T52" s="39" t="s">
        <v>268</v>
      </c>
      <c r="U52" s="39"/>
      <c r="V52" s="47" t="n">
        <v>0</v>
      </c>
      <c r="W52" s="38" t="s">
        <v>80</v>
      </c>
      <c r="X52" s="39" t="s">
        <v>269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270</v>
      </c>
      <c r="B53" s="50" t="s">
        <v>271</v>
      </c>
      <c r="C53" s="50" t="s">
        <v>272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273</v>
      </c>
      <c r="N53" s="55"/>
      <c r="O53" s="55"/>
      <c r="P53" s="50" t="s">
        <v>267</v>
      </c>
      <c r="Q53" s="52"/>
      <c r="R53" s="52"/>
      <c r="S53" s="52" t="n">
        <v>2</v>
      </c>
      <c r="T53" s="52" t="s">
        <v>268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274</v>
      </c>
      <c r="B54" s="50" t="s">
        <v>275</v>
      </c>
      <c r="C54" s="50" t="s">
        <v>276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277</v>
      </c>
      <c r="N54" s="55"/>
      <c r="O54" s="55"/>
      <c r="P54" s="50" t="s">
        <v>267</v>
      </c>
      <c r="Q54" s="52"/>
      <c r="R54" s="52"/>
      <c r="S54" s="52" t="n">
        <v>2</v>
      </c>
      <c r="T54" s="52" t="s">
        <v>268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278</v>
      </c>
      <c r="B55" s="39" t="s">
        <v>279</v>
      </c>
      <c r="C55" s="39"/>
      <c r="D55" s="39" t="s">
        <v>114</v>
      </c>
      <c r="E55" s="40" t="n">
        <v>1</v>
      </c>
      <c r="F55" s="38" t="s">
        <v>247</v>
      </c>
      <c r="G55" s="37"/>
      <c r="H55" s="37" t="n">
        <v>1</v>
      </c>
      <c r="I55" s="41" t="n">
        <v>46271</v>
      </c>
      <c r="J55" s="41" t="n">
        <v>46271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85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280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281</v>
      </c>
      <c r="B56" s="39" t="s">
        <v>282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267</v>
      </c>
      <c r="Q56" s="37"/>
      <c r="R56" s="39"/>
      <c r="S56" s="39" t="n">
        <v>1</v>
      </c>
      <c r="T56" s="39" t="s">
        <v>268</v>
      </c>
      <c r="U56" s="39"/>
      <c r="V56" s="47" t="n">
        <v>0</v>
      </c>
      <c r="W56" s="38" t="s">
        <v>80</v>
      </c>
      <c r="X56" s="39"/>
      <c r="Y56" s="38" t="s">
        <v>280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283</v>
      </c>
      <c r="B57" s="39" t="s">
        <v>284</v>
      </c>
      <c r="C57" s="39"/>
      <c r="D57" s="39" t="s">
        <v>285</v>
      </c>
      <c r="E57" s="40" t="n">
        <v>0</v>
      </c>
      <c r="F57" s="38" t="s">
        <v>247</v>
      </c>
      <c r="G57" s="37"/>
      <c r="H57" s="37" t="n">
        <v>21</v>
      </c>
      <c r="I57" s="41" t="n">
        <v>46272</v>
      </c>
      <c r="J57" s="41" t="n">
        <v>46292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87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280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286</v>
      </c>
      <c r="B58" s="39" t="s">
        <v>287</v>
      </c>
      <c r="C58" s="39"/>
      <c r="D58" s="39" t="s">
        <v>114</v>
      </c>
      <c r="E58" s="40" t="n">
        <v>0</v>
      </c>
      <c r="F58" s="38" t="s">
        <v>247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87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/>
      <c r="D59" s="39" t="s">
        <v>114</v>
      </c>
      <c r="E59" s="40" t="n">
        <v>0</v>
      </c>
      <c r="F59" s="38" t="s">
        <v>247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46419</v>
      </c>
      <c r="O59" s="45" t="n">
        <v>46419</v>
      </c>
      <c r="P59" s="46" t="s">
        <v>105</v>
      </c>
      <c r="Q59" s="37" t="n">
        <v>119</v>
      </c>
      <c r="R59" s="39"/>
      <c r="S59" s="39" t="n">
        <v>1</v>
      </c>
      <c r="T59" s="39" t="s">
        <v>106</v>
      </c>
      <c r="U59" s="57" t="n">
        <v>46419.0059</v>
      </c>
      <c r="V59" s="47" t="n">
        <v>0</v>
      </c>
      <c r="W59" s="39" t="s">
        <v>86</v>
      </c>
      <c r="X59" s="39"/>
      <c r="Y59" s="38" t="s">
        <v>291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292</v>
      </c>
      <c r="B60" s="59" t="s">
        <v>293</v>
      </c>
      <c r="C60" s="39"/>
      <c r="D60" s="39" t="s">
        <v>79</v>
      </c>
      <c r="E60" s="40" t="n">
        <v>0</v>
      </c>
      <c r="F60" s="38" t="s">
        <v>247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46421</v>
      </c>
      <c r="O60" s="60" t="n">
        <v>46462</v>
      </c>
      <c r="P60" s="46" t="s">
        <v>105</v>
      </c>
      <c r="Q60" s="37" t="n">
        <v>146</v>
      </c>
      <c r="R60" s="39"/>
      <c r="S60" s="39" t="n">
        <v>1</v>
      </c>
      <c r="T60" s="39" t="s">
        <v>106</v>
      </c>
      <c r="U60" s="57" t="n">
        <v>46421.006</v>
      </c>
      <c r="V60" s="47" t="n">
        <v>0</v>
      </c>
      <c r="W60" s="38" t="s">
        <v>80</v>
      </c>
      <c r="X60" s="39"/>
      <c r="Y60" s="38" t="s">
        <v>291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46314</v>
      </c>
      <c r="O61" s="33" t="n">
        <v>46349</v>
      </c>
      <c r="P61" s="34" t="s">
        <v>75</v>
      </c>
      <c r="Q61" s="31" t="n">
        <v>79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34</v>
      </c>
      <c r="I62" s="41" t="n">
        <v>46241</v>
      </c>
      <c r="J62" s="41" t="n">
        <v>46258</v>
      </c>
      <c r="K62" s="42"/>
      <c r="L62" s="42"/>
      <c r="M62" s="43"/>
      <c r="N62" s="44" t="n">
        <v>46314</v>
      </c>
      <c r="O62" s="45" t="n">
        <v>46333</v>
      </c>
      <c r="P62" s="46" t="s">
        <v>75</v>
      </c>
      <c r="Q62" s="37" t="n">
        <v>75</v>
      </c>
      <c r="R62" s="39"/>
      <c r="S62" s="39" t="n">
        <v>1</v>
      </c>
      <c r="T62" s="39" t="s">
        <v>76</v>
      </c>
      <c r="U62" s="57" t="n">
        <v>46314.0062</v>
      </c>
      <c r="V62" s="47" t="n">
        <v>0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306</v>
      </c>
      <c r="N63" s="55" t="n">
        <v>46314</v>
      </c>
      <c r="O63" s="55" t="n">
        <v>46316</v>
      </c>
      <c r="P63" s="50" t="s">
        <v>75</v>
      </c>
      <c r="Q63" s="52" t="n">
        <v>73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310</v>
      </c>
      <c r="N64" s="55" t="n">
        <v>46314</v>
      </c>
      <c r="O64" s="55" t="n">
        <v>46318</v>
      </c>
      <c r="P64" s="50" t="s">
        <v>75</v>
      </c>
      <c r="Q64" s="52" t="n">
        <v>74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314</v>
      </c>
      <c r="N65" s="55" t="n">
        <v>46316</v>
      </c>
      <c r="O65" s="55" t="n">
        <v>46324</v>
      </c>
      <c r="P65" s="50" t="s">
        <v>105</v>
      </c>
      <c r="Q65" s="52" t="n">
        <v>75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318</v>
      </c>
      <c r="N66" s="55" t="n">
        <v>46322</v>
      </c>
      <c r="O66" s="55" t="n">
        <v>46330</v>
      </c>
      <c r="P66" s="50" t="s">
        <v>105</v>
      </c>
      <c r="Q66" s="52" t="n">
        <v>75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322</v>
      </c>
      <c r="N67" s="55" t="n">
        <v>46325</v>
      </c>
      <c r="O67" s="55" t="n">
        <v>46332</v>
      </c>
      <c r="P67" s="50" t="s">
        <v>105</v>
      </c>
      <c r="Q67" s="52" t="n">
        <v>75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326</v>
      </c>
      <c r="N68" s="55" t="n">
        <v>46329</v>
      </c>
      <c r="O68" s="55" t="n">
        <v>46333</v>
      </c>
      <c r="P68" s="50" t="s">
        <v>105</v>
      </c>
      <c r="Q68" s="52" t="n">
        <v>75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330</v>
      </c>
      <c r="N69" s="55" t="n">
        <v>46332</v>
      </c>
      <c r="O69" s="55" t="n">
        <v>46333</v>
      </c>
      <c r="P69" s="50" t="s">
        <v>105</v>
      </c>
      <c r="Q69" s="52" t="n">
        <v>75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78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338</v>
      </c>
      <c r="N71" s="55" t="n">
        <v>46343</v>
      </c>
      <c r="O71" s="55" t="n">
        <v>46344</v>
      </c>
      <c r="P71" s="50" t="s">
        <v>105</v>
      </c>
      <c r="Q71" s="52" t="n">
        <v>81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342</v>
      </c>
      <c r="N72" s="55" t="n">
        <v>46344</v>
      </c>
      <c r="O72" s="55" t="n">
        <v>46345</v>
      </c>
      <c r="P72" s="50" t="s">
        <v>105</v>
      </c>
      <c r="Q72" s="52" t="n">
        <v>79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346</v>
      </c>
      <c r="N73" s="55" t="n">
        <v>46344</v>
      </c>
      <c r="O73" s="55" t="n">
        <v>46345</v>
      </c>
      <c r="P73" s="50" t="s">
        <v>105</v>
      </c>
      <c r="Q73" s="52" t="n">
        <v>79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350</v>
      </c>
      <c r="N74" s="55" t="n">
        <v>46345</v>
      </c>
      <c r="O74" s="55" t="n">
        <v>46346</v>
      </c>
      <c r="P74" s="50" t="s">
        <v>105</v>
      </c>
      <c r="Q74" s="52" t="n">
        <v>78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354</v>
      </c>
      <c r="N75" s="55" t="n">
        <v>46345</v>
      </c>
      <c r="O75" s="55" t="n">
        <v>46346</v>
      </c>
      <c r="P75" s="50" t="s">
        <v>105</v>
      </c>
      <c r="Q75" s="52" t="n">
        <v>78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14</v>
      </c>
      <c r="I76" s="41" t="n">
        <v>46259</v>
      </c>
      <c r="J76" s="41" t="n">
        <v>46268</v>
      </c>
      <c r="K76" s="42"/>
      <c r="L76" s="42"/>
      <c r="M76" s="43"/>
      <c r="N76" s="44" t="n">
        <v>46334</v>
      </c>
      <c r="O76" s="45" t="n">
        <v>46347</v>
      </c>
      <c r="P76" s="46" t="s">
        <v>105</v>
      </c>
      <c r="Q76" s="37" t="n">
        <v>79</v>
      </c>
      <c r="R76" s="39"/>
      <c r="S76" s="39" t="n">
        <v>1</v>
      </c>
      <c r="T76" s="39" t="s">
        <v>106</v>
      </c>
      <c r="U76" s="57" t="n">
        <v>46334.0076</v>
      </c>
      <c r="V76" s="47" t="n">
        <v>0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362</v>
      </c>
      <c r="N77" s="55" t="n">
        <v>46334</v>
      </c>
      <c r="O77" s="55" t="n">
        <v>46338</v>
      </c>
      <c r="P77" s="50" t="s">
        <v>105</v>
      </c>
      <c r="Q77" s="52" t="n">
        <v>76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366</v>
      </c>
      <c r="N78" s="55" t="n">
        <v>46335</v>
      </c>
      <c r="O78" s="55" t="n">
        <v>46345</v>
      </c>
      <c r="P78" s="50" t="s">
        <v>105</v>
      </c>
      <c r="Q78" s="52" t="n">
        <v>78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370</v>
      </c>
      <c r="N79" s="55" t="n">
        <v>46339</v>
      </c>
      <c r="O79" s="55" t="n">
        <v>46346</v>
      </c>
      <c r="P79" s="50" t="s">
        <v>105</v>
      </c>
      <c r="Q79" s="52" t="n">
        <v>78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374</v>
      </c>
      <c r="N80" s="55" t="n">
        <v>46344</v>
      </c>
      <c r="O80" s="55" t="n">
        <v>46347</v>
      </c>
      <c r="P80" s="50" t="s">
        <v>105</v>
      </c>
      <c r="Q80" s="52" t="n">
        <v>79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378</v>
      </c>
      <c r="N81" s="55" t="n">
        <v>46346</v>
      </c>
      <c r="O81" s="55" t="n">
        <v>46347</v>
      </c>
      <c r="P81" s="50" t="s">
        <v>105</v>
      </c>
      <c r="Q81" s="52" t="n">
        <v>79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82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386</v>
      </c>
      <c r="N83" s="55" t="n">
        <v>46345</v>
      </c>
      <c r="O83" s="55" t="n">
        <v>46346</v>
      </c>
      <c r="P83" s="50" t="s">
        <v>105</v>
      </c>
      <c r="Q83" s="52" t="n">
        <v>82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390</v>
      </c>
      <c r="N84" s="55" t="n">
        <v>46346</v>
      </c>
      <c r="O84" s="55" t="n">
        <v>46347</v>
      </c>
      <c r="P84" s="50" t="s">
        <v>105</v>
      </c>
      <c r="Q84" s="52" t="n">
        <v>82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80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398</v>
      </c>
      <c r="N86" s="55" t="n">
        <v>46343</v>
      </c>
      <c r="O86" s="55" t="n">
        <v>46345</v>
      </c>
      <c r="P86" s="50" t="s">
        <v>105</v>
      </c>
      <c r="Q86" s="52" t="n">
        <v>83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402</v>
      </c>
      <c r="N87" s="55" t="n">
        <v>46344</v>
      </c>
      <c r="O87" s="55" t="n">
        <v>46346</v>
      </c>
      <c r="P87" s="50" t="s">
        <v>105</v>
      </c>
      <c r="Q87" s="52" t="n">
        <v>81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406</v>
      </c>
      <c r="N88" s="55" t="n">
        <v>46345</v>
      </c>
      <c r="O88" s="55" t="n">
        <v>46346</v>
      </c>
      <c r="P88" s="50" t="s">
        <v>105</v>
      </c>
      <c r="Q88" s="52" t="n">
        <v>80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410</v>
      </c>
      <c r="N89" s="55" t="n">
        <v>46346</v>
      </c>
      <c r="O89" s="55" t="n">
        <v>46346</v>
      </c>
      <c r="P89" s="50" t="s">
        <v>105</v>
      </c>
      <c r="Q89" s="52" t="n">
        <v>80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80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414</v>
      </c>
      <c r="Y90" s="38" t="s">
        <v>415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419</v>
      </c>
      <c r="N91" s="55" t="n">
        <v>46344</v>
      </c>
      <c r="O91" s="55" t="n">
        <v>46346</v>
      </c>
      <c r="P91" s="50" t="s">
        <v>105</v>
      </c>
      <c r="Q91" s="52" t="n">
        <v>83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415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423</v>
      </c>
      <c r="N92" s="55" t="n">
        <v>46346</v>
      </c>
      <c r="O92" s="55" t="n">
        <v>46347</v>
      </c>
      <c r="P92" s="50" t="s">
        <v>105</v>
      </c>
      <c r="Q92" s="52" t="n">
        <v>80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415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427</v>
      </c>
      <c r="N93" s="55" t="n">
        <v>46344</v>
      </c>
      <c r="O93" s="55" t="n">
        <v>46346</v>
      </c>
      <c r="P93" s="50" t="s">
        <v>105</v>
      </c>
      <c r="Q93" s="52" t="n">
        <v>84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415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431</v>
      </c>
      <c r="N94" s="55" t="n">
        <v>46346</v>
      </c>
      <c r="O94" s="55" t="n">
        <v>46347</v>
      </c>
      <c r="P94" s="50" t="s">
        <v>105</v>
      </c>
      <c r="Q94" s="52" t="n">
        <v>80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415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435</v>
      </c>
      <c r="N95" s="55" t="n">
        <v>46347</v>
      </c>
      <c r="O95" s="55" t="n">
        <v>46347</v>
      </c>
      <c r="P95" s="50" t="s">
        <v>105</v>
      </c>
      <c r="Q95" s="52" t="n">
        <v>80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415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80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438</v>
      </c>
      <c r="Y96" s="38" t="s">
        <v>415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442</v>
      </c>
      <c r="N97" s="55" t="n">
        <v>46345</v>
      </c>
      <c r="O97" s="55" t="n">
        <v>46347</v>
      </c>
      <c r="P97" s="50" t="s">
        <v>105</v>
      </c>
      <c r="Q97" s="52" t="n">
        <v>81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415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446</v>
      </c>
      <c r="N98" s="55" t="n">
        <v>46346</v>
      </c>
      <c r="O98" s="55" t="n">
        <v>46347</v>
      </c>
      <c r="P98" s="50" t="s">
        <v>105</v>
      </c>
      <c r="Q98" s="52" t="n">
        <v>80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415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450</v>
      </c>
      <c r="N99" s="55" t="n">
        <v>46347</v>
      </c>
      <c r="O99" s="55" t="n">
        <v>46347</v>
      </c>
      <c r="P99" s="50" t="s">
        <v>105</v>
      </c>
      <c r="Q99" s="52" t="n">
        <v>80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415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299</v>
      </c>
      <c r="E100" s="40" t="n">
        <v>5</v>
      </c>
      <c r="F100" s="39" t="s">
        <v>454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80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455</v>
      </c>
      <c r="Y100" s="38" t="s">
        <v>415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149</v>
      </c>
      <c r="Q101" s="52"/>
      <c r="R101" s="52"/>
      <c r="S101" s="52" t="n">
        <v>2</v>
      </c>
      <c r="T101" s="52" t="s">
        <v>150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149</v>
      </c>
      <c r="Q102" s="52"/>
      <c r="R102" s="52"/>
      <c r="S102" s="52" t="n">
        <v>2</v>
      </c>
      <c r="T102" s="52" t="s">
        <v>150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464</v>
      </c>
      <c r="N103" s="55" t="n">
        <v>46346</v>
      </c>
      <c r="O103" s="55" t="n">
        <v>46347</v>
      </c>
      <c r="P103" s="50" t="s">
        <v>105</v>
      </c>
      <c r="Q103" s="52" t="n">
        <v>80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 t="s">
        <v>415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468</v>
      </c>
      <c r="N104" s="55" t="n">
        <v>46347</v>
      </c>
      <c r="O104" s="55" t="n">
        <v>46348</v>
      </c>
      <c r="P104" s="50" t="s">
        <v>105</v>
      </c>
      <c r="Q104" s="52" t="n">
        <v>81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415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472</v>
      </c>
      <c r="N105" s="55" t="n">
        <v>46347</v>
      </c>
      <c r="O105" s="55" t="n">
        <v>46348</v>
      </c>
      <c r="P105" s="50" t="s">
        <v>105</v>
      </c>
      <c r="Q105" s="52" t="n">
        <v>80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415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476</v>
      </c>
      <c r="N106" s="55" t="n">
        <v>46348</v>
      </c>
      <c r="O106" s="55" t="n">
        <v>46348</v>
      </c>
      <c r="P106" s="50" t="s">
        <v>105</v>
      </c>
      <c r="Q106" s="52" t="n">
        <v>80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415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299</v>
      </c>
      <c r="E107" s="40" t="n">
        <v>2.5</v>
      </c>
      <c r="F107" s="39" t="s">
        <v>454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79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479</v>
      </c>
      <c r="Y107" s="38" t="s">
        <v>415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483</v>
      </c>
      <c r="N108" s="55" t="n">
        <v>46347</v>
      </c>
      <c r="O108" s="55" t="n">
        <v>46348</v>
      </c>
      <c r="P108" s="50" t="s">
        <v>105</v>
      </c>
      <c r="Q108" s="52" t="n">
        <v>80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415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487</v>
      </c>
      <c r="N109" s="55" t="n">
        <v>46348</v>
      </c>
      <c r="O109" s="55" t="n">
        <v>46348</v>
      </c>
      <c r="P109" s="50" t="s">
        <v>105</v>
      </c>
      <c r="Q109" s="52" t="n">
        <v>79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415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491</v>
      </c>
      <c r="N110" s="55" t="n">
        <v>46347</v>
      </c>
      <c r="O110" s="55" t="n">
        <v>46348</v>
      </c>
      <c r="P110" s="50" t="s">
        <v>105</v>
      </c>
      <c r="Q110" s="52" t="n">
        <v>80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415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/>
      <c r="D111" s="39" t="s">
        <v>79</v>
      </c>
      <c r="E111" s="40" t="n">
        <v>0</v>
      </c>
      <c r="F111" s="38" t="s">
        <v>247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79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499</v>
      </c>
      <c r="N112" s="55" t="n">
        <v>46349</v>
      </c>
      <c r="O112" s="55" t="n">
        <v>46349</v>
      </c>
      <c r="P112" s="50" t="s">
        <v>105</v>
      </c>
      <c r="Q112" s="52" t="n">
        <v>79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503</v>
      </c>
      <c r="N113" s="55" t="n">
        <v>46349</v>
      </c>
      <c r="O113" s="55" t="n">
        <v>46349</v>
      </c>
      <c r="P113" s="50" t="s">
        <v>105</v>
      </c>
      <c r="Q113" s="52" t="n">
        <v>79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46479</v>
      </c>
      <c r="P114" s="34" t="s">
        <v>75</v>
      </c>
      <c r="Q114" s="31" t="n">
        <v>146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247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46415</v>
      </c>
      <c r="O115" s="45" t="n">
        <v>46415</v>
      </c>
      <c r="P115" s="46" t="s">
        <v>105</v>
      </c>
      <c r="Q115" s="37" t="n">
        <v>142</v>
      </c>
      <c r="R115" s="39"/>
      <c r="S115" s="39" t="n">
        <v>1</v>
      </c>
      <c r="T115" s="39" t="s">
        <v>106</v>
      </c>
      <c r="U115" s="57" t="n">
        <v>46415.0115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513</v>
      </c>
      <c r="N116" s="55" t="n">
        <v>46415</v>
      </c>
      <c r="O116" s="55" t="n">
        <v>46415</v>
      </c>
      <c r="P116" s="50" t="s">
        <v>105</v>
      </c>
      <c r="Q116" s="52" t="n">
        <v>144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517</v>
      </c>
      <c r="N117" s="55" t="n">
        <v>46415</v>
      </c>
      <c r="O117" s="55" t="n">
        <v>46415</v>
      </c>
      <c r="P117" s="50" t="s">
        <v>105</v>
      </c>
      <c r="Q117" s="52" t="n">
        <v>143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521</v>
      </c>
      <c r="N118" s="55" t="n">
        <v>46415</v>
      </c>
      <c r="O118" s="55" t="n">
        <v>46415</v>
      </c>
      <c r="P118" s="50" t="s">
        <v>105</v>
      </c>
      <c r="Q118" s="52" t="n">
        <v>143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525</v>
      </c>
      <c r="N119" s="55" t="n">
        <v>46415</v>
      </c>
      <c r="O119" s="55" t="n">
        <v>46415</v>
      </c>
      <c r="P119" s="50" t="s">
        <v>105</v>
      </c>
      <c r="Q119" s="52" t="n">
        <v>143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529</v>
      </c>
      <c r="N120" s="55" t="n">
        <v>46415</v>
      </c>
      <c r="O120" s="55" t="n">
        <v>46415</v>
      </c>
      <c r="P120" s="50" t="s">
        <v>105</v>
      </c>
      <c r="Q120" s="52" t="n">
        <v>142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533</v>
      </c>
      <c r="N121" s="55" t="n">
        <v>46415</v>
      </c>
      <c r="O121" s="55" t="n">
        <v>46415</v>
      </c>
      <c r="P121" s="50" t="s">
        <v>105</v>
      </c>
      <c r="Q121" s="52" t="n">
        <v>142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247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46377</v>
      </c>
      <c r="O122" s="45" t="n">
        <v>46377</v>
      </c>
      <c r="P122" s="46" t="s">
        <v>105</v>
      </c>
      <c r="Q122" s="37" t="n">
        <v>104</v>
      </c>
      <c r="R122" s="39"/>
      <c r="S122" s="39" t="n">
        <v>1</v>
      </c>
      <c r="T122" s="39" t="s">
        <v>106</v>
      </c>
      <c r="U122" s="57" t="n">
        <v>46377.0122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9" t="s">
        <v>539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116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46466</v>
      </c>
      <c r="O124" s="45" t="n">
        <v>46479</v>
      </c>
      <c r="P124" s="46" t="s">
        <v>105</v>
      </c>
      <c r="Q124" s="37" t="n">
        <v>146</v>
      </c>
      <c r="R124" s="39"/>
      <c r="S124" s="39" t="n">
        <v>1</v>
      </c>
      <c r="T124" s="39" t="s">
        <v>106</v>
      </c>
      <c r="U124" s="57" t="n">
        <v>46466.0124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548</v>
      </c>
      <c r="N125" s="55" t="n">
        <v>46466</v>
      </c>
      <c r="O125" s="55" t="n">
        <v>46470</v>
      </c>
      <c r="P125" s="50" t="s">
        <v>105</v>
      </c>
      <c r="Q125" s="52" t="n">
        <v>146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552</v>
      </c>
      <c r="N126" s="55" t="n">
        <v>46469</v>
      </c>
      <c r="O126" s="55" t="n">
        <v>46476</v>
      </c>
      <c r="P126" s="50" t="s">
        <v>105</v>
      </c>
      <c r="Q126" s="52" t="n">
        <v>146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556</v>
      </c>
      <c r="N127" s="55" t="n">
        <v>46476</v>
      </c>
      <c r="O127" s="55" t="n">
        <v>46479</v>
      </c>
      <c r="P127" s="50" t="s">
        <v>105</v>
      </c>
      <c r="Q127" s="52" t="n">
        <v>146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299</v>
      </c>
      <c r="E128" s="40" t="n">
        <v>0</v>
      </c>
      <c r="F128" s="38" t="s">
        <v>247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46426</v>
      </c>
      <c r="O128" s="45" t="n">
        <v>46426</v>
      </c>
      <c r="P128" s="46" t="s">
        <v>105</v>
      </c>
      <c r="Q128" s="37" t="n">
        <v>143</v>
      </c>
      <c r="R128" s="39"/>
      <c r="S128" s="39" t="n">
        <v>1</v>
      </c>
      <c r="T128" s="39" t="s">
        <v>106</v>
      </c>
      <c r="U128" s="57" t="n">
        <v>46426.0128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/>
      <c r="D129" s="39" t="s">
        <v>114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46427</v>
      </c>
      <c r="O129" s="45" t="n">
        <v>46427</v>
      </c>
      <c r="P129" s="46" t="s">
        <v>105</v>
      </c>
      <c r="Q129" s="37" t="n">
        <v>144</v>
      </c>
      <c r="R129" s="39"/>
      <c r="S129" s="39" t="n">
        <v>1</v>
      </c>
      <c r="T129" s="39" t="s">
        <v>106</v>
      </c>
      <c r="U129" s="57" t="n">
        <v>46427.0129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114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46427</v>
      </c>
      <c r="O130" s="45" t="n">
        <v>46433</v>
      </c>
      <c r="P130" s="46" t="s">
        <v>105</v>
      </c>
      <c r="Q130" s="37" t="n">
        <v>150</v>
      </c>
      <c r="R130" s="39"/>
      <c r="S130" s="39" t="n">
        <v>1</v>
      </c>
      <c r="T130" s="39" t="s">
        <v>106</v>
      </c>
      <c r="U130" s="57" t="n">
        <v>46427.013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292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46463</v>
      </c>
      <c r="O131" s="45" t="n">
        <v>46465</v>
      </c>
      <c r="P131" s="46" t="s">
        <v>105</v>
      </c>
      <c r="Q131" s="37" t="n">
        <v>146</v>
      </c>
      <c r="R131" s="39"/>
      <c r="S131" s="39" t="n">
        <v>1</v>
      </c>
      <c r="T131" s="39" t="s">
        <v>106</v>
      </c>
      <c r="U131" s="57" t="n">
        <v>46463.0131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/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/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/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/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/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/>
    </row>
    <row r="154" customFormat="false" ht="15" hidden="false" customHeight="true" outlineLevel="0" collapsed="false">
      <c r="B154" s="84" t="s">
        <v>610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645</v>
      </c>
      <c r="C10" s="95" t="s">
        <v>643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646</v>
      </c>
      <c r="C12" s="95" t="s">
        <v>643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647</v>
      </c>
      <c r="C14" s="95" t="s">
        <v>643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245</v>
      </c>
      <c r="B16" s="95" t="s">
        <v>648</v>
      </c>
      <c r="C16" s="95" t="s">
        <v>643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 t="n">
        <v>46293</v>
      </c>
      <c r="F17" s="99" t="n">
        <v>46293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265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652</v>
      </c>
      <c r="C23" s="95" t="s">
        <v>643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653</v>
      </c>
      <c r="C25" s="95" t="s">
        <v>643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654</v>
      </c>
      <c r="C27" s="95" t="s">
        <v>643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655</v>
      </c>
      <c r="C29" s="95" t="s">
        <v>643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656</v>
      </c>
      <c r="C31" s="95" t="s">
        <v>643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657</v>
      </c>
      <c r="C33" s="95" t="s">
        <v>643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658</v>
      </c>
      <c r="C35" s="95" t="s">
        <v>643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659</v>
      </c>
      <c r="C37" s="95" t="s">
        <v>643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660</v>
      </c>
      <c r="C39" s="95" t="s">
        <v>643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662</v>
      </c>
      <c r="C42" s="95" t="s">
        <v>643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663</v>
      </c>
      <c r="C44" s="95" t="s">
        <v>643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0.3333</v>
      </c>
      <c r="P48" s="103" t="n">
        <f aca="false">SUMIF($C$7:$C$45,"Actual",P$7:P$45)</f>
        <v>0.3333</v>
      </c>
      <c r="Q48" s="103" t="n">
        <f aca="false">SUMIF($C$7:$C$45,"Actual",Q$7:Q$45)</f>
        <v>0.3333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0.3333</v>
      </c>
      <c r="P50" s="105" t="n">
        <f aca="false">IF(P$6&gt;46314,"",O50+P48)</f>
        <v>0.6666</v>
      </c>
      <c r="Q50" s="105" t="n">
        <f aca="false">IF(Q$6&gt;46314,"",P50+Q48)</f>
        <v>0.9999</v>
      </c>
      <c r="R50" s="105" t="n">
        <f aca="false">IF(R$6&gt;46314,"",Q50+R48)</f>
        <v>0.9999</v>
      </c>
      <c r="S50" s="105" t="n">
        <f aca="false">IF(S$6&gt;46314,"",R50+S48)</f>
        <v>0.9999</v>
      </c>
      <c r="T50" s="105" t="n">
        <f aca="false">IF(T$6&gt;46314,"",S50+T48)</f>
        <v>0.9999</v>
      </c>
      <c r="U50" s="105" t="n">
        <f aca="false">IF(U$6&gt;46314,"",T50+U48)</f>
        <v>0.9999</v>
      </c>
      <c r="V50" s="105" t="n">
        <f aca="false">IF(V$6&gt;46314,"",U50+V48)</f>
        <v>0.9999</v>
      </c>
      <c r="W50" s="105" t="n">
        <f aca="false">IF(W$6&gt;46314,"",V50+W48)</f>
        <v>0.9999</v>
      </c>
      <c r="X50" s="105" t="n">
        <f aca="false">IF(X$6&gt;46314,"",W50+X48)</f>
        <v>0.9999</v>
      </c>
      <c r="Y50" s="105" t="n">
        <f aca="false">IF(Y$6&gt;46314,"",X50+Y48)</f>
        <v>0.9999</v>
      </c>
      <c r="Z50" s="105" t="n">
        <f aca="false">IF(Z$6&gt;46314,"",Y50+Z48)</f>
        <v>0.9999</v>
      </c>
      <c r="AA50" s="105" t="n">
        <f aca="false">IF(AA$6&gt;46314,"",Z50+AA48)</f>
        <v>1.9999</v>
      </c>
      <c r="AB50" s="105" t="n">
        <f aca="false">IF(AB$6&gt;46314,"",AA50+AB48)</f>
        <v>1.9999</v>
      </c>
      <c r="AC50" s="105" t="n">
        <f aca="false">IF(AC$6&gt;46314,"",AB50+AC48)</f>
        <v>1.9999</v>
      </c>
      <c r="AD50" s="105" t="n">
        <f aca="false">IF(AD$6&gt;46314,"",AC50+AD48)</f>
        <v>1.9999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2026-10-26T04:44:50Z</dcterms:created>
  <dc:creator>openpyxl</dc:creator>
  <dc:description/>
  <dc:language>en-US</dc:language>
  <cp:lastModifiedBy/>
  <dcterms:modified xsi:type="dcterms:W3CDTF">2026-10-26T11:47:44Z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