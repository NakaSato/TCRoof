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<sst xmlns="http://schemas.openxmlformats.org/spreadsheetml/2006/main" count="1296" uniqueCount="672">
  <si>
    <t xml:space="preserve">แผนโครงการ P4-034 – สถานีผลิตน้ำลำชี 359.10 kWp</t>
  </si>
  <si>
    <t xml:space="preserve">กปภ.สาขายโสธร, ภาคอีสาน, กฟภ. เขต ฉ.2, Inverter 330 kW (ต้องยื่น พค.2), Zero export HV, คำขอ PPIM1A506BBB, วิศวกร แบงค์, Admin เตย,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</si>
  <si>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</si>
  <si>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</si>
  <si>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</si>
  <si>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</si>
  <si>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</si>
  <si>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</si>
  <si>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</si>
  <si>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</si>
  <si>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</si>
  <si>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</si>
  <si>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</si>
  <si>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</si>
  <si>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</si>
  <si>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</si>
  <si>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</si>
  <si>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</si>
  <si>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</si>
  <si>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</si>
  <si>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</si>
  <si>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</si>
  <si>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</si>
  <si>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</si>
  <si>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</si>
  <si>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</si>
  <si>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</si>
  <si>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</si>
  <si>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</si>
  <si>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</si>
  <si>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</si>
  <si>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</si>
  <si>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</si>
  <si>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</si>
  <si>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</si>
  <si>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</si>
  <si>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</si>
  <si>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</si>
  <si>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</si>
  <si>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</si>
  <si>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</si>
  <si>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</si>
  <si>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</si>
  <si>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</si>
  <si>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</si>
  <si>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</si>
  <si>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</si>
  <si>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</si>
  <si>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</si>
  <si>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</si>
  <si>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</si>
  <si>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</si>
  <si>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</si>
  <si>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</si>
  <si>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</si>
  <si>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</si>
  <si>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</si>
  <si>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</si>
  <si>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</si>
  <si>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</si>
  <si>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</si>
  <si>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</si>
  <si>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</si>
  <si>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</si>
  <si>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</si>
  <si>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</si>
  <si>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</si>
  <si>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</si>
  <si>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</si>
  <si>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</si>
  <si>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</si>
  <si>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</si>
  <si>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</si>
  <si>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</si>
  <si>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</si>
  <si>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</si>
  <si>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</si>
  <si>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</si>
  <si>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</si>
  <si>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แบงค์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</si>
  <si>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</si>
  <si>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</si>
  <si>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</si>
  <si>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</si>
  <si>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</si>
  <si>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</si>
  <si>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</si>
  <si>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</si>
  <si>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</si>
  <si>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</si>
  <si>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</si>
  <si>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</si>
  <si>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</si>
  <si>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</si>
  <si>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</si>
  <si>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</si>
  <si>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</si>
  <si>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</si>
  <si>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</si>
  <si>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</si>
  <si>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</si>
  <si>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</si>
  <si>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</si>
  <si>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</si>
  <si>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</si>
  <si>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</si>
  <si>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</si>
  <si>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</si>
  <si>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</si>
  <si>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</si>
  <si>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</si>
  <si>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</si>
  <si>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</si>
  <si>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</si>
  <si>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</si>
  <si>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</si>
  <si>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</si>
  <si>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</si>
  <si>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</si>
  <si>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</si>
  <si>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</si>
  <si>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</si>
  <si>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</si>
  <si>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</si>
  <si>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</si>
  <si>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</si>
  <si>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</si>
  <si>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</si>
  <si>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</si>
  <si>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</si>
  <si>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</si>
  <si>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</si>
  <si>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</si>
  <si>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</si>
  <si>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</si>
  <si>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</si>
  <si>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</si>
  <si>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</si>
  <si>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</si>
  <si>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</si>
  <si>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</si>
  <si>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</si>
  <si>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</si>
  <si>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</si>
  <si>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</si>
  <si>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</si>
  <si>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</si>
  <si>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</si>
  <si>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</si>
  <si>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</si>
  <si>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</si>
  <si>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</si>
  <si>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WBS'!L4517</t>
    </r>
  </si>
  <si>
    <t xml:space="preserve">0.3</t>
  </si>
  <si>
    <t xml:space="preserve">หนังสือแจ้งขอดับไฟ</t>
  </si>
  <si>
    <t xml:space="preserve">TC-PML-2026-428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</si>
  <si>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</si>
  <si>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</si>
  <si>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</si>
  <si>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</si>
  <si>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</si>
  <si>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</si>
  <si>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</si>
  <si>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</si>
  <si>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</si>
  <si>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</si>
  <si>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</si>
  <si>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</si>
  <si>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</si>
  <si>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</si>
  <si>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</si>
  <si>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</si>
  <si>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</si>
  <si>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</si>
  <si>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</si>
  <si>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</si>
  <si>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</si>
  <si>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</si>
  <si>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</si>
  <si>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</si>
  <si>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</si>
  <si>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</si>
  <si>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</si>
  <si>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</si>
  <si>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</si>
  <si>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</si>
  <si>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</si>
  <si>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</si>
  <si>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</si>
  <si>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</si>
  <si>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</si>
  <si>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</si>
  <si>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</si>
  <si>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</si>
  <si>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</si>
  <si>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</si>
  <si>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</si>
  <si>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</si>
  <si>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</si>
  <si>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</si>
  <si>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</si>
  <si>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</si>
  <si>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</si>
  <si>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</si>
  <si>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</si>
  <si>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</si>
  <si>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</si>
  <si>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</si>
  <si>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</si>
  <si>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</si>
  <si>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</si>
  <si>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</si>
  <si>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</si>
  <si>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</si>
  <si>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</si>
  <si>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</si>
  <si>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</si>
  <si>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</si>
  <si>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</si>
  <si>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</si>
  <si>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</si>
  <si>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</si>
  <si>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</si>
  <si>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</si>
  <si>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</si>
  <si>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</si>
  <si>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</si>
  <si>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</si>
  <si>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</si>
  <si>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</si>
  <si>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</si>
  <si>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</si>
  <si>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</si>
  <si>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</si>
  <si>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</si>
  <si>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</si>
  <si>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</si>
  <si>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</si>
  <si>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</si>
  <si>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</si>
  <si>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</si>
  <si>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</si>
  <si>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WBS'!L4533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</si>
  <si>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</si>
  <si>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</si>
  <si>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</si>
  <si>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</si>
  <si>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</si>
  <si>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</si>
  <si>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</si>
  <si>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</si>
  <si>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WBS'!L4534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</si>
  <si>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</si>
  <si>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</si>
  <si>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</si>
  <si>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WBS'!L4535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</si>
  <si>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</si>
  <si>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</si>
  <si>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</si>
  <si>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</si>
  <si>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</si>
  <si>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</si>
  <si>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WBS'!L4536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</si>
  <si>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</si>
  <si>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</si>
  <si>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</si>
  <si>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</si>
  <si>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</si>
  <si>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</si>
  <si>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</si>
  <si>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</si>
  <si>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</si>
  <si>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</si>
  <si>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</si>
  <si>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</si>
  <si>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WBS'!L4538</t>
    </r>
  </si>
  <si>
    <t xml:space="preserve">1.7.1</t>
  </si>
  <si>
    <t xml:space="preserve">คำขอขนานไฟ PPIM (ชุด 11 ไฟล์)</t>
  </si>
  <si>
    <t xml:space="preserve">PPIM1A506BBB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</si>
  <si>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</si>
  <si>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</si>
  <si>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</si>
  <si>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</si>
  <si>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</si>
  <si>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</si>
  <si>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</si>
  <si>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</si>
  <si>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</si>
  <si>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</si>
  <si>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</si>
  <si>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</si>
  <si>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</si>
  <si>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</si>
  <si>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</si>
  <si>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</si>
  <si>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</si>
  <si>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</si>
  <si>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</si>
  <si>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</si>
  <si>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</si>
  <si>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</si>
  <si>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</si>
  <si>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</si>
  <si>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</si>
  <si>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</si>
  <si>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</si>
  <si>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</si>
  <si>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</si>
  <si>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</si>
  <si>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</si>
  <si>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</si>
  <si>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</si>
  <si>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</si>
  <si>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</si>
  <si>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</si>
  <si>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</si>
  <si>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</si>
  <si>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</si>
  <si>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</si>
  <si>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</si>
  <si>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</si>
  <si>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</si>
  <si>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</si>
  <si>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</si>
  <si>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</si>
  <si>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</si>
  <si>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</si>
  <si>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</si>
  <si>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</si>
  <si>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</si>
  <si>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</si>
  <si>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</si>
  <si>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</si>
  <si>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</si>
  <si>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</si>
  <si>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</si>
  <si>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</si>
  <si>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</si>
  <si>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</si>
  <si>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</si>
  <si>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</si>
  <si>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</si>
  <si>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</si>
  <si>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</si>
  <si>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</si>
  <si>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</si>
  <si>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</si>
  <si>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</si>
  <si>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</si>
  <si>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</si>
  <si>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</si>
  <si>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</si>
  <si>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</si>
  <si>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</si>
  <si>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</si>
  <si>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</si>
  <si>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</si>
  <si>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</si>
  <si>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</si>
  <si>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</si>
  <si>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</si>
  <si>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</si>
  <si>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</si>
  <si>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</si>
  <si>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</si>
  <si>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</si>
  <si>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</si>
  <si>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</si>
  <si>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</si>
  <si>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</si>
  <si>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</si>
  <si>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</si>
  <si>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</si>
  <si>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</si>
  <si>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</si>
  <si>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</si>
  <si>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</si>
  <si>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</si>
  <si>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</si>
  <si>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</si>
  <si>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</si>
  <si>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</si>
  <si>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</si>
  <si>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</si>
  <si>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</si>
  <si>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</si>
  <si>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</si>
  <si>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</si>
  <si>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</si>
  <si>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</si>
  <si>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</si>
  <si>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WBS'!L4557</t>
    </r>
  </si>
  <si>
    <t xml:space="preserve">2.5</t>
  </si>
  <si>
    <t xml:space="preserve">ติดตั้ง Inverter</t>
  </si>
  <si>
    <t xml:space="preserve">Inverter 330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</si>
  <si>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</si>
  <si>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</si>
  <si>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</si>
  <si>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</si>
  <si>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</si>
  <si>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</si>
  <si>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</si>
  <si>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</si>
  <si>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</si>
  <si>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</si>
  <si>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</si>
  <si>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</si>
  <si>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</si>
  <si>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</si>
  <si>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</si>
  <si>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</si>
  <si>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</si>
  <si>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</si>
  <si>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</si>
  <si>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</si>
  <si>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</si>
  <si>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</si>
  <si>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</si>
  <si>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</si>
  <si>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</si>
  <si>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</si>
  <si>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</si>
  <si>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</si>
  <si>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</si>
  <si>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</si>
  <si>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</si>
  <si>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</si>
  <si>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</si>
  <si>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</si>
  <si>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</si>
  <si>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</si>
  <si>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</si>
  <si>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</si>
  <si>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</si>
  <si>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</si>
  <si>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</si>
  <si>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</si>
  <si>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</si>
  <si>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</si>
  <si>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</si>
  <si>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</si>
  <si>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</si>
  <si>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</si>
  <si>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</si>
  <si>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</si>
  <si>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</si>
  <si>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</si>
  <si>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</si>
  <si>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</si>
  <si>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</si>
  <si>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</si>
  <si>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</si>
  <si>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</si>
  <si>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</si>
  <si>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</si>
  <si>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</si>
  <si>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</si>
  <si>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</si>
  <si>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</si>
  <si>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</si>
  <si>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</si>
  <si>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</si>
  <si>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</si>
  <si>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</si>
  <si>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</si>
  <si>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</si>
  <si>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</si>
  <si>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</si>
  <si>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</si>
  <si>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</si>
  <si>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</si>
  <si>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</si>
  <si>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</si>
  <si>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</si>
  <si>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</si>
  <si>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</si>
  <si>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</si>
  <si>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</si>
  <si>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</si>
  <si>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</si>
  <si>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</si>
  <si>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</si>
  <si>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</si>
  <si>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</si>
  <si>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</si>
  <si>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</si>
  <si>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</si>
  <si>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</si>
  <si>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</si>
  <si>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</si>
  <si>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</si>
  <si>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</si>
  <si>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</si>
  <si>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</si>
  <si>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</si>
  <si>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</si>
  <si>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</si>
  <si>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</si>
  <si>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</si>
  <si>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</si>
  <si>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</si>
  <si>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</si>
  <si>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</si>
  <si>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</si>
  <si>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</si>
  <si>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</si>
  <si>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</si>
  <si>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</si>
  <si>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</si>
  <si>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</si>
  <si>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</si>
  <si>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</si>
  <si>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</si>
  <si>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</si>
  <si>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</si>
  <si>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</si>
  <si>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</si>
  <si>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</si>
  <si>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</si>
  <si>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</si>
  <si>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</si>
  <si>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</si>
  <si>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</si>
  <si>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</si>
  <si>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</si>
  <si>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</si>
  <si>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</si>
  <si>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</si>
  <si>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</si>
  <si>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</si>
  <si>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</si>
  <si>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</si>
  <si>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</si>
  <si>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</si>
  <si>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</si>
  <si>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</si>
  <si>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</si>
  <si>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</si>
  <si>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</si>
  <si>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</si>
  <si>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</si>
  <si>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</si>
  <si>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</si>
  <si>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</si>
  <si>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</si>
  <si>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</si>
  <si>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</si>
  <si>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</si>
  <si>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</si>
  <si>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</si>
  <si>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</si>
  <si>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</si>
  <si>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</si>
  <si>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</si>
  <si>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</si>
  <si>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</si>
  <si>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</si>
  <si>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</si>
  <si>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</si>
  <si>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</si>
  <si>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</si>
  <si>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</si>
  <si>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</si>
  <si>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</si>
  <si>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</si>
  <si>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</si>
  <si>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</si>
  <si>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</si>
  <si>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</si>
  <si>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</si>
  <si>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</si>
  <si>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</si>
  <si>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</si>
  <si>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</si>
  <si>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</si>
  <si>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</si>
  <si>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</si>
  <si>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</si>
  <si>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</si>
  <si>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</si>
  <si>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</si>
  <si>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</si>
  <si>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</si>
  <si>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</si>
  <si>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</si>
  <si>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</si>
  <si>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</si>
  <si>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</si>
  <si>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</si>
  <si>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</si>
  <si>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</si>
  <si>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</si>
  <si>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</si>
  <si>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</si>
  <si>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</si>
  <si>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</si>
  <si>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</si>
  <si>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</si>
  <si>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</si>
  <si>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</si>
  <si>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</si>
  <si>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</si>
  <si>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</si>
  <si>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</si>
  <si>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</si>
  <si>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</si>
  <si>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</si>
  <si>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</si>
  <si>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</si>
  <si>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</si>
  <si>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</si>
  <si>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</si>
  <si>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</si>
  <si>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</si>
  <si>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</si>
  <si>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</si>
  <si>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</si>
  <si>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สถานีผลิตน้ำลำชี การประปาส่วนภูมิภาคสาขายโสธร ขนาดกำลังผลิต </t>
    </r>
    <r>
      <rPr>
        <sz val="10"/>
        <rFont val="Tahoma"/>
        <family val="0"/>
        <charset val="1"/>
      </rPr>
      <t xml:space="preserve">359.10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</si>
  <si>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</si>
  <si>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</si>
  <si>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</si>
  <si>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แบงค์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</si>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</sst>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4.6666</c:v>
                </c:pt>
                <c:pt idx="6">
                  <c:v>8.8332</c:v>
                </c:pt>
                <c:pt idx="7">
                  <c:v>12.4998</c:v>
                </c:pt>
                <c:pt idx="8">
                  <c:v>16.3331</c:v>
                </c:pt>
                <c:pt idx="9">
                  <c:v>19.6664</c:v>
                </c:pt>
                <c:pt idx="10">
                  <c:v>22.9997</c:v>
                </c:pt>
                <c:pt idx="11">
                  <c:v>32.9997</c:v>
                </c:pt>
                <c:pt idx="12">
                  <c:v>89.2497</c:v>
                </c:pt>
                <c:pt idx="13">
                  <c:v>92.9997</c:v>
                </c:pt>
                <c:pt idx="14">
                  <c:v>92.9997</c:v>
                </c:pt>
                <c:pt idx="15">
                  <c:v>93.1247</c:v>
                </c:pt>
                <c:pt idx="16">
                  <c:v>93.2497</c:v>
                </c:pt>
                <c:pt idx="17">
                  <c:v>94.3747</c:v>
                </c:pt>
                <c:pt idx="18">
                  <c:v>94.4997</c:v>
                </c:pt>
                <c:pt idx="19">
                  <c:v>94.6247</c:v>
                </c:pt>
                <c:pt idx="20">
                  <c:v>94.7497</c:v>
                </c:pt>
                <c:pt idx="21">
                  <c:v>94.8747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387697"/>
        <c:axId val="37281540"/>
      </c:lineChart>
      <c:catAx>
        <c:axId val="1338769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81540"/>
        <c:crosses val="autoZero"/>
        <c:auto val="1"/>
        <c:lblAlgn val="ctr"/>
        <c:lblOffset val="100"/>
        <c:noMultiLvlLbl val="0"/>
      </c:catAx>
      <c:valAx>
        <c:axId val="37281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876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80</v>
      </c>
      <c r="M4" s="12"/>
      <c r="N4" s="12" t="n">
        <v>90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46192</v>
      </c>
      <c r="O8" s="33" t="n">
        <v>46412</v>
      </c>
      <c r="P8" s="34" t="s">
        <v>75</v>
      </c>
      <c r="Q8" s="31" t="n">
        <v>90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46192</v>
      </c>
      <c r="O9" s="45" t="n">
        <v>46412</v>
      </c>
      <c r="P9" s="46" t="s">
        <v>75</v>
      </c>
      <c r="Q9" s="37" t="n">
        <v>90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46192</v>
      </c>
      <c r="O10" s="55" t="n">
        <v>46214</v>
      </c>
      <c r="P10" s="50" t="s">
        <v>75</v>
      </c>
      <c r="Q10" s="52" t="n">
        <v>5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46192</v>
      </c>
      <c r="O11" s="55" t="n">
        <v>46214</v>
      </c>
      <c r="P11" s="50" t="s">
        <v>75</v>
      </c>
      <c r="Q11" s="52" t="n">
        <v>5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46192</v>
      </c>
      <c r="O12" s="55" t="n">
        <v>46214</v>
      </c>
      <c r="P12" s="50" t="s">
        <v>75</v>
      </c>
      <c r="Q12" s="52" t="n">
        <v>5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46192</v>
      </c>
      <c r="O13" s="55" t="n">
        <v>46225</v>
      </c>
      <c r="P13" s="50" t="s">
        <v>75</v>
      </c>
      <c r="Q13" s="52" t="n">
        <v>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46214</v>
      </c>
      <c r="O14" s="55" t="n">
        <v>46412</v>
      </c>
      <c r="P14" s="50" t="s">
        <v>75</v>
      </c>
      <c r="Q14" s="52" t="n">
        <v>90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46214</v>
      </c>
      <c r="O15" s="55" t="n">
        <v>46412</v>
      </c>
      <c r="P15" s="50" t="s">
        <v>75</v>
      </c>
      <c r="Q15" s="52" t="n">
        <v>90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46252</v>
      </c>
      <c r="M25" s="43"/>
      <c r="N25" s="44" t="n">
        <v>46252</v>
      </c>
      <c r="O25" s="45" t="n">
        <v>46252</v>
      </c>
      <c r="P25" s="46" t="s">
        <v>60</v>
      </c>
      <c r="Q25" s="37" t="n">
        <v>31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46252</v>
      </c>
      <c r="O26" s="55" t="n">
        <v>46252</v>
      </c>
      <c r="P26" s="50" t="s">
        <v>124</v>
      </c>
      <c r="Q26" s="52" t="n">
        <v>31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46252</v>
      </c>
      <c r="O27" s="55" t="n">
        <v>46252</v>
      </c>
      <c r="P27" s="50" t="s">
        <v>124</v>
      </c>
      <c r="Q27" s="52" t="n">
        <v>31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46252</v>
      </c>
      <c r="O28" s="55" t="n">
        <v>46252</v>
      </c>
      <c r="P28" s="50" t="s">
        <v>124</v>
      </c>
      <c r="Q28" s="52" t="n">
        <v>31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46192</v>
      </c>
      <c r="O29" s="33" t="n">
        <v>46395</v>
      </c>
      <c r="P29" s="34" t="s">
        <v>75</v>
      </c>
      <c r="Q29" s="31" t="n">
        <v>90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46192</v>
      </c>
      <c r="O30" s="45" t="n">
        <v>46192</v>
      </c>
      <c r="P30" s="46" t="s">
        <v>115</v>
      </c>
      <c r="Q30" s="37" t="n">
        <v>-5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46192</v>
      </c>
      <c r="O31" s="55" t="n">
        <v>46192</v>
      </c>
      <c r="P31" s="50" t="s">
        <v>124</v>
      </c>
      <c r="Q31" s="52" t="n">
        <v>-5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46192</v>
      </c>
      <c r="O32" s="55" t="n">
        <v>46192</v>
      </c>
      <c r="P32" s="50" t="s">
        <v>124</v>
      </c>
      <c r="Q32" s="52" t="n">
        <v>-5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46192</v>
      </c>
      <c r="O33" s="55" t="n">
        <v>46192</v>
      </c>
      <c r="P33" s="50" t="s">
        <v>124</v>
      </c>
      <c r="Q33" s="52" t="n">
        <v>-5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46198</v>
      </c>
      <c r="O34" s="45" t="n">
        <v>46207</v>
      </c>
      <c r="P34" s="46" t="s">
        <v>115</v>
      </c>
      <c r="Q34" s="37" t="n">
        <v>-6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46198</v>
      </c>
      <c r="O35" s="55" t="n">
        <v>46203</v>
      </c>
      <c r="P35" s="50" t="s">
        <v>124</v>
      </c>
      <c r="Q35" s="52" t="n">
        <v>-5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46198</v>
      </c>
      <c r="O36" s="55" t="n">
        <v>46203</v>
      </c>
      <c r="P36" s="50" t="s">
        <v>124</v>
      </c>
      <c r="Q36" s="52" t="n">
        <v>-6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46201</v>
      </c>
      <c r="O37" s="55" t="n">
        <v>46204</v>
      </c>
      <c r="P37" s="50" t="s">
        <v>124</v>
      </c>
      <c r="Q37" s="52" t="n">
        <v>-6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46203</v>
      </c>
      <c r="O38" s="55" t="n">
        <v>46207</v>
      </c>
      <c r="P38" s="50" t="s">
        <v>124</v>
      </c>
      <c r="Q38" s="52" t="n">
        <v>-6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46217</v>
      </c>
      <c r="O39" s="45" t="n">
        <v>46217</v>
      </c>
      <c r="P39" s="46" t="s">
        <v>115</v>
      </c>
      <c r="Q39" s="37" t="n">
        <v>-10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46217</v>
      </c>
      <c r="O40" s="55" t="n">
        <v>46217</v>
      </c>
      <c r="P40" s="50" t="s">
        <v>124</v>
      </c>
      <c r="Q40" s="52" t="n">
        <v>-10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46217</v>
      </c>
      <c r="O41" s="55" t="n">
        <v>46217</v>
      </c>
      <c r="P41" s="50" t="s">
        <v>124</v>
      </c>
      <c r="Q41" s="52" t="n">
        <v>-10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46217</v>
      </c>
      <c r="O42" s="55" t="n">
        <v>46217</v>
      </c>
      <c r="P42" s="50" t="s">
        <v>124</v>
      </c>
      <c r="Q42" s="52" t="n">
        <v>-10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46199</v>
      </c>
      <c r="O43" s="45" t="n">
        <v>46212</v>
      </c>
      <c r="P43" s="46" t="s">
        <v>115</v>
      </c>
      <c r="Q43" s="37" t="n">
        <v>-5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46199</v>
      </c>
      <c r="O44" s="55" t="n">
        <v>46202</v>
      </c>
      <c r="P44" s="50" t="s">
        <v>124</v>
      </c>
      <c r="Q44" s="52" t="n">
        <v>-5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46200</v>
      </c>
      <c r="O45" s="55" t="n">
        <v>46206</v>
      </c>
      <c r="P45" s="50" t="s">
        <v>124</v>
      </c>
      <c r="Q45" s="52" t="n">
        <v>-4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46206</v>
      </c>
      <c r="O46" s="55" t="n">
        <v>46212</v>
      </c>
      <c r="P46" s="50" t="s">
        <v>124</v>
      </c>
      <c r="Q46" s="52" t="n">
        <v>-5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46280</v>
      </c>
      <c r="M47" s="43"/>
      <c r="N47" s="44" t="n">
        <v>46280</v>
      </c>
      <c r="O47" s="45" t="n">
        <v>46280</v>
      </c>
      <c r="P47" s="46" t="s">
        <v>60</v>
      </c>
      <c r="Q47" s="37" t="n">
        <v>20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46280</v>
      </c>
      <c r="O48" s="55" t="n">
        <v>46280</v>
      </c>
      <c r="P48" s="50" t="s">
        <v>124</v>
      </c>
      <c r="Q48" s="52" t="n">
        <v>20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46280</v>
      </c>
      <c r="O49" s="55" t="n">
        <v>46280</v>
      </c>
      <c r="P49" s="50" t="s">
        <v>124</v>
      </c>
      <c r="Q49" s="52" t="n">
        <v>20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262</v>
      </c>
      <c r="N51" s="55" t="n">
        <v>46280</v>
      </c>
      <c r="O51" s="55" t="n">
        <v>46280</v>
      </c>
      <c r="P51" s="50" t="s">
        <v>124</v>
      </c>
      <c r="Q51" s="52" t="n">
        <v>20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46269</v>
      </c>
      <c r="M55" s="43"/>
      <c r="N55" s="44" t="n">
        <v>46269</v>
      </c>
      <c r="O55" s="45" t="n">
        <v>46269</v>
      </c>
      <c r="P55" s="46" t="s">
        <v>60</v>
      </c>
      <c r="Q55" s="37" t="n">
        <v>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46269</v>
      </c>
      <c r="L57" s="42"/>
      <c r="M57" s="43"/>
      <c r="N57" s="44" t="n">
        <v>46269</v>
      </c>
      <c r="O57" s="45" t="n">
        <v>46315</v>
      </c>
      <c r="P57" s="46" t="s">
        <v>75</v>
      </c>
      <c r="Q57" s="37" t="n">
        <v>34</v>
      </c>
      <c r="R57" s="39"/>
      <c r="S57" s="39" t="n">
        <v>1</v>
      </c>
      <c r="T57" s="39" t="s">
        <v>76</v>
      </c>
      <c r="U57" s="58" t="n">
        <v>46269.0057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46316</v>
      </c>
      <c r="O58" s="45" t="n">
        <v>46322</v>
      </c>
      <c r="P58" s="46" t="s">
        <v>287</v>
      </c>
      <c r="Q58" s="37" t="n">
        <v>34</v>
      </c>
      <c r="R58" s="39"/>
      <c r="S58" s="39" t="n">
        <v>1</v>
      </c>
      <c r="T58" s="39" t="s">
        <v>288</v>
      </c>
      <c r="U58" s="58" t="n">
        <v>46316.0058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46349</v>
      </c>
      <c r="O59" s="45" t="n">
        <v>46349</v>
      </c>
      <c r="P59" s="46" t="s">
        <v>287</v>
      </c>
      <c r="Q59" s="37" t="n">
        <v>60</v>
      </c>
      <c r="R59" s="39"/>
      <c r="S59" s="39" t="n">
        <v>1</v>
      </c>
      <c r="T59" s="39" t="s">
        <v>288</v>
      </c>
      <c r="U59" s="58" t="n">
        <v>46349.0059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46354</v>
      </c>
      <c r="O60" s="60" t="n">
        <v>46395</v>
      </c>
      <c r="P60" s="46" t="s">
        <v>287</v>
      </c>
      <c r="Q60" s="37" t="n">
        <v>90</v>
      </c>
      <c r="R60" s="39"/>
      <c r="S60" s="39" t="n">
        <v>1</v>
      </c>
      <c r="T60" s="39" t="s">
        <v>288</v>
      </c>
      <c r="U60" s="58" t="n">
        <v>46354.006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46201</v>
      </c>
      <c r="O61" s="33" t="n">
        <v>46252</v>
      </c>
      <c r="P61" s="34" t="s">
        <v>60</v>
      </c>
      <c r="Q61" s="31" t="n">
        <v>-7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36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46201</v>
      </c>
      <c r="O62" s="45" t="n">
        <v>46236</v>
      </c>
      <c r="P62" s="46" t="s">
        <v>115</v>
      </c>
      <c r="Q62" s="37" t="n">
        <v>-11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46201</v>
      </c>
      <c r="O63" s="55" t="n">
        <v>46205</v>
      </c>
      <c r="P63" s="50" t="s">
        <v>124</v>
      </c>
      <c r="Q63" s="52" t="n">
        <v>-27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46201</v>
      </c>
      <c r="O64" s="55" t="n">
        <v>46208</v>
      </c>
      <c r="P64" s="50" t="s">
        <v>124</v>
      </c>
      <c r="Q64" s="52" t="n">
        <v>-25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46205</v>
      </c>
      <c r="O65" s="55" t="n">
        <v>46219</v>
      </c>
      <c r="P65" s="50" t="s">
        <v>124</v>
      </c>
      <c r="Q65" s="52" t="n">
        <v>-19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46215</v>
      </c>
      <c r="O66" s="55" t="n">
        <v>46231</v>
      </c>
      <c r="P66" s="50" t="s">
        <v>124</v>
      </c>
      <c r="Q66" s="52" t="n">
        <v>-13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46222</v>
      </c>
      <c r="O67" s="55" t="n">
        <v>46234</v>
      </c>
      <c r="P67" s="50" t="s">
        <v>124</v>
      </c>
      <c r="Q67" s="52" t="n">
        <v>-12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46229</v>
      </c>
      <c r="O68" s="55" t="n">
        <v>46236</v>
      </c>
      <c r="P68" s="50" t="s">
        <v>124</v>
      </c>
      <c r="Q68" s="52" t="n">
        <v>-11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46234</v>
      </c>
      <c r="O69" s="55" t="n">
        <v>46236</v>
      </c>
      <c r="P69" s="50" t="s">
        <v>124</v>
      </c>
      <c r="Q69" s="52" t="n">
        <v>-11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46246</v>
      </c>
      <c r="O70" s="45" t="n">
        <v>46249</v>
      </c>
      <c r="P70" s="46" t="s">
        <v>115</v>
      </c>
      <c r="Q70" s="37" t="n">
        <v>-8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46246</v>
      </c>
      <c r="O71" s="55" t="n">
        <v>46247</v>
      </c>
      <c r="P71" s="50" t="s">
        <v>124</v>
      </c>
      <c r="Q71" s="52" t="n">
        <v>-5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46247</v>
      </c>
      <c r="O72" s="55" t="n">
        <v>46248</v>
      </c>
      <c r="P72" s="50" t="s">
        <v>124</v>
      </c>
      <c r="Q72" s="52" t="n">
        <v>-7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46247</v>
      </c>
      <c r="O73" s="55" t="n">
        <v>46248</v>
      </c>
      <c r="P73" s="50" t="s">
        <v>124</v>
      </c>
      <c r="Q73" s="52" t="n">
        <v>-7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46248</v>
      </c>
      <c r="O74" s="55" t="n">
        <v>46249</v>
      </c>
      <c r="P74" s="50" t="s">
        <v>124</v>
      </c>
      <c r="Q74" s="52" t="n">
        <v>-8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46248</v>
      </c>
      <c r="O75" s="55" t="n">
        <v>46249</v>
      </c>
      <c r="P75" s="50" t="s">
        <v>124</v>
      </c>
      <c r="Q75" s="52" t="n">
        <v>-8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14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46237</v>
      </c>
      <c r="O76" s="45" t="n">
        <v>46250</v>
      </c>
      <c r="P76" s="46" t="s">
        <v>115</v>
      </c>
      <c r="Q76" s="37" t="n">
        <v>-7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46237</v>
      </c>
      <c r="O77" s="55" t="n">
        <v>46241</v>
      </c>
      <c r="P77" s="50" t="s">
        <v>124</v>
      </c>
      <c r="Q77" s="52" t="n">
        <v>-10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46238</v>
      </c>
      <c r="O78" s="55" t="n">
        <v>46248</v>
      </c>
      <c r="P78" s="50" t="s">
        <v>124</v>
      </c>
      <c r="Q78" s="52" t="n">
        <v>-8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46242</v>
      </c>
      <c r="O79" s="55" t="n">
        <v>46249</v>
      </c>
      <c r="P79" s="50" t="s">
        <v>124</v>
      </c>
      <c r="Q79" s="52" t="n">
        <v>-8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46247</v>
      </c>
      <c r="O80" s="55" t="n">
        <v>46250</v>
      </c>
      <c r="P80" s="50" t="s">
        <v>124</v>
      </c>
      <c r="Q80" s="52" t="n">
        <v>-7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46249</v>
      </c>
      <c r="O81" s="55" t="n">
        <v>46250</v>
      </c>
      <c r="P81" s="50" t="s">
        <v>124</v>
      </c>
      <c r="Q81" s="52" t="n">
        <v>-7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46248</v>
      </c>
      <c r="O82" s="45" t="n">
        <v>46250</v>
      </c>
      <c r="P82" s="46" t="s">
        <v>115</v>
      </c>
      <c r="Q82" s="37" t="n">
        <v>-4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46248</v>
      </c>
      <c r="O83" s="55" t="n">
        <v>46249</v>
      </c>
      <c r="P83" s="50" t="s">
        <v>124</v>
      </c>
      <c r="Q83" s="52" t="n">
        <v>-4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46249</v>
      </c>
      <c r="O84" s="55" t="n">
        <v>46250</v>
      </c>
      <c r="P84" s="50" t="s">
        <v>124</v>
      </c>
      <c r="Q84" s="52" t="n">
        <v>-4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46246</v>
      </c>
      <c r="O85" s="45" t="n">
        <v>46249</v>
      </c>
      <c r="P85" s="46" t="s">
        <v>115</v>
      </c>
      <c r="Q85" s="37" t="n">
        <v>-6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46246</v>
      </c>
      <c r="O86" s="55" t="n">
        <v>46248</v>
      </c>
      <c r="P86" s="50" t="s">
        <v>124</v>
      </c>
      <c r="Q86" s="52" t="n">
        <v>-3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46247</v>
      </c>
      <c r="O87" s="55" t="n">
        <v>46249</v>
      </c>
      <c r="P87" s="50" t="s">
        <v>124</v>
      </c>
      <c r="Q87" s="52" t="n">
        <v>-5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46248</v>
      </c>
      <c r="O88" s="55" t="n">
        <v>46249</v>
      </c>
      <c r="P88" s="50" t="s">
        <v>124</v>
      </c>
      <c r="Q88" s="52" t="n">
        <v>-6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46249</v>
      </c>
      <c r="O89" s="55" t="n">
        <v>46249</v>
      </c>
      <c r="P89" s="50" t="s">
        <v>124</v>
      </c>
      <c r="Q89" s="52" t="n">
        <v>-6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46247</v>
      </c>
      <c r="O90" s="45" t="n">
        <v>46250</v>
      </c>
      <c r="P90" s="46" t="s">
        <v>115</v>
      </c>
      <c r="Q90" s="37" t="n">
        <v>-6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419</v>
      </c>
      <c r="N91" s="55" t="n">
        <v>46247</v>
      </c>
      <c r="O91" s="55" t="n">
        <v>46249</v>
      </c>
      <c r="P91" s="50" t="s">
        <v>124</v>
      </c>
      <c r="Q91" s="52" t="n">
        <v>-3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423</v>
      </c>
      <c r="N92" s="55" t="n">
        <v>46249</v>
      </c>
      <c r="O92" s="55" t="n">
        <v>46250</v>
      </c>
      <c r="P92" s="50" t="s">
        <v>124</v>
      </c>
      <c r="Q92" s="52" t="n">
        <v>-6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427</v>
      </c>
      <c r="N93" s="55" t="n">
        <v>46247</v>
      </c>
      <c r="O93" s="55" t="n">
        <v>46249</v>
      </c>
      <c r="P93" s="50" t="s">
        <v>124</v>
      </c>
      <c r="Q93" s="52" t="n">
        <v>-2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431</v>
      </c>
      <c r="N94" s="55" t="n">
        <v>46249</v>
      </c>
      <c r="O94" s="55" t="n">
        <v>46250</v>
      </c>
      <c r="P94" s="50" t="s">
        <v>124</v>
      </c>
      <c r="Q94" s="52" t="n">
        <v>-6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435</v>
      </c>
      <c r="N95" s="55" t="n">
        <v>46250</v>
      </c>
      <c r="O95" s="55" t="n">
        <v>46250</v>
      </c>
      <c r="P95" s="50" t="s">
        <v>124</v>
      </c>
      <c r="Q95" s="52" t="n">
        <v>-6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46248</v>
      </c>
      <c r="O96" s="45" t="n">
        <v>46250</v>
      </c>
      <c r="P96" s="46" t="s">
        <v>115</v>
      </c>
      <c r="Q96" s="37" t="n">
        <v>-6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442</v>
      </c>
      <c r="N97" s="55" t="n">
        <v>46248</v>
      </c>
      <c r="O97" s="55" t="n">
        <v>46250</v>
      </c>
      <c r="P97" s="50" t="s">
        <v>124</v>
      </c>
      <c r="Q97" s="52" t="n">
        <v>-5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446</v>
      </c>
      <c r="N98" s="55" t="n">
        <v>46249</v>
      </c>
      <c r="O98" s="55" t="n">
        <v>46250</v>
      </c>
      <c r="P98" s="50" t="s">
        <v>124</v>
      </c>
      <c r="Q98" s="52" t="n">
        <v>-6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450</v>
      </c>
      <c r="N99" s="55" t="n">
        <v>46250</v>
      </c>
      <c r="O99" s="55" t="n">
        <v>46250</v>
      </c>
      <c r="P99" s="50" t="s">
        <v>124</v>
      </c>
      <c r="Q99" s="52" t="n">
        <v>-6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46249</v>
      </c>
      <c r="O100" s="45" t="n">
        <v>46251</v>
      </c>
      <c r="P100" s="46" t="s">
        <v>115</v>
      </c>
      <c r="Q100" s="37" t="n">
        <v>-6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46249</v>
      </c>
      <c r="O101" s="55" t="n">
        <v>46249</v>
      </c>
      <c r="P101" s="50" t="s">
        <v>124</v>
      </c>
      <c r="Q101" s="52" t="n">
        <v>-4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461</v>
      </c>
      <c r="N102" s="55" t="n">
        <v>46249</v>
      </c>
      <c r="O102" s="55" t="n">
        <v>46250</v>
      </c>
      <c r="P102" s="50" t="s">
        <v>124</v>
      </c>
      <c r="Q102" s="52" t="n">
        <v>-6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470</v>
      </c>
      <c r="N104" s="55" t="n">
        <v>46250</v>
      </c>
      <c r="O104" s="55" t="n">
        <v>46251</v>
      </c>
      <c r="P104" s="50" t="s">
        <v>124</v>
      </c>
      <c r="Q104" s="52" t="n">
        <v>-5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474</v>
      </c>
      <c r="N105" s="55" t="n">
        <v>46250</v>
      </c>
      <c r="O105" s="55" t="n">
        <v>46251</v>
      </c>
      <c r="P105" s="50" t="s">
        <v>124</v>
      </c>
      <c r="Q105" s="52" t="n">
        <v>-6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478</v>
      </c>
      <c r="N106" s="55" t="n">
        <v>46251</v>
      </c>
      <c r="O106" s="55" t="n">
        <v>46251</v>
      </c>
      <c r="P106" s="50" t="s">
        <v>124</v>
      </c>
      <c r="Q106" s="52" t="n">
        <v>-6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46250</v>
      </c>
      <c r="O107" s="45" t="n">
        <v>46251</v>
      </c>
      <c r="P107" s="46" t="s">
        <v>115</v>
      </c>
      <c r="Q107" s="37" t="n">
        <v>-7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485</v>
      </c>
      <c r="N108" s="55" t="n">
        <v>46250</v>
      </c>
      <c r="O108" s="55" t="n">
        <v>46251</v>
      </c>
      <c r="P108" s="50" t="s">
        <v>124</v>
      </c>
      <c r="Q108" s="52" t="n">
        <v>-6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489</v>
      </c>
      <c r="N109" s="55" t="n">
        <v>46251</v>
      </c>
      <c r="O109" s="55" t="n">
        <v>46251</v>
      </c>
      <c r="P109" s="50" t="s">
        <v>124</v>
      </c>
      <c r="Q109" s="52" t="n">
        <v>-7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493</v>
      </c>
      <c r="N110" s="55" t="n">
        <v>46250</v>
      </c>
      <c r="O110" s="55" t="n">
        <v>46251</v>
      </c>
      <c r="P110" s="50" t="s">
        <v>124</v>
      </c>
      <c r="Q110" s="52" t="n">
        <v>-6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46252</v>
      </c>
      <c r="M111" s="43"/>
      <c r="N111" s="44" t="n">
        <v>46252</v>
      </c>
      <c r="O111" s="45" t="n">
        <v>46252</v>
      </c>
      <c r="P111" s="46" t="s">
        <v>60</v>
      </c>
      <c r="Q111" s="37" t="n">
        <v>-7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502</v>
      </c>
      <c r="N112" s="55" t="n">
        <v>46252</v>
      </c>
      <c r="O112" s="55" t="n">
        <v>46252</v>
      </c>
      <c r="P112" s="50" t="s">
        <v>124</v>
      </c>
      <c r="Q112" s="52" t="n">
        <v>-7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506</v>
      </c>
      <c r="N113" s="55" t="n">
        <v>46252</v>
      </c>
      <c r="O113" s="55" t="n">
        <v>46252</v>
      </c>
      <c r="P113" s="50" t="s">
        <v>124</v>
      </c>
      <c r="Q113" s="52" t="n">
        <v>-7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46239</v>
      </c>
      <c r="O114" s="33" t="n">
        <v>46412</v>
      </c>
      <c r="P114" s="34" t="s">
        <v>75</v>
      </c>
      <c r="Q114" s="31" t="n">
        <v>90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46345</v>
      </c>
      <c r="O115" s="45" t="n">
        <v>46345</v>
      </c>
      <c r="P115" s="46" t="s">
        <v>287</v>
      </c>
      <c r="Q115" s="37" t="n">
        <v>83</v>
      </c>
      <c r="R115" s="39"/>
      <c r="S115" s="39" t="n">
        <v>1</v>
      </c>
      <c r="T115" s="39" t="s">
        <v>288</v>
      </c>
      <c r="U115" s="58" t="n">
        <v>46345.0115</v>
      </c>
      <c r="V115" s="47" t="n">
        <v>0</v>
      </c>
      <c r="W115" s="39" t="s">
        <v>86</v>
      </c>
      <c r="X115" s="39" t="s">
        <v>511</v>
      </c>
      <c r="Y115" s="38" t="s">
        <v>512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513</v>
      </c>
      <c r="B116" s="52" t="s">
        <v>514</v>
      </c>
      <c r="C116" s="52" t="s">
        <v>515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516</v>
      </c>
      <c r="N116" s="55" t="n">
        <v>46345</v>
      </c>
      <c r="O116" s="55" t="n">
        <v>46345</v>
      </c>
      <c r="P116" s="50" t="s">
        <v>287</v>
      </c>
      <c r="Q116" s="52" t="n">
        <v>85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512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517</v>
      </c>
      <c r="B117" s="50" t="s">
        <v>518</v>
      </c>
      <c r="C117" s="50" t="s">
        <v>519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520</v>
      </c>
      <c r="N117" s="55" t="n">
        <v>46345</v>
      </c>
      <c r="O117" s="55" t="n">
        <v>46345</v>
      </c>
      <c r="P117" s="50" t="s">
        <v>287</v>
      </c>
      <c r="Q117" s="52" t="n">
        <v>84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512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521</v>
      </c>
      <c r="B118" s="50" t="s">
        <v>522</v>
      </c>
      <c r="C118" s="50" t="s">
        <v>523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524</v>
      </c>
      <c r="N118" s="55" t="n">
        <v>46345</v>
      </c>
      <c r="O118" s="55" t="n">
        <v>46345</v>
      </c>
      <c r="P118" s="50" t="s">
        <v>287</v>
      </c>
      <c r="Q118" s="52" t="n">
        <v>84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512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525</v>
      </c>
      <c r="B119" s="50" t="s">
        <v>526</v>
      </c>
      <c r="C119" s="50" t="s">
        <v>527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528</v>
      </c>
      <c r="N119" s="55" t="n">
        <v>46345</v>
      </c>
      <c r="O119" s="55" t="n">
        <v>46345</v>
      </c>
      <c r="P119" s="50" t="s">
        <v>287</v>
      </c>
      <c r="Q119" s="52" t="n">
        <v>84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512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529</v>
      </c>
      <c r="B120" s="50" t="s">
        <v>530</v>
      </c>
      <c r="C120" s="50" t="s">
        <v>531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532</v>
      </c>
      <c r="N120" s="55" t="n">
        <v>46345</v>
      </c>
      <c r="O120" s="55" t="n">
        <v>46345</v>
      </c>
      <c r="P120" s="50" t="s">
        <v>287</v>
      </c>
      <c r="Q120" s="52" t="n">
        <v>83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512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533</v>
      </c>
      <c r="B121" s="50" t="s">
        <v>534</v>
      </c>
      <c r="C121" s="50" t="s">
        <v>535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536</v>
      </c>
      <c r="N121" s="55" t="n">
        <v>46345</v>
      </c>
      <c r="O121" s="55" t="n">
        <v>46345</v>
      </c>
      <c r="P121" s="50" t="s">
        <v>287</v>
      </c>
      <c r="Q121" s="52" t="n">
        <v>83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512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537</v>
      </c>
      <c r="B122" s="39" t="s">
        <v>538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46328</v>
      </c>
      <c r="O122" s="45" t="n">
        <v>46328</v>
      </c>
      <c r="P122" s="46" t="s">
        <v>287</v>
      </c>
      <c r="Q122" s="37" t="n">
        <v>66</v>
      </c>
      <c r="R122" s="39"/>
      <c r="S122" s="39" t="n">
        <v>1</v>
      </c>
      <c r="T122" s="39" t="s">
        <v>288</v>
      </c>
      <c r="U122" s="58" t="n">
        <v>46328.0122</v>
      </c>
      <c r="V122" s="47" t="n">
        <v>0</v>
      </c>
      <c r="W122" s="38" t="s">
        <v>80</v>
      </c>
      <c r="X122" s="39"/>
      <c r="Y122" s="38" t="s">
        <v>539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540</v>
      </c>
      <c r="B123" s="39" t="s">
        <v>541</v>
      </c>
      <c r="C123" s="38" t="s">
        <v>542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-20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543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544</v>
      </c>
      <c r="B124" s="39" t="s">
        <v>545</v>
      </c>
      <c r="C124" s="39"/>
      <c r="D124" s="39" t="s">
        <v>79</v>
      </c>
      <c r="E124" s="40" t="n">
        <v>2.5</v>
      </c>
      <c r="F124" s="38" t="s">
        <v>546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46399</v>
      </c>
      <c r="O124" s="45" t="n">
        <v>46412</v>
      </c>
      <c r="P124" s="46" t="s">
        <v>287</v>
      </c>
      <c r="Q124" s="37" t="n">
        <v>90</v>
      </c>
      <c r="R124" s="39"/>
      <c r="S124" s="39" t="n">
        <v>1</v>
      </c>
      <c r="T124" s="39" t="s">
        <v>288</v>
      </c>
      <c r="U124" s="58" t="n">
        <v>46399.0124</v>
      </c>
      <c r="V124" s="47" t="n">
        <v>0</v>
      </c>
      <c r="W124" s="38" t="s">
        <v>80</v>
      </c>
      <c r="X124" s="39" t="s">
        <v>547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548</v>
      </c>
      <c r="B125" s="50" t="s">
        <v>549</v>
      </c>
      <c r="C125" s="50" t="s">
        <v>550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551</v>
      </c>
      <c r="N125" s="55" t="n">
        <v>46399</v>
      </c>
      <c r="O125" s="55" t="n">
        <v>46403</v>
      </c>
      <c r="P125" s="50" t="s">
        <v>287</v>
      </c>
      <c r="Q125" s="52" t="n">
        <v>90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552</v>
      </c>
      <c r="B126" s="50" t="s">
        <v>553</v>
      </c>
      <c r="C126" s="52" t="s">
        <v>554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555</v>
      </c>
      <c r="N126" s="55" t="n">
        <v>46402</v>
      </c>
      <c r="O126" s="55" t="n">
        <v>46409</v>
      </c>
      <c r="P126" s="50" t="s">
        <v>287</v>
      </c>
      <c r="Q126" s="52" t="n">
        <v>90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556</v>
      </c>
      <c r="B127" s="52" t="s">
        <v>557</v>
      </c>
      <c r="C127" s="52" t="s">
        <v>558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559</v>
      </c>
      <c r="N127" s="55" t="n">
        <v>46409</v>
      </c>
      <c r="O127" s="55" t="n">
        <v>46412</v>
      </c>
      <c r="P127" s="50" t="s">
        <v>287</v>
      </c>
      <c r="Q127" s="52" t="n">
        <v>90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560</v>
      </c>
      <c r="B128" s="39" t="s">
        <v>561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46352</v>
      </c>
      <c r="O128" s="45" t="n">
        <v>46352</v>
      </c>
      <c r="P128" s="46" t="s">
        <v>287</v>
      </c>
      <c r="Q128" s="37" t="n">
        <v>80</v>
      </c>
      <c r="R128" s="39"/>
      <c r="S128" s="39" t="n">
        <v>1</v>
      </c>
      <c r="T128" s="39" t="s">
        <v>288</v>
      </c>
      <c r="U128" s="58" t="n">
        <v>46352.0128</v>
      </c>
      <c r="V128" s="47" t="n">
        <v>0</v>
      </c>
      <c r="W128" s="39" t="s">
        <v>86</v>
      </c>
      <c r="X128" s="39"/>
      <c r="Y128" s="38" t="s">
        <v>562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563</v>
      </c>
      <c r="B129" s="38" t="s">
        <v>564</v>
      </c>
      <c r="C129" s="39"/>
      <c r="D129" s="39" t="s">
        <v>112</v>
      </c>
      <c r="E129" s="40" t="n">
        <v>0</v>
      </c>
      <c r="F129" s="38" t="s">
        <v>560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46353</v>
      </c>
      <c r="O129" s="45" t="n">
        <v>46353</v>
      </c>
      <c r="P129" s="46" t="s">
        <v>287</v>
      </c>
      <c r="Q129" s="37" t="n">
        <v>81</v>
      </c>
      <c r="R129" s="39"/>
      <c r="S129" s="39" t="n">
        <v>1</v>
      </c>
      <c r="T129" s="39" t="s">
        <v>288</v>
      </c>
      <c r="U129" s="58" t="n">
        <v>46353.0129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560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46353</v>
      </c>
      <c r="O130" s="45" t="n">
        <v>46357</v>
      </c>
      <c r="P130" s="46" t="s">
        <v>287</v>
      </c>
      <c r="Q130" s="37" t="n">
        <v>85</v>
      </c>
      <c r="R130" s="39"/>
      <c r="S130" s="39" t="n">
        <v>1</v>
      </c>
      <c r="T130" s="39" t="s">
        <v>288</v>
      </c>
      <c r="U130" s="58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 t="s">
        <v>569</v>
      </c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46396</v>
      </c>
      <c r="O131" s="45" t="n">
        <v>46398</v>
      </c>
      <c r="P131" s="46" t="s">
        <v>287</v>
      </c>
      <c r="Q131" s="37" t="n">
        <v>90</v>
      </c>
      <c r="R131" s="39"/>
      <c r="S131" s="39" t="n">
        <v>1</v>
      </c>
      <c r="T131" s="39" t="s">
        <v>288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646</v>
      </c>
      <c r="C8" s="95" t="s">
        <v>647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46192</v>
      </c>
      <c r="F9" s="99" t="n">
        <v>46192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46198</v>
      </c>
      <c r="F11" s="99" t="n">
        <v>46207</v>
      </c>
      <c r="G11" s="100"/>
      <c r="H11" s="101"/>
      <c r="I11" s="101"/>
      <c r="J11" s="101"/>
      <c r="K11" s="101"/>
      <c r="L11" s="101"/>
      <c r="M11" s="101" t="n">
        <v>0.5</v>
      </c>
      <c r="N11" s="101" t="n">
        <v>0.5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46217</v>
      </c>
      <c r="F13" s="99" t="n">
        <v>46217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46199</v>
      </c>
      <c r="F15" s="99" t="n">
        <v>46212</v>
      </c>
      <c r="G15" s="100"/>
      <c r="H15" s="101"/>
      <c r="I15" s="101"/>
      <c r="J15" s="101"/>
      <c r="K15" s="101"/>
      <c r="L15" s="101"/>
      <c r="M15" s="101" t="n">
        <v>0.3333</v>
      </c>
      <c r="N15" s="101" t="n">
        <v>0.3333</v>
      </c>
      <c r="O15" s="101" t="n">
        <v>0.3333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46280</v>
      </c>
      <c r="F17" s="99" t="n">
        <v>46280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46269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 t="n">
        <v>0.125</v>
      </c>
      <c r="X21" s="101" t="n">
        <v>0.125</v>
      </c>
      <c r="Y21" s="101" t="n">
        <v>0.125</v>
      </c>
      <c r="Z21" s="101" t="n">
        <v>0.125</v>
      </c>
      <c r="AA21" s="101" t="n">
        <v>0.125</v>
      </c>
      <c r="AB21" s="101" t="n">
        <v>0.125</v>
      </c>
      <c r="AC21" s="101" t="n">
        <v>0.125</v>
      </c>
      <c r="AD21" s="101" t="n">
        <v>0.125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46201</v>
      </c>
      <c r="F24" s="99" t="n">
        <v>46236</v>
      </c>
      <c r="G24" s="100"/>
      <c r="H24" s="101"/>
      <c r="I24" s="101"/>
      <c r="J24" s="101"/>
      <c r="K24" s="101"/>
      <c r="L24" s="101"/>
      <c r="M24" s="101" t="n">
        <v>3.3333</v>
      </c>
      <c r="N24" s="101" t="n">
        <v>3.3333</v>
      </c>
      <c r="O24" s="101" t="n">
        <v>3.3333</v>
      </c>
      <c r="P24" s="101" t="n">
        <v>3.3333</v>
      </c>
      <c r="Q24" s="101" t="n">
        <v>3.3333</v>
      </c>
      <c r="R24" s="101" t="n">
        <v>3.3333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46246</v>
      </c>
      <c r="F26" s="99" t="n">
        <v>46249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10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46237</v>
      </c>
      <c r="F28" s="99" t="n">
        <v>46250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46248</v>
      </c>
      <c r="F30" s="99" t="n">
        <v>46250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2.5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46246</v>
      </c>
      <c r="F32" s="99" t="n">
        <v>46249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15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46247</v>
      </c>
      <c r="F34" s="99" t="n">
        <v>46250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10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662</v>
      </c>
      <c r="C35" s="95" t="s">
        <v>647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46248</v>
      </c>
      <c r="F36" s="99" t="n">
        <v>46250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663</v>
      </c>
      <c r="C37" s="95" t="s">
        <v>647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46249</v>
      </c>
      <c r="F38" s="99" t="n">
        <v>46251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2.5</v>
      </c>
      <c r="U38" s="101" t="n">
        <v>2.5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664</v>
      </c>
      <c r="C39" s="95" t="s">
        <v>647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46250</v>
      </c>
      <c r="F40" s="99" t="n">
        <v>46251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1.25</v>
      </c>
      <c r="U40" s="101" t="n">
        <v>1.25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666</v>
      </c>
      <c r="C42" s="95" t="s">
        <v>647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544</v>
      </c>
      <c r="B44" s="95" t="s">
        <v>667</v>
      </c>
      <c r="C44" s="95" t="s">
        <v>647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4.1666</v>
      </c>
      <c r="N48" s="103" t="n">
        <f aca="false">SUMIF($C$7:$C$45,"Actual",N$7:N$45)</f>
        <v>4.1666</v>
      </c>
      <c r="O48" s="103" t="n">
        <f aca="false">SUMIF($C$7:$C$45,"Actual",O$7:O$45)</f>
        <v>3.6666</v>
      </c>
      <c r="P48" s="103" t="n">
        <f aca="false">SUMIF($C$7:$C$45,"Actual",P$7:P$45)</f>
        <v>3.8333</v>
      </c>
      <c r="Q48" s="103" t="n">
        <f aca="false">SUMIF($C$7:$C$45,"Actual",Q$7:Q$45)</f>
        <v>3.3333</v>
      </c>
      <c r="R48" s="103" t="n">
        <f aca="false">SUMIF($C$7:$C$45,"Actual",R$7:R$45)</f>
        <v>3.3333</v>
      </c>
      <c r="S48" s="103" t="n">
        <f aca="false">SUMIF($C$7:$C$45,"Actual",S$7:S$45)</f>
        <v>10</v>
      </c>
      <c r="T48" s="103" t="n">
        <f aca="false">SUMIF($C$7:$C$45,"Actual",T$7:T$45)</f>
        <v>56.25</v>
      </c>
      <c r="U48" s="103" t="n">
        <f aca="false">SUMIF($C$7:$C$45,"Actual",U$7:U$45)</f>
        <v>3.75</v>
      </c>
      <c r="V48" s="103" t="n">
        <f aca="false">SUMIF($C$7:$C$45,"Actual",V$7:V$45)</f>
        <v>0</v>
      </c>
      <c r="W48" s="103" t="n">
        <f aca="false">SUMIF($C$7:$C$45,"Actual",W$7:W$45)</f>
        <v>0.125</v>
      </c>
      <c r="X48" s="103" t="n">
        <f aca="false">SUMIF($C$7:$C$45,"Actual",X$7:X$45)</f>
        <v>0.125</v>
      </c>
      <c r="Y48" s="103" t="n">
        <f aca="false">SUMIF($C$7:$C$45,"Actual",Y$7:Y$45)</f>
        <v>1.125</v>
      </c>
      <c r="Z48" s="103" t="n">
        <f aca="false">SUMIF($C$7:$C$45,"Actual",Z$7:Z$45)</f>
        <v>0.125</v>
      </c>
      <c r="AA48" s="103" t="n">
        <f aca="false">SUMIF($C$7:$C$45,"Actual",AA$7:AA$45)</f>
        <v>0.125</v>
      </c>
      <c r="AB48" s="103" t="n">
        <f aca="false">SUMIF($C$7:$C$45,"Actual",AB$7:AB$45)</f>
        <v>0.125</v>
      </c>
      <c r="AC48" s="103" t="n">
        <f aca="false">SUMIF($C$7:$C$45,"Actual",AC$7:AC$45)</f>
        <v>0.125</v>
      </c>
      <c r="AD48" s="103" t="n">
        <f aca="false">SUMIF($C$7:$C$45,"Actual",AD$7:AD$45)</f>
        <v>0.125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4.6666</v>
      </c>
      <c r="N50" s="105" t="n">
        <f aca="false">IF(N$6&gt;46314,"",M50+N48)</f>
        <v>8.8332</v>
      </c>
      <c r="O50" s="105" t="n">
        <f aca="false">IF(O$6&gt;46314,"",N50+O48)</f>
        <v>12.4998</v>
      </c>
      <c r="P50" s="105" t="n">
        <f aca="false">IF(P$6&gt;46314,"",O50+P48)</f>
        <v>16.3331</v>
      </c>
      <c r="Q50" s="105" t="n">
        <f aca="false">IF(Q$6&gt;46314,"",P50+Q48)</f>
        <v>19.6664</v>
      </c>
      <c r="R50" s="105" t="n">
        <f aca="false">IF(R$6&gt;46314,"",Q50+R48)</f>
        <v>22.9997</v>
      </c>
      <c r="S50" s="105" t="n">
        <f aca="false">IF(S$6&gt;46314,"",R50+S48)</f>
        <v>32.9997</v>
      </c>
      <c r="T50" s="105" t="n">
        <f aca="false">IF(T$6&gt;46314,"",S50+T48)</f>
        <v>89.2497</v>
      </c>
      <c r="U50" s="105" t="n">
        <f aca="false">IF(U$6&gt;46314,"",T50+U48)</f>
        <v>92.9997</v>
      </c>
      <c r="V50" s="105" t="n">
        <f aca="false">IF(V$6&gt;46314,"",U50+V48)</f>
        <v>92.9997</v>
      </c>
      <c r="W50" s="105" t="n">
        <f aca="false">IF(W$6&gt;46314,"",V50+W48)</f>
        <v>93.1247</v>
      </c>
      <c r="X50" s="105" t="n">
        <f aca="false">IF(X$6&gt;46314,"",W50+X48)</f>
        <v>93.2497</v>
      </c>
      <c r="Y50" s="105" t="n">
        <f aca="false">IF(Y$6&gt;46314,"",X50+Y48)</f>
        <v>94.3747</v>
      </c>
      <c r="Z50" s="105" t="n">
        <f aca="false">IF(Z$6&gt;46314,"",Y50+Z48)</f>
        <v>94.4997</v>
      </c>
      <c r="AA50" s="105" t="n">
        <f aca="false">IF(AA$6&gt;46314,"",Z50+AA48)</f>
        <v>94.6247</v>
      </c>
      <c r="AB50" s="105" t="n">
        <f aca="false">IF(AB$6&gt;46314,"",AA50+AB48)</f>
        <v>94.7497</v>
      </c>
      <c r="AC50" s="105" t="n">
        <f aca="false">IF(AC$6&gt;46314,"",AB50+AC48)</f>
        <v>94.8747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2026-10-26T04:44:00Z</dcterms:created>
  <dc:creator>openpyxl</dc:creator>
  <dc:description/>
  <dc:language>en-US</dc:language>
  <cp:lastModifiedBy/>
  <dcterms:modified xsi:type="dcterms:W3CDTF">2026-10-26T11:47:18Z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