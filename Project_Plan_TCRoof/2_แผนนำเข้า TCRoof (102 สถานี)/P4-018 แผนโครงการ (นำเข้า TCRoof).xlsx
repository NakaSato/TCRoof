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<sst xmlns="http://schemas.openxmlformats.org/spreadsheetml/2006/main" count="1290" uniqueCount="669">
  <si>
    <t xml:space="preserve">แผนโครงการ P4-018 – สถานีผลิตน้ำบางอิน 118.56 kWp</t>
  </si>
  <si>
    <t xml:space="preserve">กปภ.สาขาคลองใหญ่, ภาคเหนือ-กลาง, กฟภ. เขต ก.2, Inverter 125 kW (ไม่ต้อง พค.2), Zero export LV, คำขอ PPIM1A50773C, วิศวกร ต้า, Admin กิ่ง,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</si>
  <si>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</si>
  <si>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</si>
  <si>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</si>
  <si>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</si>
  <si>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</si>
  <si>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</si>
  <si>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</si>
  <si>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</si>
  <si>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</si>
  <si>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</si>
  <si>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</si>
  <si>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</si>
  <si>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</si>
  <si>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</si>
  <si>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</si>
  <si>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</si>
  <si>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</si>
  <si>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</si>
  <si>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</si>
  <si>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</si>
  <si>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</si>
  <si>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</si>
  <si>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</si>
  <si>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</si>
  <si>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</si>
  <si>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</si>
  <si>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</si>
  <si>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</si>
  <si>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</si>
  <si>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</si>
  <si>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</si>
  <si>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</si>
  <si>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</si>
  <si>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</si>
  <si>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</si>
  <si>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</si>
  <si>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</si>
  <si>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</si>
  <si>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</si>
  <si>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</si>
  <si>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</si>
  <si>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</si>
  <si>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</si>
  <si>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</si>
  <si>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</si>
  <si>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</si>
  <si>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</si>
  <si>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</si>
  <si>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</si>
  <si>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</si>
  <si>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</si>
  <si>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</si>
  <si>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</si>
  <si>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</si>
  <si>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</si>
  <si>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</si>
  <si>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</si>
  <si>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</si>
  <si>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</si>
  <si>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</si>
  <si>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</si>
  <si>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</si>
  <si>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</si>
  <si>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</si>
  <si>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</si>
  <si>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</si>
  <si>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</si>
  <si>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</si>
  <si>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</si>
  <si>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</si>
  <si>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</si>
  <si>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</si>
  <si>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</si>
  <si>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</si>
  <si>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</si>
  <si>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</si>
  <si>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</si>
  <si>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</si>
  <si>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</si>
  <si>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</si>
  <si>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</si>
  <si>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</si>
  <si>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</si>
  <si>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</si>
  <si>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</si>
  <si>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</si>
  <si>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</si>
  <si>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</si>
  <si>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</si>
  <si>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</si>
  <si>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</si>
  <si>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</si>
  <si>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</si>
  <si>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</si>
  <si>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</si>
  <si>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</si>
  <si>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</si>
  <si>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</si>
  <si>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</si>
  <si>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</si>
  <si>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</si>
  <si>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</si>
  <si>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</si>
  <si>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</si>
  <si>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</si>
  <si>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</si>
  <si>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</si>
  <si>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</si>
  <si>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</si>
  <si>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TC-PML-2026-546,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</si>
  <si>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</si>
  <si>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</si>
  <si>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</si>
  <si>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</si>
  <si>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</si>
  <si>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</si>
  <si>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</si>
  <si>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</si>
  <si>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</si>
  <si>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WBS'!L4186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</si>
  <si>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</si>
  <si>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</si>
  <si>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</si>
  <si>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</si>
  <si>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</si>
  <si>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</si>
  <si>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</si>
  <si>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</si>
  <si>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</si>
  <si>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</si>
  <si>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</si>
  <si>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</si>
  <si>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</si>
  <si>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</si>
  <si>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</si>
  <si>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</si>
  <si>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</si>
  <si>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</si>
  <si>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</si>
  <si>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</si>
  <si>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</si>
  <si>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</si>
  <si>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</si>
  <si>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</si>
  <si>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</si>
  <si>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</si>
  <si>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</si>
  <si>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</si>
  <si>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</si>
  <si>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</si>
  <si>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WBS'!L4192</t>
    </r>
  </si>
  <si>
    <t xml:space="preserve">0.3</t>
  </si>
  <si>
    <t xml:space="preserve">หนังสือแจ้งขอดับไฟ</t>
  </si>
  <si>
    <t xml:space="preserve">TC-PML-2026-534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</si>
  <si>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</si>
  <si>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</si>
  <si>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</si>
  <si>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</si>
  <si>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</si>
  <si>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</si>
  <si>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</si>
  <si>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</si>
  <si>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</si>
  <si>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</si>
  <si>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</si>
  <si>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</si>
  <si>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</si>
  <si>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</si>
  <si>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</si>
  <si>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</si>
  <si>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</si>
  <si>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</si>
  <si>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</si>
  <si>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</si>
  <si>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</si>
  <si>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</si>
  <si>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</si>
  <si>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</si>
  <si>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</si>
  <si>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</si>
  <si>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</si>
  <si>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</si>
  <si>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</si>
  <si>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</si>
  <si>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</si>
  <si>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</si>
  <si>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</si>
  <si>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</si>
  <si>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</si>
  <si>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</si>
  <si>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</si>
  <si>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</si>
  <si>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</si>
  <si>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</si>
  <si>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</si>
  <si>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</si>
  <si>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</si>
  <si>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</si>
  <si>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</si>
  <si>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</si>
  <si>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</si>
  <si>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</si>
  <si>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</si>
  <si>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</si>
  <si>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</si>
  <si>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</si>
  <si>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</si>
  <si>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</si>
  <si>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</si>
  <si>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</si>
  <si>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</si>
  <si>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</si>
  <si>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</si>
  <si>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</si>
  <si>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</si>
  <si>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</si>
  <si>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</si>
  <si>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</si>
  <si>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</si>
  <si>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</si>
  <si>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</si>
  <si>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</si>
  <si>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</si>
  <si>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</si>
  <si>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</si>
  <si>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</si>
  <si>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</si>
  <si>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</si>
  <si>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</si>
  <si>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</si>
  <si>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</si>
  <si>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</si>
  <si>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</si>
  <si>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</si>
  <si>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</si>
  <si>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</si>
  <si>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</si>
  <si>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</si>
  <si>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</si>
  <si>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</si>
  <si>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</si>
  <si>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</si>
  <si>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</si>
  <si>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</si>
  <si>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</si>
  <si>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</si>
  <si>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</si>
  <si>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</si>
  <si>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</si>
  <si>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</si>
  <si>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</si>
  <si>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</si>
  <si>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</si>
  <si>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</si>
  <si>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</si>
  <si>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</si>
  <si>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</si>
  <si>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</si>
  <si>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</si>
  <si>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</si>
  <si>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</si>
  <si>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</si>
  <si>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</si>
  <si>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</si>
  <si>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</si>
  <si>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</si>
  <si>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</si>
  <si>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</si>
  <si>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</si>
  <si>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</si>
  <si>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WBS'!L4210</t>
    </r>
  </si>
  <si>
    <t xml:space="preserve">1.7.1</t>
  </si>
  <si>
    <t xml:space="preserve">คำขอขนานไฟ PPIM (ชุด 11 ไฟล์)</t>
  </si>
  <si>
    <t xml:space="preserve">PPIM1A50773C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</si>
  <si>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</si>
  <si>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</si>
  <si>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</si>
  <si>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</si>
  <si>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</si>
  <si>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</si>
  <si>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</si>
  <si>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</si>
  <si>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</si>
  <si>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</si>
  <si>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</si>
  <si>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</si>
  <si>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</si>
  <si>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</si>
  <si>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</si>
  <si>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</si>
  <si>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</si>
  <si>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</si>
  <si>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</si>
  <si>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</si>
  <si>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</si>
  <si>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</si>
  <si>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</si>
  <si>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</si>
  <si>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</si>
  <si>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</si>
  <si>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</si>
  <si>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</si>
  <si>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</si>
  <si>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</si>
  <si>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</si>
  <si>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</si>
  <si>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</si>
  <si>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</si>
  <si>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</si>
  <si>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</si>
  <si>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</si>
  <si>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</si>
  <si>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</si>
  <si>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</si>
  <si>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</si>
  <si>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</si>
  <si>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</si>
  <si>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</si>
  <si>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</si>
  <si>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</si>
  <si>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</si>
  <si>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</si>
  <si>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</si>
  <si>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</si>
  <si>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</si>
  <si>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</si>
  <si>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</si>
  <si>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</si>
  <si>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</si>
  <si>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</si>
  <si>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</si>
  <si>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</si>
  <si>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</si>
  <si>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</si>
  <si>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</si>
  <si>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</si>
  <si>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</si>
  <si>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</si>
  <si>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</si>
  <si>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</si>
  <si>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</si>
  <si>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</si>
  <si>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</si>
  <si>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</si>
  <si>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</si>
  <si>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</si>
  <si>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</si>
  <si>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</si>
  <si>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</si>
  <si>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</si>
  <si>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</si>
  <si>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</si>
  <si>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</si>
  <si>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</si>
  <si>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</si>
  <si>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</si>
  <si>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</si>
  <si>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</si>
  <si>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</si>
  <si>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</si>
  <si>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</si>
  <si>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</si>
  <si>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</si>
  <si>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</si>
  <si>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</si>
  <si>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</si>
  <si>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</si>
  <si>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</si>
  <si>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</si>
  <si>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</si>
  <si>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</si>
  <si>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</si>
  <si>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</si>
  <si>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</si>
  <si>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</si>
  <si>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</si>
  <si>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</si>
  <si>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</si>
  <si>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</si>
  <si>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</si>
  <si>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</si>
  <si>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</si>
  <si>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</si>
  <si>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</si>
  <si>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</si>
  <si>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</si>
  <si>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</si>
  <si>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</si>
  <si>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WBS'!L4229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</si>
  <si>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</si>
  <si>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</si>
  <si>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</si>
  <si>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</si>
  <si>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</si>
  <si>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</si>
  <si>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</si>
  <si>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</si>
  <si>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</si>
  <si>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</si>
  <si>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</si>
  <si>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</si>
  <si>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</si>
  <si>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</si>
  <si>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</si>
  <si>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</si>
  <si>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</si>
  <si>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</si>
  <si>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</si>
  <si>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</si>
  <si>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</si>
  <si>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</si>
  <si>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</si>
  <si>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</si>
  <si>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</si>
  <si>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</si>
  <si>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</si>
  <si>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</si>
  <si>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</si>
  <si>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</si>
  <si>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</si>
  <si>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</si>
  <si>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</si>
  <si>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</si>
  <si>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</si>
  <si>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</si>
  <si>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</si>
  <si>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</si>
  <si>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</si>
  <si>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</si>
  <si>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</si>
  <si>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</si>
  <si>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</si>
  <si>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</si>
  <si>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</si>
  <si>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</si>
  <si>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</si>
  <si>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</si>
  <si>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</si>
  <si>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</si>
  <si>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</si>
  <si>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</si>
  <si>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</si>
  <si>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</si>
  <si>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</si>
  <si>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</si>
  <si>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</si>
  <si>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</si>
  <si>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</si>
  <si>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</si>
  <si>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</si>
  <si>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</si>
  <si>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</si>
  <si>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</si>
  <si>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</si>
  <si>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</si>
  <si>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</si>
  <si>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</si>
  <si>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</si>
  <si>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</si>
  <si>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</si>
  <si>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</si>
  <si>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</si>
  <si>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</si>
  <si>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</si>
  <si>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</si>
  <si>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</si>
  <si>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</si>
  <si>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</si>
  <si>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</si>
  <si>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</si>
  <si>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</si>
  <si>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</si>
  <si>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</si>
  <si>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</si>
  <si>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</si>
  <si>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</si>
  <si>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</si>
  <si>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</si>
  <si>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</si>
  <si>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</si>
  <si>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</si>
  <si>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</si>
  <si>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</si>
  <si>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</si>
  <si>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</si>
  <si>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</si>
  <si>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</si>
  <si>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</si>
  <si>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WBS'!L4248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</si>
  <si>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</si>
  <si>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</si>
  <si>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</si>
  <si>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</si>
  <si>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</si>
  <si>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</si>
  <si>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</si>
  <si>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</si>
  <si>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</si>
  <si>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</si>
  <si>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</si>
  <si>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</si>
  <si>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</si>
  <si>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</si>
  <si>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</si>
  <si>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</si>
  <si>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</si>
  <si>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</si>
  <si>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</si>
  <si>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</si>
  <si>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</si>
  <si>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</si>
  <si>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</si>
  <si>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</si>
  <si>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</si>
  <si>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</si>
  <si>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</si>
  <si>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</si>
  <si>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</si>
  <si>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</si>
  <si>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</si>
  <si>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</si>
  <si>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</si>
  <si>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</si>
  <si>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</si>
  <si>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</si>
  <si>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</si>
  <si>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</si>
  <si>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</si>
  <si>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</si>
  <si>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</si>
  <si>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</si>
  <si>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</si>
  <si>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</si>
  <si>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</si>
  <si>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</si>
  <si>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</si>
  <si>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</si>
  <si>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</si>
  <si>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</si>
  <si>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</si>
  <si>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</si>
  <si>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</si>
  <si>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</si>
  <si>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</si>
  <si>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</si>
  <si>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</si>
  <si>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</si>
  <si>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</si>
  <si>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</si>
  <si>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</si>
  <si>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</si>
  <si>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</si>
  <si>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</si>
  <si>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</si>
  <si>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</si>
  <si>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</si>
  <si>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</si>
  <si>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</si>
  <si>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</si>
  <si>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</si>
  <si>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</si>
  <si>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</si>
  <si>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</si>
  <si>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</si>
  <si>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</si>
  <si>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</si>
  <si>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</si>
  <si>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</si>
  <si>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</si>
  <si>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</si>
  <si>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</si>
  <si>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</si>
  <si>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</si>
  <si>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</si>
  <si>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</si>
  <si>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</si>
  <si>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</si>
  <si>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</si>
  <si>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</si>
  <si>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</si>
  <si>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</si>
  <si>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</si>
  <si>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</si>
  <si>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</si>
  <si>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</si>
  <si>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</si>
  <si>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</si>
  <si>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</si>
  <si>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</si>
  <si>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</si>
  <si>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</si>
  <si>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</si>
  <si>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</si>
  <si>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</si>
  <si>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</si>
  <si>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</si>
  <si>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</si>
  <si>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</si>
  <si>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</si>
  <si>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</si>
  <si>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</si>
  <si>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</si>
  <si>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</si>
  <si>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</si>
  <si>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</si>
  <si>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</si>
  <si>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</si>
  <si>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</si>
  <si>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</si>
  <si>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</si>
  <si>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</si>
  <si>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</si>
  <si>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สถานีผลิตน้ำบางอิน การประปาส่วนภูมิภาคสาขาคลองใหญ่ ขนาดกำลังผลิต </t>
    </r>
    <r>
      <rPr>
        <sz val="10"/>
        <rFont val="Tahoma"/>
        <family val="0"/>
        <charset val="1"/>
      </rPr>
      <t xml:space="preserve">118.56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</si>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</sst>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23.5001</c:v>
                </c:pt>
                <c:pt idx="13">
                  <c:v>92.2501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93.5001</c:v>
                </c:pt>
                <c:pt idx="18">
                  <c:v>93.8001</c:v>
                </c:pt>
                <c:pt idx="19">
                  <c:v>94.1001</c:v>
                </c:pt>
                <c:pt idx="20">
                  <c:v>94.4001</c:v>
                </c:pt>
                <c:pt idx="21">
                  <c:v>94.7001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84981"/>
        <c:axId val="77827532"/>
      </c:lineChart>
      <c:catAx>
        <c:axId val="7778498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27532"/>
        <c:crosses val="autoZero"/>
        <c:auto val="1"/>
        <c:lblAlgn val="ctr"/>
        <c:lblOffset val="100"/>
        <c:noMultiLvlLbl val="0"/>
      </c:catAx>
      <c:valAx>
        <c:axId val="77827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84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80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46215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46215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46215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46224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46215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46215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 t="n">
        <v>46252</v>
      </c>
      <c r="M16" s="43"/>
      <c r="N16" s="44" t="n">
        <v>46243</v>
      </c>
      <c r="O16" s="45" t="n">
        <v>46252</v>
      </c>
      <c r="P16" s="46" t="s">
        <v>60</v>
      </c>
      <c r="Q16" s="37" t="n">
        <v>25</v>
      </c>
      <c r="R16" s="39"/>
      <c r="S16" s="39" t="n">
        <v>1</v>
      </c>
      <c r="T16" s="39" t="s">
        <v>114</v>
      </c>
      <c r="U16" s="39"/>
      <c r="V16" s="47" t="n">
        <v>1</v>
      </c>
      <c r="W16" s="39" t="s">
        <v>86</v>
      </c>
      <c r="X16" s="39" t="s">
        <v>115</v>
      </c>
      <c r="Y16" s="38" t="s">
        <v>116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117</v>
      </c>
      <c r="B17" s="50" t="s">
        <v>118</v>
      </c>
      <c r="C17" s="50" t="s">
        <v>119</v>
      </c>
      <c r="D17" s="52" t="s">
        <v>120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121</v>
      </c>
      <c r="N17" s="55" t="n">
        <v>46243</v>
      </c>
      <c r="O17" s="55" t="n">
        <v>46245</v>
      </c>
      <c r="P17" s="50" t="s">
        <v>122</v>
      </c>
      <c r="Q17" s="52" t="n">
        <v>27</v>
      </c>
      <c r="R17" s="52"/>
      <c r="S17" s="52" t="n">
        <v>2</v>
      </c>
      <c r="T17" s="52" t="s">
        <v>123</v>
      </c>
      <c r="U17" s="52"/>
      <c r="V17" s="56" t="n">
        <v>1</v>
      </c>
      <c r="W17" s="52" t="s">
        <v>80</v>
      </c>
      <c r="X17" s="52"/>
      <c r="Y17" s="52" t="s">
        <v>116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124</v>
      </c>
      <c r="B18" s="50" t="s">
        <v>125</v>
      </c>
      <c r="C18" s="50" t="s">
        <v>126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127</v>
      </c>
      <c r="N18" s="55" t="n">
        <v>46244</v>
      </c>
      <c r="O18" s="55" t="n">
        <v>46247</v>
      </c>
      <c r="P18" s="50" t="s">
        <v>122</v>
      </c>
      <c r="Q18" s="52" t="n">
        <v>27</v>
      </c>
      <c r="R18" s="52"/>
      <c r="S18" s="52" t="n">
        <v>2</v>
      </c>
      <c r="T18" s="52" t="s">
        <v>123</v>
      </c>
      <c r="U18" s="52"/>
      <c r="V18" s="56" t="n">
        <v>1</v>
      </c>
      <c r="W18" s="50" t="s">
        <v>86</v>
      </c>
      <c r="X18" s="52"/>
      <c r="Y18" s="52" t="s">
        <v>116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128</v>
      </c>
      <c r="B19" s="50" t="s">
        <v>129</v>
      </c>
      <c r="C19" s="50" t="s">
        <v>130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131</v>
      </c>
      <c r="N19" s="55" t="n">
        <v>46246</v>
      </c>
      <c r="O19" s="55" t="n">
        <v>46249</v>
      </c>
      <c r="P19" s="50" t="s">
        <v>122</v>
      </c>
      <c r="Q19" s="52" t="n">
        <v>25</v>
      </c>
      <c r="R19" s="52"/>
      <c r="S19" s="52" t="n">
        <v>2</v>
      </c>
      <c r="T19" s="52" t="s">
        <v>123</v>
      </c>
      <c r="U19" s="52"/>
      <c r="V19" s="56" t="n">
        <v>1</v>
      </c>
      <c r="W19" s="50" t="s">
        <v>86</v>
      </c>
      <c r="X19" s="52"/>
      <c r="Y19" s="52" t="s">
        <v>116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132</v>
      </c>
      <c r="B20" s="50" t="s">
        <v>133</v>
      </c>
      <c r="C20" s="50" t="s">
        <v>134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135</v>
      </c>
      <c r="N20" s="55" t="n">
        <v>46246</v>
      </c>
      <c r="O20" s="55" t="n">
        <v>46249</v>
      </c>
      <c r="P20" s="50" t="s">
        <v>122</v>
      </c>
      <c r="Q20" s="52" t="n">
        <v>25</v>
      </c>
      <c r="R20" s="52"/>
      <c r="S20" s="52" t="n">
        <v>2</v>
      </c>
      <c r="T20" s="52" t="s">
        <v>123</v>
      </c>
      <c r="U20" s="52"/>
      <c r="V20" s="56" t="n">
        <v>1</v>
      </c>
      <c r="W20" s="50" t="s">
        <v>86</v>
      </c>
      <c r="X20" s="52"/>
      <c r="Y20" s="52" t="s">
        <v>116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136</v>
      </c>
      <c r="B21" s="50" t="s">
        <v>137</v>
      </c>
      <c r="C21" s="50" t="s">
        <v>138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139</v>
      </c>
      <c r="N21" s="55" t="n">
        <v>46247</v>
      </c>
      <c r="O21" s="55" t="n">
        <v>46250</v>
      </c>
      <c r="P21" s="50" t="s">
        <v>122</v>
      </c>
      <c r="Q21" s="52" t="n">
        <v>25</v>
      </c>
      <c r="R21" s="52"/>
      <c r="S21" s="52" t="n">
        <v>2</v>
      </c>
      <c r="T21" s="52" t="s">
        <v>123</v>
      </c>
      <c r="U21" s="52"/>
      <c r="V21" s="56" t="n">
        <v>1</v>
      </c>
      <c r="W21" s="50" t="s">
        <v>86</v>
      </c>
      <c r="X21" s="52"/>
      <c r="Y21" s="52" t="s">
        <v>116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140</v>
      </c>
      <c r="B22" s="50" t="s">
        <v>141</v>
      </c>
      <c r="C22" s="50" t="s">
        <v>142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143</v>
      </c>
      <c r="N22" s="55" t="n">
        <v>46248</v>
      </c>
      <c r="O22" s="55" t="n">
        <v>46251</v>
      </c>
      <c r="P22" s="50" t="s">
        <v>122</v>
      </c>
      <c r="Q22" s="52" t="n">
        <v>25</v>
      </c>
      <c r="R22" s="52"/>
      <c r="S22" s="52" t="n">
        <v>2</v>
      </c>
      <c r="T22" s="52" t="s">
        <v>123</v>
      </c>
      <c r="U22" s="52"/>
      <c r="V22" s="56" t="n">
        <v>1</v>
      </c>
      <c r="W22" s="50" t="s">
        <v>86</v>
      </c>
      <c r="X22" s="52"/>
      <c r="Y22" s="52" t="s">
        <v>116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144</v>
      </c>
      <c r="B23" s="50" t="s">
        <v>145</v>
      </c>
      <c r="C23" s="50" t="s">
        <v>146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147</v>
      </c>
      <c r="Q23" s="52"/>
      <c r="R23" s="52"/>
      <c r="S23" s="52" t="n">
        <v>2</v>
      </c>
      <c r="T23" s="52" t="s">
        <v>148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46248</v>
      </c>
      <c r="O24" s="55" t="n">
        <v>46252</v>
      </c>
      <c r="P24" s="50" t="s">
        <v>122</v>
      </c>
      <c r="Q24" s="52" t="n">
        <v>25</v>
      </c>
      <c r="R24" s="52"/>
      <c r="S24" s="52" t="n">
        <v>2</v>
      </c>
      <c r="T24" s="52" t="s">
        <v>123</v>
      </c>
      <c r="U24" s="52"/>
      <c r="V24" s="56" t="n">
        <v>1</v>
      </c>
      <c r="W24" s="50" t="s">
        <v>86</v>
      </c>
      <c r="X24" s="52"/>
      <c r="Y24" s="52" t="s">
        <v>116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46253</v>
      </c>
      <c r="M25" s="43"/>
      <c r="N25" s="44" t="n">
        <v>46253</v>
      </c>
      <c r="O25" s="45" t="n">
        <v>46253</v>
      </c>
      <c r="P25" s="46" t="s">
        <v>60</v>
      </c>
      <c r="Q25" s="37" t="n">
        <v>32</v>
      </c>
      <c r="R25" s="39"/>
      <c r="S25" s="39" t="n">
        <v>1</v>
      </c>
      <c r="T25" s="39" t="s">
        <v>114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120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162</v>
      </c>
      <c r="N26" s="55" t="n">
        <v>46253</v>
      </c>
      <c r="O26" s="55" t="n">
        <v>46253</v>
      </c>
      <c r="P26" s="50" t="s">
        <v>122</v>
      </c>
      <c r="Q26" s="52" t="n">
        <v>32</v>
      </c>
      <c r="R26" s="52"/>
      <c r="S26" s="52" t="n">
        <v>2</v>
      </c>
      <c r="T26" s="52" t="s">
        <v>123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163</v>
      </c>
      <c r="B27" s="50" t="s">
        <v>164</v>
      </c>
      <c r="C27" s="50" t="s">
        <v>165</v>
      </c>
      <c r="D27" s="52" t="s">
        <v>120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166</v>
      </c>
      <c r="N27" s="55" t="n">
        <v>46253</v>
      </c>
      <c r="O27" s="55" t="n">
        <v>46253</v>
      </c>
      <c r="P27" s="50" t="s">
        <v>122</v>
      </c>
      <c r="Q27" s="52" t="n">
        <v>32</v>
      </c>
      <c r="R27" s="52"/>
      <c r="S27" s="52" t="n">
        <v>2</v>
      </c>
      <c r="T27" s="52" t="s">
        <v>123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167</v>
      </c>
      <c r="B28" s="50" t="s">
        <v>168</v>
      </c>
      <c r="C28" s="50" t="s">
        <v>169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170</v>
      </c>
      <c r="N28" s="55" t="n">
        <v>46253</v>
      </c>
      <c r="O28" s="55" t="n">
        <v>46253</v>
      </c>
      <c r="P28" s="50" t="s">
        <v>122</v>
      </c>
      <c r="Q28" s="52" t="n">
        <v>32</v>
      </c>
      <c r="R28" s="52"/>
      <c r="S28" s="52" t="n">
        <v>2</v>
      </c>
      <c r="T28" s="52" t="s">
        <v>123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171</v>
      </c>
      <c r="B29" s="31" t="s">
        <v>172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173</v>
      </c>
      <c r="B30" s="38" t="s">
        <v>174</v>
      </c>
      <c r="C30" s="39"/>
      <c r="D30" s="39" t="s">
        <v>79</v>
      </c>
      <c r="E30" s="40" t="n">
        <v>0.5</v>
      </c>
      <c r="F30" s="39" t="s">
        <v>175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176</v>
      </c>
      <c r="N30" s="44" t="n">
        <v>46197</v>
      </c>
      <c r="O30" s="45" t="n">
        <v>46197</v>
      </c>
      <c r="P30" s="46" t="s">
        <v>177</v>
      </c>
      <c r="Q30" s="37" t="n">
        <v>0</v>
      </c>
      <c r="R30" s="39"/>
      <c r="S30" s="39" t="n">
        <v>1</v>
      </c>
      <c r="T30" s="39" t="s">
        <v>123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46197</v>
      </c>
      <c r="O31" s="55" t="n">
        <v>46197</v>
      </c>
      <c r="P31" s="50" t="s">
        <v>122</v>
      </c>
      <c r="Q31" s="52" t="n">
        <v>0</v>
      </c>
      <c r="R31" s="52"/>
      <c r="S31" s="52" t="n">
        <v>2</v>
      </c>
      <c r="T31" s="52" t="s">
        <v>123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120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46197</v>
      </c>
      <c r="O32" s="55" t="n">
        <v>46197</v>
      </c>
      <c r="P32" s="50" t="s">
        <v>122</v>
      </c>
      <c r="Q32" s="52" t="n">
        <v>0</v>
      </c>
      <c r="R32" s="52"/>
      <c r="S32" s="52" t="n">
        <v>2</v>
      </c>
      <c r="T32" s="52" t="s">
        <v>123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46197</v>
      </c>
      <c r="O33" s="55" t="n">
        <v>46197</v>
      </c>
      <c r="P33" s="50" t="s">
        <v>122</v>
      </c>
      <c r="Q33" s="52" t="n">
        <v>0</v>
      </c>
      <c r="R33" s="52"/>
      <c r="S33" s="52" t="n">
        <v>2</v>
      </c>
      <c r="T33" s="52" t="s">
        <v>123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176</v>
      </c>
      <c r="N34" s="44" t="n">
        <v>46204</v>
      </c>
      <c r="O34" s="45" t="n">
        <v>46213</v>
      </c>
      <c r="P34" s="46" t="s">
        <v>177</v>
      </c>
      <c r="Q34" s="37" t="n">
        <v>0</v>
      </c>
      <c r="R34" s="39"/>
      <c r="S34" s="39" t="n">
        <v>1</v>
      </c>
      <c r="T34" s="39" t="s">
        <v>123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46204</v>
      </c>
      <c r="O35" s="55" t="n">
        <v>46209</v>
      </c>
      <c r="P35" s="50" t="s">
        <v>122</v>
      </c>
      <c r="Q35" s="52" t="n">
        <v>1</v>
      </c>
      <c r="R35" s="52"/>
      <c r="S35" s="52" t="n">
        <v>2</v>
      </c>
      <c r="T35" s="52" t="s">
        <v>123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46204</v>
      </c>
      <c r="O36" s="55" t="n">
        <v>46209</v>
      </c>
      <c r="P36" s="50" t="s">
        <v>122</v>
      </c>
      <c r="Q36" s="52" t="n">
        <v>0</v>
      </c>
      <c r="R36" s="52"/>
      <c r="S36" s="52" t="n">
        <v>2</v>
      </c>
      <c r="T36" s="52" t="s">
        <v>123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46207</v>
      </c>
      <c r="O37" s="55" t="n">
        <v>46210</v>
      </c>
      <c r="P37" s="50" t="s">
        <v>122</v>
      </c>
      <c r="Q37" s="52" t="n">
        <v>0</v>
      </c>
      <c r="R37" s="52"/>
      <c r="S37" s="52" t="n">
        <v>2</v>
      </c>
      <c r="T37" s="52" t="s">
        <v>123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46209</v>
      </c>
      <c r="O38" s="55" t="n">
        <v>46213</v>
      </c>
      <c r="P38" s="50" t="s">
        <v>122</v>
      </c>
      <c r="Q38" s="52" t="n">
        <v>0</v>
      </c>
      <c r="R38" s="52"/>
      <c r="S38" s="52" t="n">
        <v>2</v>
      </c>
      <c r="T38" s="52" t="s">
        <v>123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176</v>
      </c>
      <c r="N39" s="44" t="n">
        <v>46227</v>
      </c>
      <c r="O39" s="45" t="n">
        <v>46227</v>
      </c>
      <c r="P39" s="46" t="s">
        <v>177</v>
      </c>
      <c r="Q39" s="37" t="n">
        <v>0</v>
      </c>
      <c r="R39" s="39"/>
      <c r="S39" s="39" t="n">
        <v>1</v>
      </c>
      <c r="T39" s="39" t="s">
        <v>123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46227</v>
      </c>
      <c r="O40" s="55" t="n">
        <v>46227</v>
      </c>
      <c r="P40" s="50" t="s">
        <v>122</v>
      </c>
      <c r="Q40" s="52" t="n">
        <v>0</v>
      </c>
      <c r="R40" s="52"/>
      <c r="S40" s="52" t="n">
        <v>2</v>
      </c>
      <c r="T40" s="52" t="s">
        <v>123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46227</v>
      </c>
      <c r="O41" s="55" t="n">
        <v>46227</v>
      </c>
      <c r="P41" s="50" t="s">
        <v>122</v>
      </c>
      <c r="Q41" s="52" t="n">
        <v>0</v>
      </c>
      <c r="R41" s="52"/>
      <c r="S41" s="52" t="n">
        <v>2</v>
      </c>
      <c r="T41" s="52" t="s">
        <v>123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46227</v>
      </c>
      <c r="O42" s="55" t="n">
        <v>46227</v>
      </c>
      <c r="P42" s="50" t="s">
        <v>122</v>
      </c>
      <c r="Q42" s="52" t="n">
        <v>0</v>
      </c>
      <c r="R42" s="52"/>
      <c r="S42" s="52" t="n">
        <v>2</v>
      </c>
      <c r="T42" s="52" t="s">
        <v>123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176</v>
      </c>
      <c r="N43" s="44" t="n">
        <v>46204</v>
      </c>
      <c r="O43" s="45" t="n">
        <v>46217</v>
      </c>
      <c r="P43" s="46" t="s">
        <v>177</v>
      </c>
      <c r="Q43" s="37" t="n">
        <v>0</v>
      </c>
      <c r="R43" s="39"/>
      <c r="S43" s="39" t="n">
        <v>1</v>
      </c>
      <c r="T43" s="39" t="s">
        <v>123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46204</v>
      </c>
      <c r="O44" s="55" t="n">
        <v>46207</v>
      </c>
      <c r="P44" s="50" t="s">
        <v>122</v>
      </c>
      <c r="Q44" s="52" t="n">
        <v>0</v>
      </c>
      <c r="R44" s="52"/>
      <c r="S44" s="52" t="n">
        <v>2</v>
      </c>
      <c r="T44" s="52" t="s">
        <v>123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120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46205</v>
      </c>
      <c r="O45" s="55" t="n">
        <v>46211</v>
      </c>
      <c r="P45" s="50" t="s">
        <v>122</v>
      </c>
      <c r="Q45" s="52" t="n">
        <v>1</v>
      </c>
      <c r="R45" s="52"/>
      <c r="S45" s="52" t="n">
        <v>2</v>
      </c>
      <c r="T45" s="52" t="s">
        <v>123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120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46211</v>
      </c>
      <c r="O46" s="55" t="n">
        <v>46217</v>
      </c>
      <c r="P46" s="50" t="s">
        <v>122</v>
      </c>
      <c r="Q46" s="52" t="n">
        <v>0</v>
      </c>
      <c r="R46" s="52"/>
      <c r="S46" s="52" t="n">
        <v>2</v>
      </c>
      <c r="T46" s="52" t="s">
        <v>123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147</v>
      </c>
      <c r="Q47" s="37"/>
      <c r="R47" s="39"/>
      <c r="S47" s="39" t="n">
        <v>1</v>
      </c>
      <c r="T47" s="38" t="s">
        <v>148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120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147</v>
      </c>
      <c r="Q48" s="52"/>
      <c r="R48" s="52"/>
      <c r="S48" s="52" t="n">
        <v>2</v>
      </c>
      <c r="T48" s="52" t="s">
        <v>148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120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147</v>
      </c>
      <c r="Q49" s="52"/>
      <c r="R49" s="52"/>
      <c r="S49" s="52" t="n">
        <v>2</v>
      </c>
      <c r="T49" s="52" t="s">
        <v>148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147</v>
      </c>
      <c r="Q50" s="37"/>
      <c r="R50" s="39"/>
      <c r="S50" s="39" t="n">
        <v>1</v>
      </c>
      <c r="T50" s="38" t="s">
        <v>148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120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147</v>
      </c>
      <c r="Q51" s="52"/>
      <c r="R51" s="52"/>
      <c r="S51" s="52" t="n">
        <v>2</v>
      </c>
      <c r="T51" s="52" t="s">
        <v>148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120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120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46288</v>
      </c>
      <c r="M55" s="43"/>
      <c r="N55" s="44" t="n">
        <v>46288</v>
      </c>
      <c r="O55" s="45" t="n">
        <v>46288</v>
      </c>
      <c r="P55" s="46" t="s">
        <v>60</v>
      </c>
      <c r="Q55" s="37" t="n">
        <v>28</v>
      </c>
      <c r="R55" s="39"/>
      <c r="S55" s="39" t="n">
        <v>1</v>
      </c>
      <c r="T55" s="39" t="s">
        <v>114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46288</v>
      </c>
      <c r="L57" s="42"/>
      <c r="M57" s="43" t="s">
        <v>176</v>
      </c>
      <c r="N57" s="44" t="n">
        <v>46288</v>
      </c>
      <c r="O57" s="45" t="n">
        <v>46314</v>
      </c>
      <c r="P57" s="46" t="s">
        <v>177</v>
      </c>
      <c r="Q57" s="37" t="n">
        <v>33</v>
      </c>
      <c r="R57" s="39"/>
      <c r="S57" s="39" t="n">
        <v>1</v>
      </c>
      <c r="T57" s="39" t="s">
        <v>123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176</v>
      </c>
      <c r="N58" s="44" t="n">
        <v>46308</v>
      </c>
      <c r="O58" s="45" t="n">
        <v>46314</v>
      </c>
      <c r="P58" s="46" t="s">
        <v>177</v>
      </c>
      <c r="Q58" s="37" t="n">
        <v>26</v>
      </c>
      <c r="R58" s="39"/>
      <c r="S58" s="39" t="n">
        <v>1</v>
      </c>
      <c r="T58" s="39" t="s">
        <v>123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176</v>
      </c>
      <c r="N59" s="44" t="n">
        <v>46314</v>
      </c>
      <c r="O59" s="45" t="n">
        <v>46314</v>
      </c>
      <c r="P59" s="46" t="s">
        <v>177</v>
      </c>
      <c r="Q59" s="37" t="n">
        <v>25</v>
      </c>
      <c r="R59" s="39"/>
      <c r="S59" s="39" t="n">
        <v>1</v>
      </c>
      <c r="T59" s="39" t="s">
        <v>123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52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46236</v>
      </c>
      <c r="O61" s="33" t="n">
        <v>46267</v>
      </c>
      <c r="P61" s="34" t="s">
        <v>60</v>
      </c>
      <c r="Q61" s="31" t="n">
        <v>8</v>
      </c>
      <c r="R61" s="31"/>
      <c r="S61" s="31" t="n">
        <v>0</v>
      </c>
      <c r="T61" s="31" t="s">
        <v>114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12</v>
      </c>
      <c r="I62" s="41" t="n">
        <v>46230</v>
      </c>
      <c r="J62" s="41" t="n">
        <v>46247</v>
      </c>
      <c r="K62" s="42"/>
      <c r="L62" s="42"/>
      <c r="M62" s="43" t="s">
        <v>176</v>
      </c>
      <c r="N62" s="44" t="n">
        <v>46236</v>
      </c>
      <c r="O62" s="45" t="n">
        <v>46247</v>
      </c>
      <c r="P62" s="46" t="s">
        <v>177</v>
      </c>
      <c r="Q62" s="37" t="n">
        <v>0</v>
      </c>
      <c r="R62" s="39"/>
      <c r="S62" s="39" t="n">
        <v>1</v>
      </c>
      <c r="T62" s="39" t="s">
        <v>123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306</v>
      </c>
      <c r="N63" s="55" t="n">
        <v>46236</v>
      </c>
      <c r="O63" s="55" t="n">
        <v>46237</v>
      </c>
      <c r="P63" s="50" t="s">
        <v>122</v>
      </c>
      <c r="Q63" s="52" t="n">
        <v>5</v>
      </c>
      <c r="R63" s="52"/>
      <c r="S63" s="52" t="n">
        <v>2</v>
      </c>
      <c r="T63" s="52" t="s">
        <v>123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310</v>
      </c>
      <c r="N64" s="55" t="n">
        <v>46236</v>
      </c>
      <c r="O64" s="55" t="n">
        <v>46238</v>
      </c>
      <c r="P64" s="50" t="s">
        <v>122</v>
      </c>
      <c r="Q64" s="52" t="n">
        <v>5</v>
      </c>
      <c r="R64" s="52"/>
      <c r="S64" s="52" t="n">
        <v>2</v>
      </c>
      <c r="T64" s="52" t="s">
        <v>123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314</v>
      </c>
      <c r="N65" s="55" t="n">
        <v>46237</v>
      </c>
      <c r="O65" s="55" t="n">
        <v>46242</v>
      </c>
      <c r="P65" s="50" t="s">
        <v>122</v>
      </c>
      <c r="Q65" s="52" t="n">
        <v>4</v>
      </c>
      <c r="R65" s="52"/>
      <c r="S65" s="52" t="n">
        <v>2</v>
      </c>
      <c r="T65" s="52" t="s">
        <v>123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318</v>
      </c>
      <c r="N66" s="55" t="n">
        <v>46240</v>
      </c>
      <c r="O66" s="55" t="n">
        <v>46245</v>
      </c>
      <c r="P66" s="50" t="s">
        <v>122</v>
      </c>
      <c r="Q66" s="52" t="n">
        <v>1</v>
      </c>
      <c r="R66" s="52"/>
      <c r="S66" s="52" t="n">
        <v>2</v>
      </c>
      <c r="T66" s="52" t="s">
        <v>123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322</v>
      </c>
      <c r="N67" s="55" t="n">
        <v>46243</v>
      </c>
      <c r="O67" s="55" t="n">
        <v>46246</v>
      </c>
      <c r="P67" s="50" t="s">
        <v>122</v>
      </c>
      <c r="Q67" s="52" t="n">
        <v>0</v>
      </c>
      <c r="R67" s="52"/>
      <c r="S67" s="52" t="n">
        <v>2</v>
      </c>
      <c r="T67" s="52" t="s">
        <v>123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326</v>
      </c>
      <c r="N68" s="55" t="n">
        <v>46245</v>
      </c>
      <c r="O68" s="55" t="n">
        <v>46247</v>
      </c>
      <c r="P68" s="50" t="s">
        <v>122</v>
      </c>
      <c r="Q68" s="52" t="n">
        <v>0</v>
      </c>
      <c r="R68" s="52"/>
      <c r="S68" s="52" t="n">
        <v>2</v>
      </c>
      <c r="T68" s="52" t="s">
        <v>123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330</v>
      </c>
      <c r="N69" s="55" t="n">
        <v>46246</v>
      </c>
      <c r="O69" s="55" t="n">
        <v>46247</v>
      </c>
      <c r="P69" s="50" t="s">
        <v>122</v>
      </c>
      <c r="Q69" s="52" t="n">
        <v>0</v>
      </c>
      <c r="R69" s="52"/>
      <c r="S69" s="52" t="n">
        <v>2</v>
      </c>
      <c r="T69" s="52" t="s">
        <v>123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176</v>
      </c>
      <c r="N70" s="44" t="n">
        <v>46254</v>
      </c>
      <c r="O70" s="45" t="n">
        <v>46257</v>
      </c>
      <c r="P70" s="46" t="s">
        <v>177</v>
      </c>
      <c r="Q70" s="37" t="n">
        <v>0</v>
      </c>
      <c r="R70" s="39"/>
      <c r="S70" s="39" t="n">
        <v>1</v>
      </c>
      <c r="T70" s="39" t="s">
        <v>123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338</v>
      </c>
      <c r="N71" s="55" t="n">
        <v>46254</v>
      </c>
      <c r="O71" s="55" t="n">
        <v>46255</v>
      </c>
      <c r="P71" s="50" t="s">
        <v>122</v>
      </c>
      <c r="Q71" s="52" t="n">
        <v>3</v>
      </c>
      <c r="R71" s="52"/>
      <c r="S71" s="52" t="n">
        <v>2</v>
      </c>
      <c r="T71" s="52" t="s">
        <v>123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342</v>
      </c>
      <c r="N72" s="55" t="n">
        <v>46255</v>
      </c>
      <c r="O72" s="55" t="n">
        <v>46256</v>
      </c>
      <c r="P72" s="50" t="s">
        <v>122</v>
      </c>
      <c r="Q72" s="52" t="n">
        <v>1</v>
      </c>
      <c r="R72" s="52"/>
      <c r="S72" s="52" t="n">
        <v>2</v>
      </c>
      <c r="T72" s="52" t="s">
        <v>123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346</v>
      </c>
      <c r="N73" s="55" t="n">
        <v>46255</v>
      </c>
      <c r="O73" s="55" t="n">
        <v>46256</v>
      </c>
      <c r="P73" s="50" t="s">
        <v>122</v>
      </c>
      <c r="Q73" s="52" t="n">
        <v>1</v>
      </c>
      <c r="R73" s="52"/>
      <c r="S73" s="52" t="n">
        <v>2</v>
      </c>
      <c r="T73" s="52" t="s">
        <v>123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350</v>
      </c>
      <c r="N74" s="55" t="n">
        <v>46256</v>
      </c>
      <c r="O74" s="55" t="n">
        <v>46257</v>
      </c>
      <c r="P74" s="50" t="s">
        <v>122</v>
      </c>
      <c r="Q74" s="52" t="n">
        <v>0</v>
      </c>
      <c r="R74" s="52"/>
      <c r="S74" s="52" t="n">
        <v>2</v>
      </c>
      <c r="T74" s="52" t="s">
        <v>123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354</v>
      </c>
      <c r="N75" s="55" t="n">
        <v>46256</v>
      </c>
      <c r="O75" s="55" t="n">
        <v>46257</v>
      </c>
      <c r="P75" s="50" t="s">
        <v>122</v>
      </c>
      <c r="Q75" s="52" t="n">
        <v>0</v>
      </c>
      <c r="R75" s="52"/>
      <c r="S75" s="52" t="n">
        <v>2</v>
      </c>
      <c r="T75" s="52" t="s">
        <v>123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5</v>
      </c>
      <c r="I76" s="41" t="n">
        <v>46248</v>
      </c>
      <c r="J76" s="41" t="n">
        <v>46257</v>
      </c>
      <c r="K76" s="42"/>
      <c r="L76" s="42"/>
      <c r="M76" s="43" t="s">
        <v>176</v>
      </c>
      <c r="N76" s="44" t="n">
        <v>46253</v>
      </c>
      <c r="O76" s="45" t="n">
        <v>46257</v>
      </c>
      <c r="P76" s="46" t="s">
        <v>177</v>
      </c>
      <c r="Q76" s="37" t="n">
        <v>0</v>
      </c>
      <c r="R76" s="39"/>
      <c r="S76" s="39" t="n">
        <v>1</v>
      </c>
      <c r="T76" s="39" t="s">
        <v>123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362</v>
      </c>
      <c r="N77" s="55" t="n">
        <v>46253</v>
      </c>
      <c r="O77" s="55" t="n">
        <v>46254</v>
      </c>
      <c r="P77" s="50" t="s">
        <v>122</v>
      </c>
      <c r="Q77" s="52" t="n">
        <v>3</v>
      </c>
      <c r="R77" s="52"/>
      <c r="S77" s="52" t="n">
        <v>2</v>
      </c>
      <c r="T77" s="52" t="s">
        <v>123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366</v>
      </c>
      <c r="N78" s="55" t="n">
        <v>46253</v>
      </c>
      <c r="O78" s="55" t="n">
        <v>46256</v>
      </c>
      <c r="P78" s="50" t="s">
        <v>122</v>
      </c>
      <c r="Q78" s="52" t="n">
        <v>0</v>
      </c>
      <c r="R78" s="52"/>
      <c r="S78" s="52" t="n">
        <v>2</v>
      </c>
      <c r="T78" s="52" t="s">
        <v>123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370</v>
      </c>
      <c r="N79" s="55" t="n">
        <v>46255</v>
      </c>
      <c r="O79" s="55" t="n">
        <v>46257</v>
      </c>
      <c r="P79" s="50" t="s">
        <v>122</v>
      </c>
      <c r="Q79" s="52" t="n">
        <v>0</v>
      </c>
      <c r="R79" s="52"/>
      <c r="S79" s="52" t="n">
        <v>2</v>
      </c>
      <c r="T79" s="52" t="s">
        <v>123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374</v>
      </c>
      <c r="N80" s="55" t="n">
        <v>46256</v>
      </c>
      <c r="O80" s="55" t="n">
        <v>46257</v>
      </c>
      <c r="P80" s="50" t="s">
        <v>122</v>
      </c>
      <c r="Q80" s="52" t="n">
        <v>0</v>
      </c>
      <c r="R80" s="52"/>
      <c r="S80" s="52" t="n">
        <v>2</v>
      </c>
      <c r="T80" s="52" t="s">
        <v>123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378</v>
      </c>
      <c r="N81" s="55" t="n">
        <v>46257</v>
      </c>
      <c r="O81" s="55" t="n">
        <v>46257</v>
      </c>
      <c r="P81" s="50" t="s">
        <v>122</v>
      </c>
      <c r="Q81" s="52" t="n">
        <v>0</v>
      </c>
      <c r="R81" s="52"/>
      <c r="S81" s="52" t="n">
        <v>2</v>
      </c>
      <c r="T81" s="52" t="s">
        <v>123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176</v>
      </c>
      <c r="N82" s="44" t="n">
        <v>46252</v>
      </c>
      <c r="O82" s="45" t="n">
        <v>46254</v>
      </c>
      <c r="P82" s="46" t="s">
        <v>177</v>
      </c>
      <c r="Q82" s="37" t="n">
        <v>0</v>
      </c>
      <c r="R82" s="39"/>
      <c r="S82" s="39" t="n">
        <v>1</v>
      </c>
      <c r="T82" s="39" t="s">
        <v>123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386</v>
      </c>
      <c r="N83" s="55" t="n">
        <v>46252</v>
      </c>
      <c r="O83" s="55" t="n">
        <v>46253</v>
      </c>
      <c r="P83" s="50" t="s">
        <v>122</v>
      </c>
      <c r="Q83" s="52" t="n">
        <v>0</v>
      </c>
      <c r="R83" s="52"/>
      <c r="S83" s="52" t="n">
        <v>2</v>
      </c>
      <c r="T83" s="52" t="s">
        <v>123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390</v>
      </c>
      <c r="N84" s="55" t="n">
        <v>46253</v>
      </c>
      <c r="O84" s="55" t="n">
        <v>46254</v>
      </c>
      <c r="P84" s="50" t="s">
        <v>122</v>
      </c>
      <c r="Q84" s="52" t="n">
        <v>0</v>
      </c>
      <c r="R84" s="52"/>
      <c r="S84" s="52" t="n">
        <v>2</v>
      </c>
      <c r="T84" s="52" t="s">
        <v>123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176</v>
      </c>
      <c r="N85" s="44" t="n">
        <v>46252</v>
      </c>
      <c r="O85" s="45" t="n">
        <v>46255</v>
      </c>
      <c r="P85" s="46" t="s">
        <v>177</v>
      </c>
      <c r="Q85" s="37" t="n">
        <v>0</v>
      </c>
      <c r="R85" s="39"/>
      <c r="S85" s="39" t="n">
        <v>1</v>
      </c>
      <c r="T85" s="39" t="s">
        <v>123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398</v>
      </c>
      <c r="N86" s="55" t="n">
        <v>46252</v>
      </c>
      <c r="O86" s="55" t="n">
        <v>46254</v>
      </c>
      <c r="P86" s="50" t="s">
        <v>122</v>
      </c>
      <c r="Q86" s="52" t="n">
        <v>3</v>
      </c>
      <c r="R86" s="52"/>
      <c r="S86" s="52" t="n">
        <v>2</v>
      </c>
      <c r="T86" s="52" t="s">
        <v>123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402</v>
      </c>
      <c r="N87" s="55" t="n">
        <v>46253</v>
      </c>
      <c r="O87" s="55" t="n">
        <v>46255</v>
      </c>
      <c r="P87" s="50" t="s">
        <v>122</v>
      </c>
      <c r="Q87" s="52" t="n">
        <v>1</v>
      </c>
      <c r="R87" s="52"/>
      <c r="S87" s="52" t="n">
        <v>2</v>
      </c>
      <c r="T87" s="52" t="s">
        <v>123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406</v>
      </c>
      <c r="N88" s="55" t="n">
        <v>46254</v>
      </c>
      <c r="O88" s="55" t="n">
        <v>46255</v>
      </c>
      <c r="P88" s="50" t="s">
        <v>122</v>
      </c>
      <c r="Q88" s="52" t="n">
        <v>0</v>
      </c>
      <c r="R88" s="52"/>
      <c r="S88" s="52" t="n">
        <v>2</v>
      </c>
      <c r="T88" s="52" t="s">
        <v>123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410</v>
      </c>
      <c r="N89" s="55" t="n">
        <v>46255</v>
      </c>
      <c r="O89" s="55" t="n">
        <v>46255</v>
      </c>
      <c r="P89" s="50" t="s">
        <v>122</v>
      </c>
      <c r="Q89" s="52" t="n">
        <v>0</v>
      </c>
      <c r="R89" s="52"/>
      <c r="S89" s="52" t="n">
        <v>2</v>
      </c>
      <c r="T89" s="52" t="s">
        <v>123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176</v>
      </c>
      <c r="N90" s="44" t="n">
        <v>46253</v>
      </c>
      <c r="O90" s="45" t="n">
        <v>46256</v>
      </c>
      <c r="P90" s="46" t="s">
        <v>177</v>
      </c>
      <c r="Q90" s="37" t="n">
        <v>0</v>
      </c>
      <c r="R90" s="39"/>
      <c r="S90" s="39" t="n">
        <v>1</v>
      </c>
      <c r="T90" s="39" t="s">
        <v>123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418</v>
      </c>
      <c r="N91" s="55" t="n">
        <v>46253</v>
      </c>
      <c r="O91" s="55" t="n">
        <v>46255</v>
      </c>
      <c r="P91" s="50" t="s">
        <v>122</v>
      </c>
      <c r="Q91" s="52" t="n">
        <v>3</v>
      </c>
      <c r="R91" s="52"/>
      <c r="S91" s="52" t="n">
        <v>2</v>
      </c>
      <c r="T91" s="52" t="s">
        <v>123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422</v>
      </c>
      <c r="N92" s="55" t="n">
        <v>46255</v>
      </c>
      <c r="O92" s="55" t="n">
        <v>46256</v>
      </c>
      <c r="P92" s="50" t="s">
        <v>122</v>
      </c>
      <c r="Q92" s="52" t="n">
        <v>0</v>
      </c>
      <c r="R92" s="52"/>
      <c r="S92" s="52" t="n">
        <v>2</v>
      </c>
      <c r="T92" s="52" t="s">
        <v>123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426</v>
      </c>
      <c r="N93" s="55" t="n">
        <v>46253</v>
      </c>
      <c r="O93" s="55" t="n">
        <v>46255</v>
      </c>
      <c r="P93" s="50" t="s">
        <v>122</v>
      </c>
      <c r="Q93" s="52" t="n">
        <v>4</v>
      </c>
      <c r="R93" s="52"/>
      <c r="S93" s="52" t="n">
        <v>2</v>
      </c>
      <c r="T93" s="52" t="s">
        <v>123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430</v>
      </c>
      <c r="N94" s="55" t="n">
        <v>46255</v>
      </c>
      <c r="O94" s="55" t="n">
        <v>46256</v>
      </c>
      <c r="P94" s="50" t="s">
        <v>122</v>
      </c>
      <c r="Q94" s="52" t="n">
        <v>0</v>
      </c>
      <c r="R94" s="52"/>
      <c r="S94" s="52" t="n">
        <v>2</v>
      </c>
      <c r="T94" s="52" t="s">
        <v>123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434</v>
      </c>
      <c r="N95" s="55" t="n">
        <v>46256</v>
      </c>
      <c r="O95" s="55" t="n">
        <v>46256</v>
      </c>
      <c r="P95" s="50" t="s">
        <v>122</v>
      </c>
      <c r="Q95" s="52" t="n">
        <v>0</v>
      </c>
      <c r="R95" s="52"/>
      <c r="S95" s="52" t="n">
        <v>2</v>
      </c>
      <c r="T95" s="52" t="s">
        <v>123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176</v>
      </c>
      <c r="N96" s="44" t="n">
        <v>46254</v>
      </c>
      <c r="O96" s="45" t="n">
        <v>46256</v>
      </c>
      <c r="P96" s="46" t="s">
        <v>177</v>
      </c>
      <c r="Q96" s="37" t="n">
        <v>0</v>
      </c>
      <c r="R96" s="39"/>
      <c r="S96" s="39" t="n">
        <v>1</v>
      </c>
      <c r="T96" s="39" t="s">
        <v>123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441</v>
      </c>
      <c r="N97" s="55" t="n">
        <v>46254</v>
      </c>
      <c r="O97" s="55" t="n">
        <v>46256</v>
      </c>
      <c r="P97" s="50" t="s">
        <v>122</v>
      </c>
      <c r="Q97" s="52" t="n">
        <v>1</v>
      </c>
      <c r="R97" s="52"/>
      <c r="S97" s="52" t="n">
        <v>2</v>
      </c>
      <c r="T97" s="52" t="s">
        <v>123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445</v>
      </c>
      <c r="N98" s="55" t="n">
        <v>46255</v>
      </c>
      <c r="O98" s="55" t="n">
        <v>46256</v>
      </c>
      <c r="P98" s="50" t="s">
        <v>122</v>
      </c>
      <c r="Q98" s="52" t="n">
        <v>0</v>
      </c>
      <c r="R98" s="52"/>
      <c r="S98" s="52" t="n">
        <v>2</v>
      </c>
      <c r="T98" s="52" t="s">
        <v>123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449</v>
      </c>
      <c r="N99" s="55" t="n">
        <v>46256</v>
      </c>
      <c r="O99" s="55" t="n">
        <v>46256</v>
      </c>
      <c r="P99" s="50" t="s">
        <v>122</v>
      </c>
      <c r="Q99" s="52" t="n">
        <v>0</v>
      </c>
      <c r="R99" s="52"/>
      <c r="S99" s="52" t="n">
        <v>2</v>
      </c>
      <c r="T99" s="52" t="s">
        <v>123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176</v>
      </c>
      <c r="N100" s="44" t="n">
        <v>46255</v>
      </c>
      <c r="O100" s="45" t="n">
        <v>46257</v>
      </c>
      <c r="P100" s="46" t="s">
        <v>177</v>
      </c>
      <c r="Q100" s="37" t="n">
        <v>0</v>
      </c>
      <c r="R100" s="39"/>
      <c r="S100" s="39" t="n">
        <v>1</v>
      </c>
      <c r="T100" s="39" t="s">
        <v>123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147</v>
      </c>
      <c r="Q101" s="52"/>
      <c r="R101" s="52"/>
      <c r="S101" s="52" t="n">
        <v>2</v>
      </c>
      <c r="T101" s="52" t="s">
        <v>148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147</v>
      </c>
      <c r="Q102" s="52"/>
      <c r="R102" s="52"/>
      <c r="S102" s="52" t="n">
        <v>2</v>
      </c>
      <c r="T102" s="52" t="s">
        <v>148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463</v>
      </c>
      <c r="N103" s="55" t="n">
        <v>46255</v>
      </c>
      <c r="O103" s="55" t="n">
        <v>46256</v>
      </c>
      <c r="P103" s="50" t="s">
        <v>122</v>
      </c>
      <c r="Q103" s="52" t="n">
        <v>0</v>
      </c>
      <c r="R103" s="52"/>
      <c r="S103" s="52" t="n">
        <v>2</v>
      </c>
      <c r="T103" s="52" t="s">
        <v>123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467</v>
      </c>
      <c r="N104" s="55" t="n">
        <v>46256</v>
      </c>
      <c r="O104" s="55" t="n">
        <v>46257</v>
      </c>
      <c r="P104" s="50" t="s">
        <v>122</v>
      </c>
      <c r="Q104" s="52" t="n">
        <v>1</v>
      </c>
      <c r="R104" s="52"/>
      <c r="S104" s="52" t="n">
        <v>2</v>
      </c>
      <c r="T104" s="52" t="s">
        <v>123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471</v>
      </c>
      <c r="N105" s="55" t="n">
        <v>46256</v>
      </c>
      <c r="O105" s="55" t="n">
        <v>46257</v>
      </c>
      <c r="P105" s="50" t="s">
        <v>122</v>
      </c>
      <c r="Q105" s="52" t="n">
        <v>0</v>
      </c>
      <c r="R105" s="52"/>
      <c r="S105" s="52" t="n">
        <v>2</v>
      </c>
      <c r="T105" s="52" t="s">
        <v>123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475</v>
      </c>
      <c r="N106" s="55" t="n">
        <v>46257</v>
      </c>
      <c r="O106" s="55" t="n">
        <v>46257</v>
      </c>
      <c r="P106" s="50" t="s">
        <v>122</v>
      </c>
      <c r="Q106" s="52" t="n">
        <v>0</v>
      </c>
      <c r="R106" s="52"/>
      <c r="S106" s="52" t="n">
        <v>2</v>
      </c>
      <c r="T106" s="52" t="s">
        <v>123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176</v>
      </c>
      <c r="N107" s="44" t="n">
        <v>46257</v>
      </c>
      <c r="O107" s="45" t="n">
        <v>46258</v>
      </c>
      <c r="P107" s="46" t="s">
        <v>177</v>
      </c>
      <c r="Q107" s="37" t="n">
        <v>0</v>
      </c>
      <c r="R107" s="39"/>
      <c r="S107" s="39" t="n">
        <v>1</v>
      </c>
      <c r="T107" s="39" t="s">
        <v>123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482</v>
      </c>
      <c r="N108" s="55" t="n">
        <v>46257</v>
      </c>
      <c r="O108" s="55" t="n">
        <v>46258</v>
      </c>
      <c r="P108" s="50" t="s">
        <v>122</v>
      </c>
      <c r="Q108" s="52" t="n">
        <v>1</v>
      </c>
      <c r="R108" s="52"/>
      <c r="S108" s="52" t="n">
        <v>2</v>
      </c>
      <c r="T108" s="52" t="s">
        <v>123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486</v>
      </c>
      <c r="N109" s="55" t="n">
        <v>46258</v>
      </c>
      <c r="O109" s="55" t="n">
        <v>46258</v>
      </c>
      <c r="P109" s="50" t="s">
        <v>122</v>
      </c>
      <c r="Q109" s="52" t="n">
        <v>0</v>
      </c>
      <c r="R109" s="52"/>
      <c r="S109" s="52" t="n">
        <v>2</v>
      </c>
      <c r="T109" s="52" t="s">
        <v>123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490</v>
      </c>
      <c r="N110" s="55" t="n">
        <v>46257</v>
      </c>
      <c r="O110" s="55" t="n">
        <v>46258</v>
      </c>
      <c r="P110" s="50" t="s">
        <v>122</v>
      </c>
      <c r="Q110" s="52" t="n">
        <v>1</v>
      </c>
      <c r="R110" s="52"/>
      <c r="S110" s="52" t="n">
        <v>2</v>
      </c>
      <c r="T110" s="52" t="s">
        <v>123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46267</v>
      </c>
      <c r="M111" s="43"/>
      <c r="N111" s="44" t="n">
        <v>46267</v>
      </c>
      <c r="O111" s="45" t="n">
        <v>46267</v>
      </c>
      <c r="P111" s="46" t="s">
        <v>60</v>
      </c>
      <c r="Q111" s="37" t="n">
        <v>8</v>
      </c>
      <c r="R111" s="39"/>
      <c r="S111" s="39" t="n">
        <v>1</v>
      </c>
      <c r="T111" s="39" t="s">
        <v>114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499</v>
      </c>
      <c r="N112" s="55" t="n">
        <v>46267</v>
      </c>
      <c r="O112" s="55" t="n">
        <v>46267</v>
      </c>
      <c r="P112" s="50" t="s">
        <v>122</v>
      </c>
      <c r="Q112" s="52" t="n">
        <v>8</v>
      </c>
      <c r="R112" s="52"/>
      <c r="S112" s="52" t="n">
        <v>2</v>
      </c>
      <c r="T112" s="52" t="s">
        <v>123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503</v>
      </c>
      <c r="N113" s="55" t="n">
        <v>46267</v>
      </c>
      <c r="O113" s="55" t="n">
        <v>46267</v>
      </c>
      <c r="P113" s="50" t="s">
        <v>122</v>
      </c>
      <c r="Q113" s="52" t="n">
        <v>8</v>
      </c>
      <c r="R113" s="52"/>
      <c r="S113" s="52" t="n">
        <v>2</v>
      </c>
      <c r="T113" s="52" t="s">
        <v>123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46269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46345</v>
      </c>
      <c r="O115" s="45" t="n">
        <v>46345</v>
      </c>
      <c r="P115" s="46" t="s">
        <v>292</v>
      </c>
      <c r="Q115" s="37" t="n">
        <v>83</v>
      </c>
      <c r="R115" s="39"/>
      <c r="S115" s="39" t="n">
        <v>1</v>
      </c>
      <c r="T115" s="39" t="s">
        <v>293</v>
      </c>
      <c r="U115" s="60" t="n">
        <v>46345.0115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513</v>
      </c>
      <c r="N116" s="55" t="n">
        <v>46345</v>
      </c>
      <c r="O116" s="55" t="n">
        <v>46345</v>
      </c>
      <c r="P116" s="50" t="s">
        <v>292</v>
      </c>
      <c r="Q116" s="52" t="n">
        <v>85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517</v>
      </c>
      <c r="N117" s="55" t="n">
        <v>46345</v>
      </c>
      <c r="O117" s="55" t="n">
        <v>46345</v>
      </c>
      <c r="P117" s="50" t="s">
        <v>292</v>
      </c>
      <c r="Q117" s="52" t="n">
        <v>84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521</v>
      </c>
      <c r="N118" s="55" t="n">
        <v>46345</v>
      </c>
      <c r="O118" s="55" t="n">
        <v>46345</v>
      </c>
      <c r="P118" s="50" t="s">
        <v>292</v>
      </c>
      <c r="Q118" s="52" t="n">
        <v>84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525</v>
      </c>
      <c r="N119" s="55" t="n">
        <v>46345</v>
      </c>
      <c r="O119" s="55" t="n">
        <v>46345</v>
      </c>
      <c r="P119" s="50" t="s">
        <v>292</v>
      </c>
      <c r="Q119" s="52" t="n">
        <v>84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529</v>
      </c>
      <c r="N120" s="55" t="n">
        <v>46345</v>
      </c>
      <c r="O120" s="55" t="n">
        <v>46345</v>
      </c>
      <c r="P120" s="50" t="s">
        <v>292</v>
      </c>
      <c r="Q120" s="52" t="n">
        <v>83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533</v>
      </c>
      <c r="N121" s="55" t="n">
        <v>46345</v>
      </c>
      <c r="O121" s="55" t="n">
        <v>46345</v>
      </c>
      <c r="P121" s="50" t="s">
        <v>292</v>
      </c>
      <c r="Q121" s="52" t="n">
        <v>83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46328</v>
      </c>
      <c r="O122" s="45" t="n">
        <v>46328</v>
      </c>
      <c r="P122" s="46" t="s">
        <v>292</v>
      </c>
      <c r="Q122" s="37" t="n">
        <v>66</v>
      </c>
      <c r="R122" s="39"/>
      <c r="S122" s="39" t="n">
        <v>1</v>
      </c>
      <c r="T122" s="39" t="s">
        <v>293</v>
      </c>
      <c r="U122" s="60" t="n">
        <v>46328.0122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11</v>
      </c>
      <c r="R123" s="39"/>
      <c r="S123" s="39" t="n">
        <v>1</v>
      </c>
      <c r="T123" s="39" t="s">
        <v>114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52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292</v>
      </c>
      <c r="Q125" s="52" t="n">
        <v>52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292</v>
      </c>
      <c r="Q126" s="52" t="n">
        <v>52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292</v>
      </c>
      <c r="Q127" s="52" t="n">
        <v>52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46352</v>
      </c>
      <c r="O128" s="45" t="n">
        <v>46352</v>
      </c>
      <c r="P128" s="46" t="s">
        <v>292</v>
      </c>
      <c r="Q128" s="37" t="n">
        <v>80</v>
      </c>
      <c r="R128" s="39"/>
      <c r="S128" s="39" t="n">
        <v>1</v>
      </c>
      <c r="T128" s="39" t="s">
        <v>293</v>
      </c>
      <c r="U128" s="60" t="n">
        <v>46352.0128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46353</v>
      </c>
      <c r="O129" s="45" t="n">
        <v>46353</v>
      </c>
      <c r="P129" s="46" t="s">
        <v>292</v>
      </c>
      <c r="Q129" s="37" t="n">
        <v>81</v>
      </c>
      <c r="R129" s="39"/>
      <c r="S129" s="39" t="n">
        <v>1</v>
      </c>
      <c r="T129" s="39" t="s">
        <v>293</v>
      </c>
      <c r="U129" s="60" t="n">
        <v>46353.0129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 t="s">
        <v>564</v>
      </c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46353</v>
      </c>
      <c r="O130" s="45" t="n">
        <v>46357</v>
      </c>
      <c r="P130" s="46" t="s">
        <v>292</v>
      </c>
      <c r="Q130" s="37" t="n">
        <v>85</v>
      </c>
      <c r="R130" s="39"/>
      <c r="S130" s="39" t="n">
        <v>1</v>
      </c>
      <c r="T130" s="39" t="s">
        <v>293</v>
      </c>
      <c r="U130" s="60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52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176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176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176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176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176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176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643</v>
      </c>
      <c r="C8" s="95" t="s">
        <v>644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46288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0.3</v>
      </c>
      <c r="AA21" s="101" t="n">
        <v>0.3</v>
      </c>
      <c r="AB21" s="101" t="n">
        <v>0.3</v>
      </c>
      <c r="AC21" s="101" t="n">
        <v>0.3</v>
      </c>
      <c r="AD21" s="101" t="n">
        <v>0.3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653</v>
      </c>
      <c r="C23" s="95" t="s">
        <v>644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46236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654</v>
      </c>
      <c r="C25" s="95" t="s">
        <v>644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655</v>
      </c>
      <c r="C27" s="95" t="s">
        <v>644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46253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656</v>
      </c>
      <c r="C29" s="95" t="s">
        <v>644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657</v>
      </c>
      <c r="C31" s="95" t="s">
        <v>644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658</v>
      </c>
      <c r="C33" s="95" t="s">
        <v>644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663</v>
      </c>
      <c r="C42" s="95" t="s">
        <v>644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68.75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0.3</v>
      </c>
      <c r="AA48" s="103" t="n">
        <f aca="false">SUMIF($C$7:$C$45,"Actual",AA$7:AA$45)</f>
        <v>0.3</v>
      </c>
      <c r="AB48" s="103" t="n">
        <f aca="false">SUMIF($C$7:$C$45,"Actual",AB$7:AB$45)</f>
        <v>0.3</v>
      </c>
      <c r="AC48" s="103" t="n">
        <f aca="false">SUMIF($C$7:$C$45,"Actual",AC$7:AC$45)</f>
        <v>0.3</v>
      </c>
      <c r="AD48" s="103" t="n">
        <f aca="false">SUMIF($C$7:$C$45,"Actual",AD$7:AD$45)</f>
        <v>0.3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23.5001</v>
      </c>
      <c r="U50" s="105" t="n">
        <f aca="false">IF(U$6&gt;46314,"",T50+U48)</f>
        <v>92.2501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93.5001</v>
      </c>
      <c r="Z50" s="105" t="n">
        <f aca="false">IF(Z$6&gt;46314,"",Y50+Z48)</f>
        <v>93.8001</v>
      </c>
      <c r="AA50" s="105" t="n">
        <f aca="false">IF(AA$6&gt;46314,"",Z50+AA48)</f>
        <v>94.1001</v>
      </c>
      <c r="AB50" s="105" t="n">
        <f aca="false">IF(AB$6&gt;46314,"",AA50+AB48)</f>
        <v>94.4001</v>
      </c>
      <c r="AC50" s="105" t="n">
        <f aca="false">IF(AC$6&gt;46314,"",AB50+AC48)</f>
        <v>94.7001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2026-10-26T04:43:14Z</dcterms:created>
  <dc:creator>openpyxl</dc:creator>
  <dc:description/>
  <dc:language>en-US</dc:language>
  <cp:lastModifiedBy/>
  <dcterms:modified xsi:type="dcterms:W3CDTF">2026-10-26T11:46:53Z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