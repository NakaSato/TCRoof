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<sst xmlns="http://schemas.openxmlformats.org/spreadsheetml/2006/main" count="1292" uniqueCount="669">
  <si>
    <t xml:space="preserve">แผนโครงการ P4-047 – สถานีผลิตน้ำไพรสะเดา 166.44 kWp</t>
  </si>
  <si>
    <t xml:space="preserve">กปภ.สาขาปากท่อ, ภาคใต้, กฟภ. เขต ต.1, Inverter 165 kW (ไม่ต้อง พค.2), Zero export HV, คำขอ PPIM1A506A0D, วิศวกร นีโน่, Admin ลูกแก้ว, ผรม. B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</si>
  <si>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</si>
  <si>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</si>
  <si>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</si>
  <si>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</si>
  <si>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</si>
  <si>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</si>
  <si>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</si>
  <si>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</si>
  <si>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</si>
  <si>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</si>
  <si>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</si>
  <si>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</si>
  <si>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</si>
  <si>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</si>
  <si>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</si>
  <si>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</si>
  <si>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</si>
  <si>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</si>
  <si>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</si>
  <si>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</si>
  <si>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</si>
  <si>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</si>
  <si>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</si>
  <si>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</si>
  <si>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</si>
  <si>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</si>
  <si>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</si>
  <si>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</si>
  <si>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</si>
  <si>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</si>
  <si>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</si>
  <si>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</si>
  <si>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</si>
  <si>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</si>
  <si>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</si>
  <si>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</si>
  <si>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</si>
  <si>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</si>
  <si>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</si>
  <si>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</si>
  <si>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</si>
  <si>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</si>
  <si>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</si>
  <si>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</si>
  <si>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</si>
  <si>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</si>
  <si>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</si>
  <si>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</si>
  <si>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</si>
  <si>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</si>
  <si>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</si>
  <si>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</si>
  <si>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</si>
  <si>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</si>
  <si>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</si>
  <si>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</si>
  <si>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</si>
  <si>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</si>
  <si>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</si>
  <si>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</si>
  <si>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</si>
  <si>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</si>
  <si>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</si>
  <si>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</si>
  <si>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</si>
  <si>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</si>
  <si>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</si>
  <si>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</si>
  <si>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</si>
  <si>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</si>
  <si>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</si>
  <si>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</si>
  <si>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</si>
  <si>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</si>
  <si>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</si>
  <si>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</si>
  <si>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</si>
  <si>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</si>
  <si>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</si>
  <si>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</si>
  <si>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</si>
  <si>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</si>
  <si>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</si>
  <si>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</si>
  <si>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</si>
  <si>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</si>
  <si>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</si>
  <si>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</si>
  <si>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</si>
  <si>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</si>
  <si>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</si>
  <si>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</si>
  <si>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</si>
  <si>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</si>
  <si>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</si>
  <si>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</si>
  <si>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</si>
  <si>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</si>
  <si>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</si>
  <si>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</si>
  <si>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</si>
  <si>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</si>
  <si>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</si>
  <si>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</si>
  <si>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</si>
  <si>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</si>
  <si>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</si>
  <si>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</si>
  <si>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</si>
  <si>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</si>
  <si>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</si>
  <si>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</si>
  <si>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</si>
  <si>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</si>
  <si>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</si>
  <si>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</si>
  <si>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</si>
  <si>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</si>
  <si>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</si>
  <si>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</si>
  <si>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</si>
  <si>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</si>
  <si>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</si>
  <si>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</si>
  <si>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</si>
  <si>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</si>
  <si>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</si>
  <si>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</si>
  <si>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</si>
  <si>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</si>
  <si>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</si>
  <si>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</si>
  <si>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</si>
  <si>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</si>
  <si>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</si>
  <si>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</si>
  <si>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</si>
  <si>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</si>
  <si>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</si>
  <si>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</si>
  <si>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</si>
  <si>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</si>
  <si>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</si>
  <si>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</si>
  <si>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</si>
  <si>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</si>
  <si>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</si>
  <si>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</si>
  <si>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</si>
  <si>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</si>
  <si>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WBS'!L2380</t>
    </r>
  </si>
  <si>
    <t xml:space="preserve">0.3</t>
  </si>
  <si>
    <t xml:space="preserve">หนังสือแจ้งขอดับไฟ</t>
  </si>
  <si>
    <t xml:space="preserve">TC-PML-2026-484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</si>
  <si>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</si>
  <si>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</si>
  <si>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</si>
  <si>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</si>
  <si>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</si>
  <si>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</si>
  <si>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</si>
  <si>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</si>
  <si>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</si>
  <si>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</si>
  <si>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</si>
  <si>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</si>
  <si>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</si>
  <si>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</si>
  <si>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</si>
  <si>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</si>
  <si>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</si>
  <si>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</si>
  <si>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</si>
  <si>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</si>
  <si>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</si>
  <si>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</si>
  <si>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</si>
  <si>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</si>
  <si>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</si>
  <si>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</si>
  <si>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</si>
  <si>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</si>
  <si>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</si>
  <si>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</si>
  <si>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</si>
  <si>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</si>
  <si>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</si>
  <si>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</si>
  <si>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</si>
  <si>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</si>
  <si>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</si>
  <si>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</si>
  <si>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</si>
  <si>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</si>
  <si>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</si>
  <si>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</si>
  <si>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</si>
  <si>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</si>
  <si>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</si>
  <si>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</si>
  <si>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</si>
  <si>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</si>
  <si>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</si>
  <si>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</si>
  <si>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</si>
  <si>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</si>
  <si>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</si>
  <si>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</si>
  <si>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</si>
  <si>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</si>
  <si>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</si>
  <si>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</si>
  <si>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</si>
  <si>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</si>
  <si>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</si>
  <si>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</si>
  <si>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</si>
  <si>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</si>
  <si>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</si>
  <si>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</si>
  <si>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</si>
  <si>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</si>
  <si>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</si>
  <si>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</si>
  <si>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</si>
  <si>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</si>
  <si>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</si>
  <si>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</si>
  <si>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</si>
  <si>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</si>
  <si>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</si>
  <si>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</si>
  <si>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</si>
  <si>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</si>
  <si>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</si>
  <si>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</si>
  <si>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</si>
  <si>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</si>
  <si>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</si>
  <si>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</si>
  <si>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</si>
  <si>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</si>
  <si>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</si>
  <si>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</si>
  <si>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</si>
  <si>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</si>
  <si>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</si>
  <si>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</si>
  <si>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</si>
  <si>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</si>
  <si>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</si>
  <si>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</si>
  <si>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</si>
  <si>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</si>
  <si>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</si>
  <si>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</si>
  <si>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</si>
  <si>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</si>
  <si>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</si>
  <si>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</si>
  <si>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</si>
  <si>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</si>
  <si>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</si>
  <si>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</si>
  <si>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</si>
  <si>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</si>
  <si>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</si>
  <si>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</si>
  <si>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</si>
  <si>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</si>
  <si>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</si>
  <si>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WBS'!L2398</t>
    </r>
  </si>
  <si>
    <t xml:space="preserve">1.7.1</t>
  </si>
  <si>
    <t xml:space="preserve">คำขอขนานไฟ PPIM (ชุด 11 ไฟล์)</t>
  </si>
  <si>
    <t xml:space="preserve">PPIM1A506A0D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</si>
  <si>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</si>
  <si>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</si>
  <si>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</si>
  <si>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</si>
  <si>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</si>
  <si>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</si>
  <si>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</si>
  <si>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</si>
  <si>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</si>
  <si>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7/10/69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</si>
  <si>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</si>
  <si>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</si>
  <si>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</si>
  <si>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</si>
  <si>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</si>
  <si>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</si>
  <si>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</si>
  <si>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</si>
  <si>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</si>
  <si>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</si>
  <si>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</si>
  <si>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</si>
  <si>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</si>
  <si>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</si>
  <si>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</si>
  <si>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</si>
  <si>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</si>
  <si>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</si>
  <si>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</si>
  <si>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</si>
  <si>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</si>
  <si>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</si>
  <si>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</si>
  <si>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</si>
  <si>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</si>
  <si>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</si>
  <si>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</si>
  <si>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</si>
  <si>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</si>
  <si>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</si>
  <si>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</si>
  <si>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</si>
  <si>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</si>
  <si>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</si>
  <si>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</si>
  <si>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</si>
  <si>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</si>
  <si>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</si>
  <si>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</si>
  <si>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</si>
  <si>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</si>
  <si>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</si>
  <si>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</si>
  <si>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</si>
  <si>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</si>
  <si>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</si>
  <si>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</si>
  <si>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</si>
  <si>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</si>
  <si>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</si>
  <si>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</si>
  <si>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</si>
  <si>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</si>
  <si>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</si>
  <si>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</si>
  <si>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</si>
  <si>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</si>
  <si>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</si>
  <si>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</si>
  <si>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</si>
  <si>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</si>
  <si>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</si>
  <si>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</si>
  <si>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</si>
  <si>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</si>
  <si>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</si>
  <si>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</si>
  <si>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</si>
  <si>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</si>
  <si>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</si>
  <si>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</si>
  <si>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</si>
  <si>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</si>
  <si>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</si>
  <si>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</si>
  <si>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</si>
  <si>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</si>
  <si>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</si>
  <si>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</si>
  <si>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</si>
  <si>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</si>
  <si>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</si>
  <si>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</si>
  <si>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</si>
  <si>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</si>
  <si>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</si>
  <si>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</si>
  <si>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</si>
  <si>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</si>
  <si>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</si>
  <si>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</si>
  <si>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</si>
  <si>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</si>
  <si>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</si>
  <si>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</si>
  <si>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</si>
  <si>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</si>
  <si>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</si>
  <si>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</si>
  <si>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</si>
  <si>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</si>
  <si>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</si>
  <si>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</si>
  <si>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</si>
  <si>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WBS'!L2417</t>
    </r>
  </si>
  <si>
    <t xml:space="preserve">2.5</t>
  </si>
  <si>
    <t xml:space="preserve">ติดตั้ง Inverter</t>
  </si>
  <si>
    <t xml:space="preserve">Inverter 165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</si>
  <si>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</si>
  <si>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</si>
  <si>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</si>
  <si>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</si>
  <si>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</si>
  <si>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</si>
  <si>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</si>
  <si>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</si>
  <si>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</si>
  <si>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</si>
  <si>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</si>
  <si>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</si>
  <si>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</si>
  <si>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</si>
  <si>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</si>
  <si>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</si>
  <si>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</si>
  <si>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</si>
  <si>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</si>
  <si>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</si>
  <si>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</si>
  <si>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</si>
  <si>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</si>
  <si>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</si>
  <si>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</si>
  <si>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</si>
  <si>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</si>
  <si>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</si>
  <si>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</si>
  <si>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</si>
  <si>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</si>
  <si>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</si>
  <si>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</si>
  <si>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</si>
  <si>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</si>
  <si>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</si>
  <si>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</si>
  <si>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</si>
  <si>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</si>
  <si>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</si>
  <si>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</si>
  <si>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</si>
  <si>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</si>
  <si>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</si>
  <si>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</si>
  <si>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</si>
  <si>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</si>
  <si>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</si>
  <si>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</si>
  <si>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</si>
  <si>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</si>
  <si>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</si>
  <si>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</si>
  <si>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</si>
  <si>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</si>
  <si>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</si>
  <si>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</si>
  <si>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</si>
  <si>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</si>
  <si>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</si>
  <si>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</si>
  <si>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</si>
  <si>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</si>
  <si>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</si>
  <si>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</si>
  <si>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</si>
  <si>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</si>
  <si>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</si>
  <si>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</si>
  <si>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</si>
  <si>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</si>
  <si>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</si>
  <si>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</si>
  <si>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</si>
  <si>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</si>
  <si>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</si>
  <si>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</si>
  <si>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</si>
  <si>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</si>
  <si>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</si>
  <si>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</si>
  <si>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</si>
  <si>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</si>
  <si>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</si>
  <si>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</si>
  <si>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</si>
  <si>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</si>
  <si>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</si>
  <si>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</si>
  <si>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</si>
  <si>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</si>
  <si>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</si>
  <si>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</si>
  <si>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</si>
  <si>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</si>
  <si>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</si>
  <si>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</si>
  <si>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</si>
  <si>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</si>
  <si>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17/8/69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</si>
  <si>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</si>
  <si>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</si>
  <si>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</si>
  <si>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</si>
  <si>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</si>
  <si>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</si>
  <si>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</si>
  <si>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</si>
  <si>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</si>
  <si>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</si>
  <si>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</si>
  <si>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</si>
  <si>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</si>
  <si>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</si>
  <si>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</si>
  <si>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</si>
  <si>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</si>
  <si>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</si>
  <si>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</si>
  <si>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</si>
  <si>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</si>
  <si>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</si>
  <si>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</si>
  <si>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</si>
  <si>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</si>
  <si>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</si>
  <si>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</si>
  <si>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</si>
  <si>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</si>
  <si>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</si>
  <si>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</si>
  <si>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</si>
  <si>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</si>
  <si>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</si>
  <si>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</si>
  <si>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</si>
  <si>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</si>
  <si>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</si>
  <si>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</si>
  <si>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</si>
  <si>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</si>
  <si>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</si>
  <si>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</si>
  <si>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</si>
  <si>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</si>
  <si>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</si>
  <si>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</si>
  <si>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</si>
  <si>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</si>
  <si>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</si>
  <si>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</si>
  <si>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</si>
  <si>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</si>
  <si>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</si>
  <si>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</si>
  <si>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</si>
  <si>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</si>
  <si>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</si>
  <si>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</si>
  <si>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</si>
  <si>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</si>
  <si>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</si>
  <si>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</si>
  <si>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</si>
  <si>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</si>
  <si>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</si>
  <si>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</si>
  <si>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</si>
  <si>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</si>
  <si>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</si>
  <si>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</si>
  <si>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</si>
  <si>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</si>
  <si>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</si>
  <si>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</si>
  <si>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</si>
  <si>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</si>
  <si>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</si>
  <si>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</si>
  <si>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</si>
  <si>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</si>
  <si>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</si>
  <si>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</si>
  <si>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</si>
  <si>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</si>
  <si>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</si>
  <si>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</si>
  <si>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</si>
  <si>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</si>
  <si>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</si>
  <si>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</si>
  <si>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</si>
  <si>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</si>
  <si>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</si>
  <si>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</si>
  <si>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</si>
  <si>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</si>
  <si>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</si>
  <si>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</si>
  <si>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</si>
  <si>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125+40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</si>
  <si>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</si>
  <si>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</si>
  <si>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</si>
  <si>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</si>
  <si>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</si>
  <si>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</si>
  <si>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</si>
  <si>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</si>
  <si>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</si>
  <si>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</si>
  <si>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</si>
  <si>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</si>
  <si>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</si>
  <si>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</si>
  <si>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</si>
  <si>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</si>
  <si>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</si>
  <si>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</si>
  <si>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สถานีผลิตน้ำไพรสะเดา การประปาส่วนภูมิภาคสาขาปากท่อ ขนาดกำลังผลิต </t>
    </r>
    <r>
      <rPr>
        <sz val="10"/>
        <rFont val="Tahoma"/>
        <family val="0"/>
        <charset val="1"/>
      </rPr>
      <t xml:space="preserve">166.44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</si>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</sst>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73.5001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93.5001</c:v>
                </c:pt>
                <c:pt idx="15">
                  <c:v>93.6876</c:v>
                </c:pt>
                <c:pt idx="16">
                  <c:v>93.8751</c:v>
                </c:pt>
                <c:pt idx="17">
                  <c:v>94.0626</c:v>
                </c:pt>
                <c:pt idx="18">
                  <c:v>94.2501</c:v>
                </c:pt>
                <c:pt idx="19">
                  <c:v>94.4376</c:v>
                </c:pt>
                <c:pt idx="20">
                  <c:v>94.6251</c:v>
                </c:pt>
                <c:pt idx="21">
                  <c:v>94.8126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829202"/>
        <c:axId val="6234164"/>
      </c:lineChart>
      <c:catAx>
        <c:axId val="7382920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4164"/>
        <c:crosses val="autoZero"/>
        <c:auto val="1"/>
        <c:lblAlgn val="ctr"/>
        <c:lblOffset val="100"/>
        <c:noMultiLvlLbl val="0"/>
      </c:catAx>
      <c:valAx>
        <c:axId val="6234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292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70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46374</v>
      </c>
      <c r="P8" s="34" t="s">
        <v>75</v>
      </c>
      <c r="Q8" s="31" t="n">
        <v>65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46374</v>
      </c>
      <c r="P9" s="46" t="s">
        <v>75</v>
      </c>
      <c r="Q9" s="37" t="n">
        <v>65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46203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46203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46203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46213</v>
      </c>
      <c r="P13" s="50" t="s">
        <v>75</v>
      </c>
      <c r="Q13" s="52" t="n">
        <v>10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46203</v>
      </c>
      <c r="O14" s="55" t="n">
        <v>46374</v>
      </c>
      <c r="P14" s="50" t="s">
        <v>75</v>
      </c>
      <c r="Q14" s="52" t="n">
        <v>65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46203</v>
      </c>
      <c r="O15" s="55" t="n">
        <v>46374</v>
      </c>
      <c r="P15" s="50" t="s">
        <v>75</v>
      </c>
      <c r="Q15" s="52" t="n">
        <v>65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31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46239</v>
      </c>
      <c r="O26" s="55" t="n">
        <v>46239</v>
      </c>
      <c r="P26" s="50" t="s">
        <v>124</v>
      </c>
      <c r="Q26" s="52" t="n">
        <v>31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46239</v>
      </c>
      <c r="O27" s="55" t="n">
        <v>46239</v>
      </c>
      <c r="P27" s="50" t="s">
        <v>124</v>
      </c>
      <c r="Q27" s="52" t="n">
        <v>31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46239</v>
      </c>
      <c r="O28" s="55" t="n">
        <v>46239</v>
      </c>
      <c r="P28" s="50" t="s">
        <v>124</v>
      </c>
      <c r="Q28" s="52" t="n">
        <v>31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46214</v>
      </c>
      <c r="O39" s="45" t="n">
        <v>46214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46214</v>
      </c>
      <c r="O40" s="55" t="n">
        <v>46214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46214</v>
      </c>
      <c r="O41" s="55" t="n">
        <v>46214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46214</v>
      </c>
      <c r="O42" s="55" t="n">
        <v>46214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46266</v>
      </c>
      <c r="M55" s="43"/>
      <c r="N55" s="44" t="n">
        <v>46266</v>
      </c>
      <c r="O55" s="45" t="n">
        <v>46266</v>
      </c>
      <c r="P55" s="46" t="s">
        <v>60</v>
      </c>
      <c r="Q55" s="37" t="n">
        <v>19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46266</v>
      </c>
      <c r="L57" s="42"/>
      <c r="M57" s="43" t="s">
        <v>114</v>
      </c>
      <c r="N57" s="44" t="n">
        <v>46266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 t="s">
        <v>290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8" t="s">
        <v>28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59" t="n">
        <v>46357</v>
      </c>
      <c r="P60" s="46" t="s">
        <v>293</v>
      </c>
      <c r="Q60" s="37" t="n">
        <v>65</v>
      </c>
      <c r="R60" s="39"/>
      <c r="S60" s="39" t="n">
        <v>1</v>
      </c>
      <c r="T60" s="39" t="s">
        <v>294</v>
      </c>
      <c r="U60" s="60" t="n">
        <v>46316.006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46218</v>
      </c>
      <c r="O61" s="33" t="n">
        <v>46251</v>
      </c>
      <c r="P61" s="34" t="s">
        <v>60</v>
      </c>
      <c r="Q61" s="31" t="n">
        <v>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17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46218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46218</v>
      </c>
      <c r="O63" s="55" t="n">
        <v>46220</v>
      </c>
      <c r="P63" s="50" t="s">
        <v>124</v>
      </c>
      <c r="Q63" s="52" t="n">
        <v>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46218</v>
      </c>
      <c r="O64" s="55" t="n">
        <v>46221</v>
      </c>
      <c r="P64" s="50" t="s">
        <v>124</v>
      </c>
      <c r="Q64" s="52" t="n">
        <v>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46220</v>
      </c>
      <c r="O65" s="55" t="n">
        <v>46226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46224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46228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7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46238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46238</v>
      </c>
      <c r="O77" s="55" t="n">
        <v>46240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46239</v>
      </c>
      <c r="O78" s="55" t="n">
        <v>46243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46240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46243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419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423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427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431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435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442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446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450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46242</v>
      </c>
      <c r="O101" s="55" t="n">
        <v>46242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461</v>
      </c>
      <c r="N102" s="55" t="n">
        <v>46242</v>
      </c>
      <c r="O102" s="55" t="n">
        <v>46243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468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472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476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483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487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491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46251</v>
      </c>
      <c r="M111" s="43"/>
      <c r="N111" s="44" t="n">
        <v>46251</v>
      </c>
      <c r="O111" s="45" t="n">
        <v>46251</v>
      </c>
      <c r="P111" s="46" t="s">
        <v>60</v>
      </c>
      <c r="Q111" s="37" t="n">
        <v>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500</v>
      </c>
      <c r="N112" s="55" t="n">
        <v>46251</v>
      </c>
      <c r="O112" s="55" t="n">
        <v>46251</v>
      </c>
      <c r="P112" s="50" t="s">
        <v>124</v>
      </c>
      <c r="Q112" s="52" t="n">
        <v>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504</v>
      </c>
      <c r="N113" s="55" t="n">
        <v>46251</v>
      </c>
      <c r="O113" s="55" t="n">
        <v>46251</v>
      </c>
      <c r="P113" s="50" t="s">
        <v>124</v>
      </c>
      <c r="Q113" s="52" t="n">
        <v>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65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46322</v>
      </c>
      <c r="O115" s="45" t="n">
        <v>46322</v>
      </c>
      <c r="P115" s="46" t="s">
        <v>293</v>
      </c>
      <c r="Q115" s="37" t="n">
        <v>73</v>
      </c>
      <c r="R115" s="39"/>
      <c r="S115" s="39" t="n">
        <v>1</v>
      </c>
      <c r="T115" s="39" t="s">
        <v>294</v>
      </c>
      <c r="U115" s="60" t="n">
        <v>46322.0115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514</v>
      </c>
      <c r="N116" s="55" t="n">
        <v>46322</v>
      </c>
      <c r="O116" s="55" t="n">
        <v>46322</v>
      </c>
      <c r="P116" s="50" t="s">
        <v>293</v>
      </c>
      <c r="Q116" s="52" t="n">
        <v>75</v>
      </c>
      <c r="R116" s="52"/>
      <c r="S116" s="52" t="n">
        <v>2</v>
      </c>
      <c r="T116" s="52" t="s">
        <v>294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518</v>
      </c>
      <c r="N117" s="55" t="n">
        <v>46322</v>
      </c>
      <c r="O117" s="55" t="n">
        <v>46322</v>
      </c>
      <c r="P117" s="50" t="s">
        <v>293</v>
      </c>
      <c r="Q117" s="52" t="n">
        <v>74</v>
      </c>
      <c r="R117" s="52"/>
      <c r="S117" s="52" t="n">
        <v>2</v>
      </c>
      <c r="T117" s="52" t="s">
        <v>294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522</v>
      </c>
      <c r="N118" s="55" t="n">
        <v>46322</v>
      </c>
      <c r="O118" s="55" t="n">
        <v>46322</v>
      </c>
      <c r="P118" s="50" t="s">
        <v>293</v>
      </c>
      <c r="Q118" s="52" t="n">
        <v>74</v>
      </c>
      <c r="R118" s="52"/>
      <c r="S118" s="52" t="n">
        <v>2</v>
      </c>
      <c r="T118" s="52" t="s">
        <v>294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526</v>
      </c>
      <c r="N119" s="55" t="n">
        <v>46322</v>
      </c>
      <c r="O119" s="55" t="n">
        <v>46322</v>
      </c>
      <c r="P119" s="50" t="s">
        <v>293</v>
      </c>
      <c r="Q119" s="52" t="n">
        <v>74</v>
      </c>
      <c r="R119" s="52"/>
      <c r="S119" s="52" t="n">
        <v>2</v>
      </c>
      <c r="T119" s="52" t="s">
        <v>294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530</v>
      </c>
      <c r="N120" s="55" t="n">
        <v>46322</v>
      </c>
      <c r="O120" s="55" t="n">
        <v>46322</v>
      </c>
      <c r="P120" s="50" t="s">
        <v>293</v>
      </c>
      <c r="Q120" s="52" t="n">
        <v>73</v>
      </c>
      <c r="R120" s="52"/>
      <c r="S120" s="52" t="n">
        <v>2</v>
      </c>
      <c r="T120" s="52" t="s">
        <v>294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534</v>
      </c>
      <c r="N121" s="55" t="n">
        <v>46322</v>
      </c>
      <c r="O121" s="55" t="n">
        <v>46322</v>
      </c>
      <c r="P121" s="50" t="s">
        <v>293</v>
      </c>
      <c r="Q121" s="52" t="n">
        <v>73</v>
      </c>
      <c r="R121" s="52"/>
      <c r="S121" s="52" t="n">
        <v>2</v>
      </c>
      <c r="T121" s="52" t="s">
        <v>294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46282</v>
      </c>
      <c r="M122" s="43"/>
      <c r="N122" s="44" t="n">
        <v>46282</v>
      </c>
      <c r="O122" s="45" t="n">
        <v>46282</v>
      </c>
      <c r="P122" s="46" t="s">
        <v>60</v>
      </c>
      <c r="Q122" s="37" t="n">
        <v>33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46361</v>
      </c>
      <c r="O124" s="45" t="n">
        <v>46374</v>
      </c>
      <c r="P124" s="46" t="s">
        <v>293</v>
      </c>
      <c r="Q124" s="37" t="n">
        <v>65</v>
      </c>
      <c r="R124" s="39"/>
      <c r="S124" s="39" t="n">
        <v>1</v>
      </c>
      <c r="T124" s="39" t="s">
        <v>294</v>
      </c>
      <c r="U124" s="60" t="n">
        <v>46361.0124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549</v>
      </c>
      <c r="N125" s="55" t="n">
        <v>46361</v>
      </c>
      <c r="O125" s="55" t="n">
        <v>46365</v>
      </c>
      <c r="P125" s="50" t="s">
        <v>293</v>
      </c>
      <c r="Q125" s="52" t="n">
        <v>65</v>
      </c>
      <c r="R125" s="52"/>
      <c r="S125" s="52" t="n">
        <v>2</v>
      </c>
      <c r="T125" s="52" t="s">
        <v>294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553</v>
      </c>
      <c r="N126" s="55" t="n">
        <v>46364</v>
      </c>
      <c r="O126" s="55" t="n">
        <v>46371</v>
      </c>
      <c r="P126" s="50" t="s">
        <v>293</v>
      </c>
      <c r="Q126" s="52" t="n">
        <v>65</v>
      </c>
      <c r="R126" s="52"/>
      <c r="S126" s="52" t="n">
        <v>2</v>
      </c>
      <c r="T126" s="52" t="s">
        <v>294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557</v>
      </c>
      <c r="N127" s="55" t="n">
        <v>46371</v>
      </c>
      <c r="O127" s="55" t="n">
        <v>46374</v>
      </c>
      <c r="P127" s="50" t="s">
        <v>293</v>
      </c>
      <c r="Q127" s="52" t="n">
        <v>65</v>
      </c>
      <c r="R127" s="52"/>
      <c r="S127" s="52" t="n">
        <v>2</v>
      </c>
      <c r="T127" s="52" t="s">
        <v>294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46329</v>
      </c>
      <c r="O128" s="45" t="n">
        <v>46329</v>
      </c>
      <c r="P128" s="46" t="s">
        <v>293</v>
      </c>
      <c r="Q128" s="37" t="n">
        <v>70</v>
      </c>
      <c r="R128" s="39"/>
      <c r="S128" s="39" t="n">
        <v>1</v>
      </c>
      <c r="T128" s="39" t="s">
        <v>294</v>
      </c>
      <c r="U128" s="60" t="n">
        <v>46329.0128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46330</v>
      </c>
      <c r="O129" s="45" t="n">
        <v>46330</v>
      </c>
      <c r="P129" s="46" t="s">
        <v>293</v>
      </c>
      <c r="Q129" s="37" t="n">
        <v>71</v>
      </c>
      <c r="R129" s="39"/>
      <c r="S129" s="39" t="n">
        <v>1</v>
      </c>
      <c r="T129" s="39" t="s">
        <v>294</v>
      </c>
      <c r="U129" s="60" t="n">
        <v>46330.0129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46330</v>
      </c>
      <c r="O130" s="45" t="n">
        <v>46335</v>
      </c>
      <c r="P130" s="46" t="s">
        <v>293</v>
      </c>
      <c r="Q130" s="37" t="n">
        <v>76</v>
      </c>
      <c r="R130" s="39"/>
      <c r="S130" s="39" t="n">
        <v>1</v>
      </c>
      <c r="T130" s="39" t="s">
        <v>294</v>
      </c>
      <c r="U130" s="60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293</v>
      </c>
      <c r="Q131" s="37" t="n">
        <v>65</v>
      </c>
      <c r="R131" s="39"/>
      <c r="S131" s="39" t="n">
        <v>1</v>
      </c>
      <c r="T131" s="39" t="s">
        <v>294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46214</v>
      </c>
      <c r="F13" s="99" t="n">
        <v>46214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46266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 t="n">
        <v>0.1875</v>
      </c>
      <c r="X21" s="101" t="n">
        <v>0.1875</v>
      </c>
      <c r="Y21" s="101" t="n">
        <v>0.1875</v>
      </c>
      <c r="Z21" s="101" t="n">
        <v>0.1875</v>
      </c>
      <c r="AA21" s="101" t="n">
        <v>0.1875</v>
      </c>
      <c r="AB21" s="101" t="n">
        <v>0.1875</v>
      </c>
      <c r="AC21" s="101" t="n">
        <v>0.1875</v>
      </c>
      <c r="AD21" s="101" t="n">
        <v>0.1875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653</v>
      </c>
      <c r="C23" s="95" t="s">
        <v>644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46218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654</v>
      </c>
      <c r="C25" s="95" t="s">
        <v>644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655</v>
      </c>
      <c r="C27" s="95" t="s">
        <v>644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46238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656</v>
      </c>
      <c r="C29" s="95" t="s">
        <v>644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657</v>
      </c>
      <c r="C31" s="95" t="s">
        <v>644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658</v>
      </c>
      <c r="C33" s="95" t="s">
        <v>644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659</v>
      </c>
      <c r="C35" s="95" t="s">
        <v>644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660</v>
      </c>
      <c r="C37" s="95" t="s">
        <v>644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661</v>
      </c>
      <c r="C39" s="95" t="s">
        <v>644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664</v>
      </c>
      <c r="C44" s="95" t="s">
        <v>644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0.1875</v>
      </c>
      <c r="X48" s="103" t="n">
        <f aca="false">SUMIF($C$7:$C$45,"Actual",X$7:X$45)</f>
        <v>0.1875</v>
      </c>
      <c r="Y48" s="103" t="n">
        <f aca="false">SUMIF($C$7:$C$45,"Actual",Y$7:Y$45)</f>
        <v>0.1875</v>
      </c>
      <c r="Z48" s="103" t="n">
        <f aca="false">SUMIF($C$7:$C$45,"Actual",Z$7:Z$45)</f>
        <v>0.1875</v>
      </c>
      <c r="AA48" s="103" t="n">
        <f aca="false">SUMIF($C$7:$C$45,"Actual",AA$7:AA$45)</f>
        <v>0.1875</v>
      </c>
      <c r="AB48" s="103" t="n">
        <f aca="false">SUMIF($C$7:$C$45,"Actual",AB$7:AB$45)</f>
        <v>0.1875</v>
      </c>
      <c r="AC48" s="103" t="n">
        <f aca="false">SUMIF($C$7:$C$45,"Actual",AC$7:AC$45)</f>
        <v>0.1875</v>
      </c>
      <c r="AD48" s="103" t="n">
        <f aca="false">SUMIF($C$7:$C$45,"Actual",AD$7:AD$45)</f>
        <v>0.1875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73.5001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93.5001</v>
      </c>
      <c r="W50" s="105" t="n">
        <f aca="false">IF(W$6&gt;46314,"",V50+W48)</f>
        <v>93.6876</v>
      </c>
      <c r="X50" s="105" t="n">
        <f aca="false">IF(X$6&gt;46314,"",W50+X48)</f>
        <v>93.8751</v>
      </c>
      <c r="Y50" s="105" t="n">
        <f aca="false">IF(Y$6&gt;46314,"",X50+Y48)</f>
        <v>94.0626</v>
      </c>
      <c r="Z50" s="105" t="n">
        <f aca="false">IF(Z$6&gt;46314,"",Y50+Z48)</f>
        <v>94.2501</v>
      </c>
      <c r="AA50" s="105" t="n">
        <f aca="false">IF(AA$6&gt;46314,"",Z50+AA48)</f>
        <v>94.4376</v>
      </c>
      <c r="AB50" s="105" t="n">
        <f aca="false">IF(AB$6&gt;46314,"",AA50+AB48)</f>
        <v>94.6251</v>
      </c>
      <c r="AC50" s="105" t="n">
        <f aca="false">IF(AC$6&gt;46314,"",AB50+AC48)</f>
        <v>94.8126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2026-10-26T04:44:38Z</dcterms:created>
  <dc:creator>openpyxl</dc:creator>
  <dc:description/>
  <dc:language>en-US</dc:language>
  <cp:lastModifiedBy/>
  <dcterms:modified xsi:type="dcterms:W3CDTF">2026-10-26T11:47:38Z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