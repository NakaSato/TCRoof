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<sst xmlns="http://schemas.openxmlformats.org/spreadsheetml/2006/main" count="1287" uniqueCount="668">
  <si>
    <t xml:space="preserve">แผนโครงการ P4-017 – สถานีผลิต-จ่ายน้ำ สำนักงานขลุง 101.46 kWp</t>
  </si>
  <si>
    <t xml:space="preserve">กปภ.สาขาขลุง, ภาคเหนือ-กลาง, กฟภ. เขต ก.2, Inverter 125 kW (ไม่ต้อง พค.2), Zero export HV, คำขอ PPIM1A507D70, วิศวกร ต้า, Admin กิ่ง, ผรม. C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</si>
  <si>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</si>
  <si>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</si>
  <si>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</si>
  <si>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</si>
  <si>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</si>
  <si>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</si>
  <si>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</si>
  <si>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</si>
  <si>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</si>
  <si>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</si>
  <si>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</si>
  <si>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</si>
  <si>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</si>
  <si>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</si>
  <si>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</si>
  <si>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</si>
  <si>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</si>
  <si>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</si>
  <si>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</si>
  <si>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</si>
  <si>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</si>
  <si>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</si>
  <si>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</si>
  <si>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</si>
  <si>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</si>
  <si>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</si>
  <si>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คำขอขนานไฟ PPIM (ชุด 11 ไฟล์)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</si>
  <si>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</si>
  <si>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</si>
  <si>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</si>
  <si>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</si>
  <si>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</si>
  <si>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</si>
  <si>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</si>
  <si>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</si>
  <si>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</si>
  <si>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</si>
  <si>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</si>
  <si>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</si>
  <si>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</si>
  <si>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</si>
  <si>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</si>
  <si>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</si>
  <si>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</si>
  <si>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</si>
  <si>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</si>
  <si>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</si>
  <si>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</si>
  <si>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</si>
  <si>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</si>
  <si>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</si>
  <si>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</si>
  <si>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</si>
  <si>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</si>
  <si>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</si>
  <si>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</si>
  <si>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</si>
  <si>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</si>
  <si>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</si>
  <si>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</si>
  <si>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</si>
  <si>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</si>
  <si>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</si>
  <si>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</si>
  <si>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</si>
  <si>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</si>
  <si>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</si>
  <si>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</si>
  <si>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</si>
  <si>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</si>
  <si>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</si>
  <si>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</si>
  <si>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</si>
  <si>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</si>
  <si>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</si>
  <si>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</si>
  <si>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</si>
  <si>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</si>
  <si>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</si>
  <si>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</si>
  <si>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</si>
  <si>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</si>
  <si>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</si>
  <si>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</si>
  <si>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</si>
  <si>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</si>
  <si>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</si>
  <si>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</si>
  <si>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</si>
  <si>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</si>
  <si>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</si>
  <si>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</si>
  <si>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</si>
  <si>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</si>
  <si>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</si>
  <si>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</si>
  <si>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</si>
  <si>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</si>
  <si>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</si>
  <si>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</si>
  <si>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</si>
  <si>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</si>
  <si>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</si>
  <si>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</si>
  <si>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</si>
  <si>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</si>
  <si>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</si>
  <si>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</si>
  <si>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</si>
  <si>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TC-PML-2026-546,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</si>
  <si>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</si>
  <si>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</si>
  <si>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DN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</si>
  <si>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</si>
  <si>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</si>
  <si>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</si>
  <si>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</si>
  <si>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</si>
  <si>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</si>
  <si>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WBS'!L7621</t>
    </r>
  </si>
  <si>
    <t xml:space="preserve">เสร็จ*</t>
  </si>
  <si>
    <t xml:space="preserve">DY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</si>
  <si>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</si>
  <si>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</si>
  <si>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</si>
  <si>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</si>
  <si>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</si>
  <si>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</si>
  <si>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</si>
  <si>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</si>
  <si>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</si>
  <si>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</si>
  <si>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</si>
  <si>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</si>
  <si>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</si>
  <si>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</si>
  <si>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</si>
  <si>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</si>
  <si>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</si>
  <si>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</si>
  <si>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</si>
  <si>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</si>
  <si>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</si>
  <si>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</si>
  <si>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</si>
  <si>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</si>
  <si>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</si>
  <si>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</si>
  <si>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</si>
  <si>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WBS'!L7628</t>
    </r>
  </si>
  <si>
    <t xml:space="preserve">0.3</t>
  </si>
  <si>
    <t xml:space="preserve">หนังสือแจ้งขอดับไฟ</t>
  </si>
  <si>
    <t xml:space="preserve">TC-PML-2026-535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</si>
  <si>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</si>
  <si>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</si>
  <si>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</si>
  <si>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</si>
  <si>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</si>
  <si>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</si>
  <si>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</si>
  <si>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</si>
  <si>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</si>
  <si>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</si>
  <si>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</si>
  <si>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</si>
  <si>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</si>
  <si>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</si>
  <si>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</si>
  <si>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</si>
  <si>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</si>
  <si>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</si>
  <si>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</si>
  <si>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</si>
  <si>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</si>
  <si>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</si>
  <si>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</si>
  <si>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</si>
  <si>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</si>
  <si>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</si>
  <si>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</si>
  <si>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</si>
  <si>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</si>
  <si>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</si>
  <si>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</si>
  <si>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</si>
  <si>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</si>
  <si>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</si>
  <si>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</si>
  <si>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</si>
  <si>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</si>
  <si>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</si>
  <si>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</si>
  <si>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</si>
  <si>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</si>
  <si>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</si>
  <si>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</si>
  <si>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</si>
  <si>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</si>
  <si>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</si>
  <si>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</si>
  <si>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</si>
  <si>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</si>
  <si>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</si>
  <si>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</si>
  <si>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</si>
  <si>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</si>
  <si>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</si>
  <si>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</si>
  <si>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</si>
  <si>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</si>
  <si>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</si>
  <si>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</si>
  <si>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</si>
  <si>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</si>
  <si>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</si>
  <si>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</si>
  <si>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</si>
  <si>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</si>
  <si>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</si>
  <si>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</si>
  <si>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</si>
  <si>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</si>
  <si>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</si>
  <si>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</si>
  <si>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</si>
  <si>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</si>
  <si>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</si>
  <si>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</si>
  <si>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</si>
  <si>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</si>
  <si>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</si>
  <si>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</si>
  <si>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</si>
  <si>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</si>
  <si>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</si>
  <si>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</si>
  <si>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</si>
  <si>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</si>
  <si>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</si>
  <si>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</si>
  <si>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WBS'!L7644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</si>
  <si>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</si>
  <si>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</si>
  <si>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</si>
  <si>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</si>
  <si>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</si>
  <si>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</si>
  <si>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</si>
  <si>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</si>
  <si>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</si>
  <si>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</si>
  <si>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</si>
  <si>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</si>
  <si>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</si>
  <si>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</si>
  <si>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</si>
  <si>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</si>
  <si>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</si>
  <si>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</si>
  <si>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</si>
  <si>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</si>
  <si>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</si>
  <si>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</si>
  <si>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</si>
  <si>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</si>
  <si>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</si>
  <si>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</si>
  <si>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</si>
  <si>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</si>
  <si>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</si>
  <si>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</si>
  <si>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WBS'!L7646</t>
    </r>
  </si>
  <si>
    <t xml:space="preserve">1.7.1</t>
  </si>
  <si>
    <t xml:space="preserve">PPIM1A507D70</t>
  </si>
  <si>
    <t xml:space="preserve">ยังไม่เริ่ม</t>
  </si>
  <si>
    <t xml:space="preserve">NS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</si>
  <si>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</si>
  <si>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</si>
  <si>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</si>
  <si>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</si>
  <si>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</si>
  <si>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</si>
  <si>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</si>
  <si>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</si>
  <si>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</si>
  <si>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</si>
  <si>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</si>
  <si>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</si>
  <si>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</si>
  <si>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</si>
  <si>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</si>
  <si>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</si>
  <si>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</si>
  <si>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</si>
  <si>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</si>
  <si>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</si>
  <si>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</si>
  <si>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</si>
  <si>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</si>
  <si>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</si>
  <si>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</si>
  <si>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</si>
  <si>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</si>
  <si>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</si>
  <si>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</si>
  <si>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</si>
  <si>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</si>
  <si>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</si>
  <si>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</si>
  <si>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</si>
  <si>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</si>
  <si>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</si>
  <si>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</si>
  <si>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</si>
  <si>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</si>
  <si>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</si>
  <si>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</si>
  <si>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</si>
  <si>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</si>
  <si>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</si>
  <si>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</si>
  <si>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</si>
  <si>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</si>
  <si>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</si>
  <si>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</si>
  <si>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</si>
  <si>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</si>
  <si>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</si>
  <si>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</si>
  <si>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</si>
  <si>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</si>
  <si>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</si>
  <si>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</si>
  <si>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</si>
  <si>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</si>
  <si>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</si>
  <si>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</si>
  <si>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</si>
  <si>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</si>
  <si>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</si>
  <si>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</si>
  <si>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</si>
  <si>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</si>
  <si>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</si>
  <si>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</si>
  <si>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</si>
  <si>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</si>
  <si>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</si>
  <si>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</si>
  <si>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</si>
  <si>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</si>
  <si>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</si>
  <si>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</si>
  <si>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</si>
  <si>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</si>
  <si>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</si>
  <si>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</si>
  <si>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</si>
  <si>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</si>
  <si>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</si>
  <si>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</si>
  <si>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</si>
  <si>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</si>
  <si>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</si>
  <si>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</si>
  <si>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</si>
  <si>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</si>
  <si>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</si>
  <si>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</si>
  <si>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</si>
  <si>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</si>
  <si>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</si>
  <si>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</si>
  <si>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</si>
  <si>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</si>
  <si>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</si>
  <si>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</si>
  <si>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</si>
  <si>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</si>
  <si>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</si>
  <si>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</si>
  <si>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</si>
  <si>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</si>
  <si>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</si>
  <si>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</si>
  <si>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</si>
  <si>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</si>
  <si>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WBS'!L7665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</si>
  <si>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</si>
  <si>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</si>
  <si>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</si>
  <si>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</si>
  <si>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</si>
  <si>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</si>
  <si>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</si>
  <si>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</si>
  <si>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</si>
  <si>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</si>
  <si>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</si>
  <si>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</si>
  <si>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</si>
  <si>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</si>
  <si>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</si>
  <si>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</si>
  <si>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</si>
  <si>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</si>
  <si>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</si>
  <si>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WBS'!L7669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</si>
  <si>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</si>
  <si>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</si>
  <si>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</si>
  <si>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</si>
  <si>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</si>
  <si>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</si>
  <si>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</si>
  <si>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</si>
  <si>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</si>
  <si>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</si>
  <si>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</si>
  <si>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</si>
  <si>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</si>
  <si>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</si>
  <si>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</si>
  <si>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</si>
  <si>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</si>
  <si>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</si>
  <si>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</si>
  <si>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</si>
  <si>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</si>
  <si>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</si>
  <si>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</si>
  <si>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</si>
  <si>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</si>
  <si>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</si>
  <si>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</si>
  <si>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</si>
  <si>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</si>
  <si>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</si>
  <si>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</si>
  <si>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</si>
  <si>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</si>
  <si>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</si>
  <si>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</si>
  <si>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</si>
  <si>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</si>
  <si>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</si>
  <si>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WBS'!L7677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</si>
  <si>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</si>
  <si>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</si>
  <si>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</si>
  <si>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</si>
  <si>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</si>
  <si>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</si>
  <si>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</si>
  <si>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</si>
  <si>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</si>
  <si>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</si>
  <si>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WBS'!L7678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</si>
  <si>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</si>
  <si>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</si>
  <si>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</si>
  <si>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</si>
  <si>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</si>
  <si>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</si>
  <si>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</si>
  <si>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</si>
  <si>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</si>
  <si>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</si>
  <si>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</si>
  <si>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</si>
  <si>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</si>
  <si>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</si>
  <si>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</si>
  <si>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</si>
  <si>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</si>
  <si>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</si>
  <si>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</si>
  <si>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</si>
  <si>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</si>
  <si>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</si>
  <si>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</si>
  <si>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</si>
  <si>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</si>
  <si>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</si>
  <si>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</si>
  <si>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</si>
  <si>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</si>
  <si>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WBS'!L7684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</si>
  <si>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</si>
  <si>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</si>
  <si>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8/9/69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</si>
  <si>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</si>
  <si>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</si>
  <si>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</si>
  <si>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</si>
  <si>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</si>
  <si>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</si>
  <si>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</si>
  <si>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</si>
  <si>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</si>
  <si>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</si>
  <si>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</si>
  <si>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</si>
  <si>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</si>
  <si>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</si>
  <si>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</si>
  <si>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</si>
  <si>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</si>
  <si>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</si>
  <si>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</si>
  <si>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</si>
  <si>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</si>
  <si>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</si>
  <si>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</si>
  <si>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</si>
  <si>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</si>
  <si>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</si>
  <si>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</si>
  <si>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</si>
  <si>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</si>
  <si>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</si>
  <si>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</si>
  <si>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</si>
  <si>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</si>
  <si>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</si>
  <si>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</si>
  <si>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</si>
  <si>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</si>
  <si>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</si>
  <si>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</si>
  <si>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</si>
  <si>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</si>
  <si>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</si>
  <si>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</si>
  <si>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</si>
  <si>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</si>
  <si>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</si>
  <si>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</si>
  <si>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</si>
  <si>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</si>
  <si>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</si>
  <si>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</si>
  <si>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</si>
  <si>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</si>
  <si>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</si>
  <si>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</si>
  <si>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</si>
  <si>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</si>
  <si>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</si>
  <si>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</si>
  <si>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</si>
  <si>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</si>
  <si>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</si>
  <si>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</si>
  <si>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</si>
  <si>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</si>
  <si>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</si>
  <si>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</si>
  <si>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</si>
  <si>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</si>
  <si>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</si>
  <si>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</si>
  <si>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</si>
  <si>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</si>
  <si>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</si>
  <si>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</si>
  <si>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</si>
  <si>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</si>
  <si>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</si>
  <si>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</si>
  <si>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</si>
  <si>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</si>
  <si>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</si>
  <si>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</si>
  <si>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</si>
  <si>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</si>
  <si>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</si>
  <si>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</si>
  <si>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</si>
  <si>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</si>
  <si>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</si>
  <si>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</si>
  <si>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</si>
  <si>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</si>
  <si>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</si>
  <si>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</si>
  <si>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</si>
  <si>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</si>
  <si>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</si>
  <si>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</si>
  <si>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</si>
  <si>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</si>
  <si>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</si>
  <si>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</si>
  <si>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</si>
  <si>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</si>
  <si>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</si>
  <si>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</si>
  <si>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</si>
  <si>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</si>
  <si>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</si>
  <si>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</si>
  <si>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</si>
  <si>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</si>
  <si>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</si>
  <si>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</si>
  <si>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</si>
  <si>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</si>
  <si>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</si>
  <si>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</si>
  <si>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</si>
  <si>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จ่ายน้ำ สำนักงานขลุง การประปาส่วนภูมิภาคสาขาขลุง ขนาดกำลังผลิต </t>
    </r>
    <r>
      <rPr>
        <sz val="10"/>
        <rFont val="Tahoma"/>
        <family val="0"/>
        <charset val="1"/>
      </rPr>
      <t xml:space="preserve">101.46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</si>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</sst>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1.5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3.5</c:v>
                </c:pt>
                <c:pt idx="13">
                  <c:v>13.5</c:v>
                </c:pt>
                <c:pt idx="14">
                  <c:v>23.5</c:v>
                </c:pt>
                <c:pt idx="15">
                  <c:v>89.75</c:v>
                </c:pt>
                <c:pt idx="16">
                  <c:v>93.5</c:v>
                </c:pt>
                <c:pt idx="17">
                  <c:v>93.5</c:v>
                </c:pt>
                <c:pt idx="18">
                  <c:v>93.5</c:v>
                </c:pt>
                <c:pt idx="19">
                  <c:v>93.5</c:v>
                </c:pt>
                <c:pt idx="20">
                  <c:v>93.5</c:v>
                </c:pt>
                <c:pt idx="21">
                  <c:v>93.5</c:v>
                </c:pt>
                <c:pt idx="22">
                  <c:v>93.5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955491"/>
        <c:axId val="13034379"/>
      </c:lineChart>
      <c:catAx>
        <c:axId val="5695549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34379"/>
        <c:crosses val="autoZero"/>
        <c:auto val="1"/>
        <c:lblAlgn val="ctr"/>
        <c:lblOffset val="100"/>
        <c:noMultiLvlLbl val="0"/>
      </c:catAx>
      <c:valAx>
        <c:axId val="13034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554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46400</v>
      </c>
      <c r="G4" s="10"/>
      <c r="H4" s="10"/>
      <c r="J4" s="11" t="n">
        <v>0.935</v>
      </c>
      <c r="K4" s="11"/>
      <c r="L4" s="12" t="n">
        <v>63</v>
      </c>
      <c r="M4" s="12"/>
      <c r="N4" s="12" t="n">
        <v>78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46213</v>
      </c>
      <c r="O8" s="33" t="n">
        <v>46419</v>
      </c>
      <c r="P8" s="34" t="s">
        <v>75</v>
      </c>
      <c r="Q8" s="31" t="n">
        <v>80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46213</v>
      </c>
      <c r="O9" s="45" t="n">
        <v>46419</v>
      </c>
      <c r="P9" s="46" t="s">
        <v>75</v>
      </c>
      <c r="Q9" s="37" t="n">
        <v>80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46213</v>
      </c>
      <c r="O10" s="55" t="n">
        <v>46234</v>
      </c>
      <c r="P10" s="50" t="s">
        <v>75</v>
      </c>
      <c r="Q10" s="52" t="n">
        <v>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46213</v>
      </c>
      <c r="O11" s="55" t="n">
        <v>46234</v>
      </c>
      <c r="P11" s="50" t="s">
        <v>75</v>
      </c>
      <c r="Q11" s="52" t="n">
        <v>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46213</v>
      </c>
      <c r="O12" s="55" t="n">
        <v>46234</v>
      </c>
      <c r="P12" s="50" t="s">
        <v>75</v>
      </c>
      <c r="Q12" s="52" t="n">
        <v>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46213</v>
      </c>
      <c r="O13" s="55" t="n">
        <v>46244</v>
      </c>
      <c r="P13" s="50" t="s">
        <v>75</v>
      </c>
      <c r="Q13" s="52" t="n">
        <v>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46234</v>
      </c>
      <c r="O14" s="55" t="n">
        <v>46419</v>
      </c>
      <c r="P14" s="50" t="s">
        <v>75</v>
      </c>
      <c r="Q14" s="52" t="n">
        <v>80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46234</v>
      </c>
      <c r="O15" s="55" t="n">
        <v>46419</v>
      </c>
      <c r="P15" s="50" t="s">
        <v>75</v>
      </c>
      <c r="Q15" s="52" t="n">
        <v>80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 t="n">
        <v>46252</v>
      </c>
      <c r="M16" s="43"/>
      <c r="N16" s="44" t="n">
        <v>46243</v>
      </c>
      <c r="O16" s="45" t="n">
        <v>46252</v>
      </c>
      <c r="P16" s="46" t="s">
        <v>60</v>
      </c>
      <c r="Q16" s="37" t="n">
        <v>8</v>
      </c>
      <c r="R16" s="39"/>
      <c r="S16" s="39" t="n">
        <v>1</v>
      </c>
      <c r="T16" s="39" t="s">
        <v>114</v>
      </c>
      <c r="U16" s="39"/>
      <c r="V16" s="47" t="n">
        <v>1</v>
      </c>
      <c r="W16" s="39" t="s">
        <v>86</v>
      </c>
      <c r="X16" s="39" t="s">
        <v>115</v>
      </c>
      <c r="Y16" s="38" t="s">
        <v>116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117</v>
      </c>
      <c r="B17" s="50" t="s">
        <v>118</v>
      </c>
      <c r="C17" s="50" t="s">
        <v>119</v>
      </c>
      <c r="D17" s="52" t="s">
        <v>120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121</v>
      </c>
      <c r="N17" s="55" t="n">
        <v>46243</v>
      </c>
      <c r="O17" s="55" t="n">
        <v>46245</v>
      </c>
      <c r="P17" s="50" t="s">
        <v>122</v>
      </c>
      <c r="Q17" s="52" t="n">
        <v>10</v>
      </c>
      <c r="R17" s="52"/>
      <c r="S17" s="52" t="n">
        <v>2</v>
      </c>
      <c r="T17" s="52" t="s">
        <v>123</v>
      </c>
      <c r="U17" s="52"/>
      <c r="V17" s="56" t="n">
        <v>1</v>
      </c>
      <c r="W17" s="52" t="s">
        <v>80</v>
      </c>
      <c r="X17" s="52"/>
      <c r="Y17" s="52" t="s">
        <v>116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124</v>
      </c>
      <c r="B18" s="50" t="s">
        <v>125</v>
      </c>
      <c r="C18" s="50" t="s">
        <v>126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127</v>
      </c>
      <c r="N18" s="55" t="n">
        <v>46244</v>
      </c>
      <c r="O18" s="55" t="n">
        <v>46247</v>
      </c>
      <c r="P18" s="50" t="s">
        <v>122</v>
      </c>
      <c r="Q18" s="52" t="n">
        <v>10</v>
      </c>
      <c r="R18" s="52"/>
      <c r="S18" s="52" t="n">
        <v>2</v>
      </c>
      <c r="T18" s="52" t="s">
        <v>123</v>
      </c>
      <c r="U18" s="52"/>
      <c r="V18" s="56" t="n">
        <v>1</v>
      </c>
      <c r="W18" s="50" t="s">
        <v>86</v>
      </c>
      <c r="X18" s="52"/>
      <c r="Y18" s="52" t="s">
        <v>116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128</v>
      </c>
      <c r="B19" s="50" t="s">
        <v>129</v>
      </c>
      <c r="C19" s="50" t="s">
        <v>130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131</v>
      </c>
      <c r="N19" s="55" t="n">
        <v>46246</v>
      </c>
      <c r="O19" s="55" t="n">
        <v>46249</v>
      </c>
      <c r="P19" s="50" t="s">
        <v>122</v>
      </c>
      <c r="Q19" s="52" t="n">
        <v>8</v>
      </c>
      <c r="R19" s="52"/>
      <c r="S19" s="52" t="n">
        <v>2</v>
      </c>
      <c r="T19" s="52" t="s">
        <v>123</v>
      </c>
      <c r="U19" s="52"/>
      <c r="V19" s="56" t="n">
        <v>1</v>
      </c>
      <c r="W19" s="50" t="s">
        <v>86</v>
      </c>
      <c r="X19" s="52"/>
      <c r="Y19" s="52" t="s">
        <v>116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132</v>
      </c>
      <c r="B20" s="50" t="s">
        <v>133</v>
      </c>
      <c r="C20" s="50" t="s">
        <v>134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135</v>
      </c>
      <c r="N20" s="55" t="n">
        <v>46246</v>
      </c>
      <c r="O20" s="55" t="n">
        <v>46249</v>
      </c>
      <c r="P20" s="50" t="s">
        <v>122</v>
      </c>
      <c r="Q20" s="52" t="n">
        <v>8</v>
      </c>
      <c r="R20" s="52"/>
      <c r="S20" s="52" t="n">
        <v>2</v>
      </c>
      <c r="T20" s="52" t="s">
        <v>123</v>
      </c>
      <c r="U20" s="52"/>
      <c r="V20" s="56" t="n">
        <v>1</v>
      </c>
      <c r="W20" s="50" t="s">
        <v>86</v>
      </c>
      <c r="X20" s="52"/>
      <c r="Y20" s="52" t="s">
        <v>116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136</v>
      </c>
      <c r="B21" s="50" t="s">
        <v>137</v>
      </c>
      <c r="C21" s="50" t="s">
        <v>138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139</v>
      </c>
      <c r="N21" s="55" t="n">
        <v>46247</v>
      </c>
      <c r="O21" s="55" t="n">
        <v>46250</v>
      </c>
      <c r="P21" s="50" t="s">
        <v>122</v>
      </c>
      <c r="Q21" s="52" t="n">
        <v>8</v>
      </c>
      <c r="R21" s="52"/>
      <c r="S21" s="52" t="n">
        <v>2</v>
      </c>
      <c r="T21" s="52" t="s">
        <v>123</v>
      </c>
      <c r="U21" s="52"/>
      <c r="V21" s="56" t="n">
        <v>1</v>
      </c>
      <c r="W21" s="50" t="s">
        <v>86</v>
      </c>
      <c r="X21" s="52"/>
      <c r="Y21" s="52" t="s">
        <v>116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140</v>
      </c>
      <c r="B22" s="50" t="s">
        <v>141</v>
      </c>
      <c r="C22" s="50" t="s">
        <v>142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143</v>
      </c>
      <c r="N22" s="55" t="n">
        <v>46248</v>
      </c>
      <c r="O22" s="55" t="n">
        <v>46251</v>
      </c>
      <c r="P22" s="50" t="s">
        <v>122</v>
      </c>
      <c r="Q22" s="52" t="n">
        <v>8</v>
      </c>
      <c r="R22" s="52"/>
      <c r="S22" s="52" t="n">
        <v>2</v>
      </c>
      <c r="T22" s="52" t="s">
        <v>123</v>
      </c>
      <c r="U22" s="52"/>
      <c r="V22" s="56" t="n">
        <v>1</v>
      </c>
      <c r="W22" s="50" t="s">
        <v>86</v>
      </c>
      <c r="X22" s="52"/>
      <c r="Y22" s="52" t="s">
        <v>116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144</v>
      </c>
      <c r="B23" s="50" t="s">
        <v>145</v>
      </c>
      <c r="C23" s="50" t="s">
        <v>146</v>
      </c>
      <c r="D23" s="50" t="s">
        <v>91</v>
      </c>
      <c r="E23" s="51" t="n">
        <v>0</v>
      </c>
      <c r="F23" s="52"/>
      <c r="G23" s="52"/>
      <c r="H23" s="52"/>
      <c r="I23" s="53" t="n">
        <v>46239</v>
      </c>
      <c r="J23" s="53" t="n">
        <v>46244</v>
      </c>
      <c r="K23" s="52"/>
      <c r="L23" s="52"/>
      <c r="M23" s="54" t="s">
        <v>147</v>
      </c>
      <c r="N23" s="55" t="n">
        <v>46248</v>
      </c>
      <c r="O23" s="55" t="n">
        <v>46252</v>
      </c>
      <c r="P23" s="50" t="s">
        <v>122</v>
      </c>
      <c r="Q23" s="52" t="n">
        <v>8</v>
      </c>
      <c r="R23" s="52"/>
      <c r="S23" s="52" t="n">
        <v>2</v>
      </c>
      <c r="T23" s="52" t="s">
        <v>123</v>
      </c>
      <c r="U23" s="52"/>
      <c r="V23" s="56" t="n">
        <v>1</v>
      </c>
      <c r="W23" s="50" t="s">
        <v>86</v>
      </c>
      <c r="X23" s="52"/>
      <c r="Y23" s="52" t="s">
        <v>116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151</v>
      </c>
      <c r="N24" s="55" t="n">
        <v>46248</v>
      </c>
      <c r="O24" s="55" t="n">
        <v>46252</v>
      </c>
      <c r="P24" s="50" t="s">
        <v>122</v>
      </c>
      <c r="Q24" s="52" t="n">
        <v>8</v>
      </c>
      <c r="R24" s="52"/>
      <c r="S24" s="52" t="n">
        <v>2</v>
      </c>
      <c r="T24" s="52" t="s">
        <v>123</v>
      </c>
      <c r="U24" s="52"/>
      <c r="V24" s="56" t="n">
        <v>1</v>
      </c>
      <c r="W24" s="50" t="s">
        <v>86</v>
      </c>
      <c r="X24" s="52"/>
      <c r="Y24" s="52" t="s">
        <v>116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112</v>
      </c>
      <c r="E25" s="40" t="n">
        <v>0</v>
      </c>
      <c r="F25" s="39" t="s">
        <v>155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46253</v>
      </c>
      <c r="M25" s="43"/>
      <c r="N25" s="44" t="n">
        <v>46253</v>
      </c>
      <c r="O25" s="45" t="n">
        <v>46253</v>
      </c>
      <c r="P25" s="46" t="s">
        <v>60</v>
      </c>
      <c r="Q25" s="37" t="n">
        <v>15</v>
      </c>
      <c r="R25" s="39"/>
      <c r="S25" s="39" t="n">
        <v>1</v>
      </c>
      <c r="T25" s="39" t="s">
        <v>114</v>
      </c>
      <c r="U25" s="39"/>
      <c r="V25" s="47" t="n">
        <v>1</v>
      </c>
      <c r="W25" s="38" t="s">
        <v>80</v>
      </c>
      <c r="X25" s="39" t="s">
        <v>156</v>
      </c>
      <c r="Y25" s="38" t="s">
        <v>157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158</v>
      </c>
      <c r="B26" s="50" t="s">
        <v>159</v>
      </c>
      <c r="C26" s="50" t="s">
        <v>160</v>
      </c>
      <c r="D26" s="52" t="s">
        <v>120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161</v>
      </c>
      <c r="N26" s="55" t="n">
        <v>46253</v>
      </c>
      <c r="O26" s="55" t="n">
        <v>46253</v>
      </c>
      <c r="P26" s="50" t="s">
        <v>122</v>
      </c>
      <c r="Q26" s="52" t="n">
        <v>15</v>
      </c>
      <c r="R26" s="52"/>
      <c r="S26" s="52" t="n">
        <v>2</v>
      </c>
      <c r="T26" s="52" t="s">
        <v>123</v>
      </c>
      <c r="U26" s="52"/>
      <c r="V26" s="56" t="n">
        <v>1</v>
      </c>
      <c r="W26" s="50" t="s">
        <v>86</v>
      </c>
      <c r="X26" s="52"/>
      <c r="Y26" s="52" t="s">
        <v>157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162</v>
      </c>
      <c r="B27" s="50" t="s">
        <v>163</v>
      </c>
      <c r="C27" s="50" t="s">
        <v>164</v>
      </c>
      <c r="D27" s="52" t="s">
        <v>120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165</v>
      </c>
      <c r="N27" s="55" t="n">
        <v>46253</v>
      </c>
      <c r="O27" s="55" t="n">
        <v>46253</v>
      </c>
      <c r="P27" s="50" t="s">
        <v>122</v>
      </c>
      <c r="Q27" s="52" t="n">
        <v>15</v>
      </c>
      <c r="R27" s="52"/>
      <c r="S27" s="52" t="n">
        <v>2</v>
      </c>
      <c r="T27" s="52" t="s">
        <v>123</v>
      </c>
      <c r="U27" s="52"/>
      <c r="V27" s="56" t="n">
        <v>1</v>
      </c>
      <c r="W27" s="52" t="s">
        <v>80</v>
      </c>
      <c r="X27" s="52"/>
      <c r="Y27" s="52" t="s">
        <v>157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166</v>
      </c>
      <c r="B28" s="50" t="s">
        <v>167</v>
      </c>
      <c r="C28" s="50" t="s">
        <v>168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169</v>
      </c>
      <c r="N28" s="55" t="n">
        <v>46253</v>
      </c>
      <c r="O28" s="55" t="n">
        <v>46253</v>
      </c>
      <c r="P28" s="50" t="s">
        <v>122</v>
      </c>
      <c r="Q28" s="52" t="n">
        <v>15</v>
      </c>
      <c r="R28" s="52"/>
      <c r="S28" s="52" t="n">
        <v>2</v>
      </c>
      <c r="T28" s="52" t="s">
        <v>123</v>
      </c>
      <c r="U28" s="52"/>
      <c r="V28" s="56" t="n">
        <v>1</v>
      </c>
      <c r="W28" s="52" t="s">
        <v>80</v>
      </c>
      <c r="X28" s="52"/>
      <c r="Y28" s="52" t="s">
        <v>157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170</v>
      </c>
      <c r="B29" s="31" t="s">
        <v>171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46213</v>
      </c>
      <c r="O29" s="33" t="n">
        <v>46400</v>
      </c>
      <c r="P29" s="34" t="s">
        <v>75</v>
      </c>
      <c r="Q29" s="31" t="n">
        <v>78</v>
      </c>
      <c r="R29" s="31"/>
      <c r="S29" s="31" t="n">
        <v>0</v>
      </c>
      <c r="T29" s="31" t="s">
        <v>76</v>
      </c>
      <c r="U29" s="31"/>
      <c r="V29" s="35" t="n">
        <v>0.7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172</v>
      </c>
      <c r="B30" s="38" t="s">
        <v>173</v>
      </c>
      <c r="C30" s="39"/>
      <c r="D30" s="39" t="s">
        <v>79</v>
      </c>
      <c r="E30" s="40" t="n">
        <v>0.5</v>
      </c>
      <c r="F30" s="39" t="s">
        <v>174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175</v>
      </c>
      <c r="N30" s="44" t="n">
        <v>46213</v>
      </c>
      <c r="O30" s="45" t="n">
        <v>46213</v>
      </c>
      <c r="P30" s="46" t="s">
        <v>176</v>
      </c>
      <c r="Q30" s="37" t="n">
        <v>-1</v>
      </c>
      <c r="R30" s="39"/>
      <c r="S30" s="39" t="n">
        <v>1</v>
      </c>
      <c r="T30" s="39" t="s">
        <v>123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181</v>
      </c>
      <c r="N31" s="55" t="n">
        <v>46213</v>
      </c>
      <c r="O31" s="55" t="n">
        <v>46213</v>
      </c>
      <c r="P31" s="50" t="s">
        <v>122</v>
      </c>
      <c r="Q31" s="52" t="n">
        <v>-1</v>
      </c>
      <c r="R31" s="52"/>
      <c r="S31" s="52" t="n">
        <v>2</v>
      </c>
      <c r="T31" s="52" t="s">
        <v>123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120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185</v>
      </c>
      <c r="N32" s="55" t="n">
        <v>46213</v>
      </c>
      <c r="O32" s="55" t="n">
        <v>46213</v>
      </c>
      <c r="P32" s="50" t="s">
        <v>122</v>
      </c>
      <c r="Q32" s="52" t="n">
        <v>-1</v>
      </c>
      <c r="R32" s="52"/>
      <c r="S32" s="52" t="n">
        <v>2</v>
      </c>
      <c r="T32" s="52" t="s">
        <v>123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189</v>
      </c>
      <c r="N33" s="55" t="n">
        <v>46213</v>
      </c>
      <c r="O33" s="55" t="n">
        <v>46213</v>
      </c>
      <c r="P33" s="50" t="s">
        <v>122</v>
      </c>
      <c r="Q33" s="52" t="n">
        <v>-1</v>
      </c>
      <c r="R33" s="52"/>
      <c r="S33" s="52" t="n">
        <v>2</v>
      </c>
      <c r="T33" s="52" t="s">
        <v>123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175</v>
      </c>
      <c r="N34" s="44" t="n">
        <v>46219</v>
      </c>
      <c r="O34" s="45" t="n">
        <v>46228</v>
      </c>
      <c r="P34" s="46" t="s">
        <v>176</v>
      </c>
      <c r="Q34" s="37" t="n">
        <v>-2</v>
      </c>
      <c r="R34" s="39"/>
      <c r="S34" s="39" t="n">
        <v>1</v>
      </c>
      <c r="T34" s="39" t="s">
        <v>123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197</v>
      </c>
      <c r="N35" s="55" t="n">
        <v>46219</v>
      </c>
      <c r="O35" s="55" t="n">
        <v>46224</v>
      </c>
      <c r="P35" s="50" t="s">
        <v>122</v>
      </c>
      <c r="Q35" s="52" t="n">
        <v>-1</v>
      </c>
      <c r="R35" s="52"/>
      <c r="S35" s="52" t="n">
        <v>2</v>
      </c>
      <c r="T35" s="52" t="s">
        <v>123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201</v>
      </c>
      <c r="N36" s="55" t="n">
        <v>46219</v>
      </c>
      <c r="O36" s="55" t="n">
        <v>46224</v>
      </c>
      <c r="P36" s="50" t="s">
        <v>122</v>
      </c>
      <c r="Q36" s="52" t="n">
        <v>-2</v>
      </c>
      <c r="R36" s="52"/>
      <c r="S36" s="52" t="n">
        <v>2</v>
      </c>
      <c r="T36" s="52" t="s">
        <v>123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205</v>
      </c>
      <c r="N37" s="55" t="n">
        <v>46222</v>
      </c>
      <c r="O37" s="55" t="n">
        <v>46225</v>
      </c>
      <c r="P37" s="50" t="s">
        <v>122</v>
      </c>
      <c r="Q37" s="52" t="n">
        <v>-2</v>
      </c>
      <c r="R37" s="52"/>
      <c r="S37" s="52" t="n">
        <v>2</v>
      </c>
      <c r="T37" s="52" t="s">
        <v>123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209</v>
      </c>
      <c r="N38" s="55" t="n">
        <v>46224</v>
      </c>
      <c r="O38" s="55" t="n">
        <v>46228</v>
      </c>
      <c r="P38" s="50" t="s">
        <v>122</v>
      </c>
      <c r="Q38" s="52" t="n">
        <v>-2</v>
      </c>
      <c r="R38" s="52"/>
      <c r="S38" s="52" t="n">
        <v>2</v>
      </c>
      <c r="T38" s="52" t="s">
        <v>123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175</v>
      </c>
      <c r="N39" s="44" t="n">
        <v>46238</v>
      </c>
      <c r="O39" s="45" t="n">
        <v>46238</v>
      </c>
      <c r="P39" s="46" t="s">
        <v>176</v>
      </c>
      <c r="Q39" s="37" t="n">
        <v>-6</v>
      </c>
      <c r="R39" s="39"/>
      <c r="S39" s="39" t="n">
        <v>1</v>
      </c>
      <c r="T39" s="39" t="s">
        <v>123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217</v>
      </c>
      <c r="N40" s="55" t="n">
        <v>46238</v>
      </c>
      <c r="O40" s="55" t="n">
        <v>46238</v>
      </c>
      <c r="P40" s="50" t="s">
        <v>122</v>
      </c>
      <c r="Q40" s="52" t="n">
        <v>-6</v>
      </c>
      <c r="R40" s="52"/>
      <c r="S40" s="52" t="n">
        <v>2</v>
      </c>
      <c r="T40" s="52" t="s">
        <v>123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221</v>
      </c>
      <c r="N41" s="55" t="n">
        <v>46238</v>
      </c>
      <c r="O41" s="55" t="n">
        <v>46238</v>
      </c>
      <c r="P41" s="50" t="s">
        <v>122</v>
      </c>
      <c r="Q41" s="52" t="n">
        <v>-6</v>
      </c>
      <c r="R41" s="52"/>
      <c r="S41" s="52" t="n">
        <v>2</v>
      </c>
      <c r="T41" s="52" t="s">
        <v>123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225</v>
      </c>
      <c r="N42" s="55" t="n">
        <v>46238</v>
      </c>
      <c r="O42" s="55" t="n">
        <v>46238</v>
      </c>
      <c r="P42" s="50" t="s">
        <v>122</v>
      </c>
      <c r="Q42" s="52" t="n">
        <v>-6</v>
      </c>
      <c r="R42" s="52"/>
      <c r="S42" s="52" t="n">
        <v>2</v>
      </c>
      <c r="T42" s="52" t="s">
        <v>123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175</v>
      </c>
      <c r="N43" s="44" t="n">
        <v>46220</v>
      </c>
      <c r="O43" s="45" t="n">
        <v>46233</v>
      </c>
      <c r="P43" s="46" t="s">
        <v>176</v>
      </c>
      <c r="Q43" s="37" t="n">
        <v>-1</v>
      </c>
      <c r="R43" s="39"/>
      <c r="S43" s="39" t="n">
        <v>1</v>
      </c>
      <c r="T43" s="39" t="s">
        <v>123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234</v>
      </c>
      <c r="N44" s="55" t="n">
        <v>46220</v>
      </c>
      <c r="O44" s="55" t="n">
        <v>46223</v>
      </c>
      <c r="P44" s="50" t="s">
        <v>122</v>
      </c>
      <c r="Q44" s="52" t="n">
        <v>-1</v>
      </c>
      <c r="R44" s="52"/>
      <c r="S44" s="52" t="n">
        <v>2</v>
      </c>
      <c r="T44" s="52" t="s">
        <v>123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120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238</v>
      </c>
      <c r="N45" s="55" t="n">
        <v>46221</v>
      </c>
      <c r="O45" s="55" t="n">
        <v>46227</v>
      </c>
      <c r="P45" s="50" t="s">
        <v>122</v>
      </c>
      <c r="Q45" s="52" t="n">
        <v>0</v>
      </c>
      <c r="R45" s="52"/>
      <c r="S45" s="52" t="n">
        <v>2</v>
      </c>
      <c r="T45" s="52" t="s">
        <v>123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120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242</v>
      </c>
      <c r="N46" s="55" t="n">
        <v>46227</v>
      </c>
      <c r="O46" s="55" t="n">
        <v>46233</v>
      </c>
      <c r="P46" s="50" t="s">
        <v>122</v>
      </c>
      <c r="Q46" s="52" t="n">
        <v>-1</v>
      </c>
      <c r="R46" s="52"/>
      <c r="S46" s="52" t="n">
        <v>2</v>
      </c>
      <c r="T46" s="52" t="s">
        <v>123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120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120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120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120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120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28</v>
      </c>
      <c r="C55" s="38" t="s">
        <v>275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46277</v>
      </c>
      <c r="J55" s="41" t="n">
        <v>46277</v>
      </c>
      <c r="K55" s="42"/>
      <c r="L55" s="42"/>
      <c r="M55" s="43"/>
      <c r="N55" s="44" t="n">
        <v>46321</v>
      </c>
      <c r="O55" s="45" t="n">
        <v>46321</v>
      </c>
      <c r="P55" s="46" t="s">
        <v>276</v>
      </c>
      <c r="Q55" s="37" t="n">
        <v>44</v>
      </c>
      <c r="R55" s="39"/>
      <c r="S55" s="39" t="n">
        <v>1</v>
      </c>
      <c r="T55" s="39" t="s">
        <v>277</v>
      </c>
      <c r="U55" s="58" t="n">
        <v>46321.0055</v>
      </c>
      <c r="V55" s="47" t="n">
        <v>0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46278</v>
      </c>
      <c r="J57" s="41" t="n">
        <v>46298</v>
      </c>
      <c r="K57" s="42"/>
      <c r="L57" s="42"/>
      <c r="M57" s="43"/>
      <c r="N57" s="44" t="n">
        <v>46322</v>
      </c>
      <c r="O57" s="45" t="n">
        <v>46342</v>
      </c>
      <c r="P57" s="46" t="s">
        <v>276</v>
      </c>
      <c r="Q57" s="37" t="n">
        <v>44</v>
      </c>
      <c r="R57" s="39"/>
      <c r="S57" s="39" t="n">
        <v>1</v>
      </c>
      <c r="T57" s="39" t="s">
        <v>277</v>
      </c>
      <c r="U57" s="58" t="n">
        <v>46322.0057</v>
      </c>
      <c r="V57" s="47" t="n">
        <v>0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46343</v>
      </c>
      <c r="O58" s="45" t="n">
        <v>46349</v>
      </c>
      <c r="P58" s="46" t="s">
        <v>276</v>
      </c>
      <c r="Q58" s="37" t="n">
        <v>44</v>
      </c>
      <c r="R58" s="39"/>
      <c r="S58" s="39" t="n">
        <v>1</v>
      </c>
      <c r="T58" s="39" t="s">
        <v>277</v>
      </c>
      <c r="U58" s="58" t="n">
        <v>46343.0058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46352</v>
      </c>
      <c r="O59" s="45" t="n">
        <v>46352</v>
      </c>
      <c r="P59" s="46" t="s">
        <v>276</v>
      </c>
      <c r="Q59" s="37" t="n">
        <v>46</v>
      </c>
      <c r="R59" s="39"/>
      <c r="S59" s="39" t="n">
        <v>1</v>
      </c>
      <c r="T59" s="39" t="s">
        <v>277</v>
      </c>
      <c r="U59" s="58" t="n">
        <v>46352.0059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46359</v>
      </c>
      <c r="O60" s="60" t="n">
        <v>46400</v>
      </c>
      <c r="P60" s="46" t="s">
        <v>276</v>
      </c>
      <c r="Q60" s="37" t="n">
        <v>78</v>
      </c>
      <c r="R60" s="39"/>
      <c r="S60" s="39" t="n">
        <v>1</v>
      </c>
      <c r="T60" s="39" t="s">
        <v>277</v>
      </c>
      <c r="U60" s="58" t="n">
        <v>46359.006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46255</v>
      </c>
      <c r="O61" s="33" t="n">
        <v>46273</v>
      </c>
      <c r="P61" s="34" t="s">
        <v>60</v>
      </c>
      <c r="Q61" s="31" t="n">
        <v>-3</v>
      </c>
      <c r="R61" s="31"/>
      <c r="S61" s="31" t="n">
        <v>0</v>
      </c>
      <c r="T61" s="31" t="s">
        <v>114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10</v>
      </c>
      <c r="I62" s="41" t="n">
        <v>46247</v>
      </c>
      <c r="J62" s="41" t="n">
        <v>46264</v>
      </c>
      <c r="K62" s="42"/>
      <c r="L62" s="42"/>
      <c r="M62" s="43" t="s">
        <v>175</v>
      </c>
      <c r="N62" s="44" t="n">
        <v>46255</v>
      </c>
      <c r="O62" s="45" t="n">
        <v>46264</v>
      </c>
      <c r="P62" s="46" t="s">
        <v>176</v>
      </c>
      <c r="Q62" s="37" t="n">
        <v>0</v>
      </c>
      <c r="R62" s="39"/>
      <c r="S62" s="39" t="n">
        <v>1</v>
      </c>
      <c r="T62" s="39" t="s">
        <v>123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305</v>
      </c>
      <c r="N63" s="55" t="n">
        <v>46255</v>
      </c>
      <c r="O63" s="55" t="n">
        <v>46256</v>
      </c>
      <c r="P63" s="50" t="s">
        <v>122</v>
      </c>
      <c r="Q63" s="52" t="n">
        <v>7</v>
      </c>
      <c r="R63" s="52"/>
      <c r="S63" s="52" t="n">
        <v>2</v>
      </c>
      <c r="T63" s="52" t="s">
        <v>123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309</v>
      </c>
      <c r="N64" s="55" t="n">
        <v>46255</v>
      </c>
      <c r="O64" s="55" t="n">
        <v>46257</v>
      </c>
      <c r="P64" s="50" t="s">
        <v>122</v>
      </c>
      <c r="Q64" s="52" t="n">
        <v>7</v>
      </c>
      <c r="R64" s="52"/>
      <c r="S64" s="52" t="n">
        <v>2</v>
      </c>
      <c r="T64" s="52" t="s">
        <v>123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313</v>
      </c>
      <c r="N65" s="55" t="n">
        <v>46256</v>
      </c>
      <c r="O65" s="55" t="n">
        <v>46260</v>
      </c>
      <c r="P65" s="50" t="s">
        <v>122</v>
      </c>
      <c r="Q65" s="52" t="n">
        <v>5</v>
      </c>
      <c r="R65" s="52"/>
      <c r="S65" s="52" t="n">
        <v>2</v>
      </c>
      <c r="T65" s="52" t="s">
        <v>123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317</v>
      </c>
      <c r="N66" s="55" t="n">
        <v>46259</v>
      </c>
      <c r="O66" s="55" t="n">
        <v>46263</v>
      </c>
      <c r="P66" s="50" t="s">
        <v>122</v>
      </c>
      <c r="Q66" s="52" t="n">
        <v>2</v>
      </c>
      <c r="R66" s="52"/>
      <c r="S66" s="52" t="n">
        <v>2</v>
      </c>
      <c r="T66" s="52" t="s">
        <v>123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321</v>
      </c>
      <c r="N67" s="55" t="n">
        <v>46260</v>
      </c>
      <c r="O67" s="55" t="n">
        <v>46264</v>
      </c>
      <c r="P67" s="50" t="s">
        <v>122</v>
      </c>
      <c r="Q67" s="52" t="n">
        <v>1</v>
      </c>
      <c r="R67" s="52"/>
      <c r="S67" s="52" t="n">
        <v>2</v>
      </c>
      <c r="T67" s="52" t="s">
        <v>123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325</v>
      </c>
      <c r="N68" s="55" t="n">
        <v>46262</v>
      </c>
      <c r="O68" s="55" t="n">
        <v>46264</v>
      </c>
      <c r="P68" s="50" t="s">
        <v>122</v>
      </c>
      <c r="Q68" s="52" t="n">
        <v>0</v>
      </c>
      <c r="R68" s="52"/>
      <c r="S68" s="52" t="n">
        <v>2</v>
      </c>
      <c r="T68" s="52" t="s">
        <v>123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329</v>
      </c>
      <c r="N69" s="55" t="n">
        <v>46264</v>
      </c>
      <c r="O69" s="55" t="n">
        <v>46264</v>
      </c>
      <c r="P69" s="50" t="s">
        <v>122</v>
      </c>
      <c r="Q69" s="52" t="n">
        <v>0</v>
      </c>
      <c r="R69" s="52"/>
      <c r="S69" s="52" t="n">
        <v>2</v>
      </c>
      <c r="T69" s="52" t="s">
        <v>123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175</v>
      </c>
      <c r="N70" s="44" t="n">
        <v>46267</v>
      </c>
      <c r="O70" s="45" t="n">
        <v>46270</v>
      </c>
      <c r="P70" s="46" t="s">
        <v>176</v>
      </c>
      <c r="Q70" s="37" t="n">
        <v>-4</v>
      </c>
      <c r="R70" s="39"/>
      <c r="S70" s="39" t="n">
        <v>1</v>
      </c>
      <c r="T70" s="39" t="s">
        <v>123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337</v>
      </c>
      <c r="N71" s="55" t="n">
        <v>46267</v>
      </c>
      <c r="O71" s="55" t="n">
        <v>46268</v>
      </c>
      <c r="P71" s="50" t="s">
        <v>122</v>
      </c>
      <c r="Q71" s="52" t="n">
        <v>-1</v>
      </c>
      <c r="R71" s="52"/>
      <c r="S71" s="52" t="n">
        <v>2</v>
      </c>
      <c r="T71" s="52" t="s">
        <v>123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341</v>
      </c>
      <c r="N72" s="55" t="n">
        <v>46268</v>
      </c>
      <c r="O72" s="55" t="n">
        <v>46269</v>
      </c>
      <c r="P72" s="50" t="s">
        <v>122</v>
      </c>
      <c r="Q72" s="52" t="n">
        <v>-3</v>
      </c>
      <c r="R72" s="52"/>
      <c r="S72" s="52" t="n">
        <v>2</v>
      </c>
      <c r="T72" s="52" t="s">
        <v>123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345</v>
      </c>
      <c r="N73" s="55" t="n">
        <v>46268</v>
      </c>
      <c r="O73" s="55" t="n">
        <v>46269</v>
      </c>
      <c r="P73" s="50" t="s">
        <v>122</v>
      </c>
      <c r="Q73" s="52" t="n">
        <v>-3</v>
      </c>
      <c r="R73" s="52"/>
      <c r="S73" s="52" t="n">
        <v>2</v>
      </c>
      <c r="T73" s="52" t="s">
        <v>123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349</v>
      </c>
      <c r="N74" s="55" t="n">
        <v>46269</v>
      </c>
      <c r="O74" s="55" t="n">
        <v>46270</v>
      </c>
      <c r="P74" s="50" t="s">
        <v>122</v>
      </c>
      <c r="Q74" s="52" t="n">
        <v>-4</v>
      </c>
      <c r="R74" s="52"/>
      <c r="S74" s="52" t="n">
        <v>2</v>
      </c>
      <c r="T74" s="52" t="s">
        <v>123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353</v>
      </c>
      <c r="N75" s="55" t="n">
        <v>46269</v>
      </c>
      <c r="O75" s="55" t="n">
        <v>46270</v>
      </c>
      <c r="P75" s="50" t="s">
        <v>122</v>
      </c>
      <c r="Q75" s="52" t="n">
        <v>-4</v>
      </c>
      <c r="R75" s="52"/>
      <c r="S75" s="52" t="n">
        <v>2</v>
      </c>
      <c r="T75" s="52" t="s">
        <v>123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4</v>
      </c>
      <c r="I76" s="41" t="n">
        <v>46265</v>
      </c>
      <c r="J76" s="41" t="n">
        <v>46274</v>
      </c>
      <c r="K76" s="42"/>
      <c r="L76" s="42"/>
      <c r="M76" s="43" t="s">
        <v>175</v>
      </c>
      <c r="N76" s="44" t="n">
        <v>46268</v>
      </c>
      <c r="O76" s="45" t="n">
        <v>46271</v>
      </c>
      <c r="P76" s="46" t="s">
        <v>176</v>
      </c>
      <c r="Q76" s="37" t="n">
        <v>-3</v>
      </c>
      <c r="R76" s="39"/>
      <c r="S76" s="39" t="n">
        <v>1</v>
      </c>
      <c r="T76" s="39" t="s">
        <v>123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361</v>
      </c>
      <c r="N77" s="55" t="n">
        <v>46268</v>
      </c>
      <c r="O77" s="55" t="n">
        <v>46269</v>
      </c>
      <c r="P77" s="50" t="s">
        <v>122</v>
      </c>
      <c r="Q77" s="52" t="n">
        <v>1</v>
      </c>
      <c r="R77" s="52"/>
      <c r="S77" s="52" t="n">
        <v>2</v>
      </c>
      <c r="T77" s="52" t="s">
        <v>123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365</v>
      </c>
      <c r="N78" s="55" t="n">
        <v>46268</v>
      </c>
      <c r="O78" s="55" t="n">
        <v>46271</v>
      </c>
      <c r="P78" s="50" t="s">
        <v>122</v>
      </c>
      <c r="Q78" s="52" t="n">
        <v>-2</v>
      </c>
      <c r="R78" s="52"/>
      <c r="S78" s="52" t="n">
        <v>2</v>
      </c>
      <c r="T78" s="52" t="s">
        <v>123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369</v>
      </c>
      <c r="N79" s="55" t="n">
        <v>46269</v>
      </c>
      <c r="O79" s="55" t="n">
        <v>46271</v>
      </c>
      <c r="P79" s="50" t="s">
        <v>122</v>
      </c>
      <c r="Q79" s="52" t="n">
        <v>-3</v>
      </c>
      <c r="R79" s="52"/>
      <c r="S79" s="52" t="n">
        <v>2</v>
      </c>
      <c r="T79" s="52" t="s">
        <v>123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373</v>
      </c>
      <c r="N80" s="55" t="n">
        <v>46270</v>
      </c>
      <c r="O80" s="55" t="n">
        <v>46271</v>
      </c>
      <c r="P80" s="50" t="s">
        <v>122</v>
      </c>
      <c r="Q80" s="52" t="n">
        <v>-3</v>
      </c>
      <c r="R80" s="52"/>
      <c r="S80" s="52" t="n">
        <v>2</v>
      </c>
      <c r="T80" s="52" t="s">
        <v>123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377</v>
      </c>
      <c r="N81" s="55" t="n">
        <v>46271</v>
      </c>
      <c r="O81" s="55" t="n">
        <v>46271</v>
      </c>
      <c r="P81" s="50" t="s">
        <v>122</v>
      </c>
      <c r="Q81" s="52" t="n">
        <v>-3</v>
      </c>
      <c r="R81" s="52"/>
      <c r="S81" s="52" t="n">
        <v>2</v>
      </c>
      <c r="T81" s="52" t="s">
        <v>123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175</v>
      </c>
      <c r="N82" s="44" t="n">
        <v>46269</v>
      </c>
      <c r="O82" s="45" t="n">
        <v>46271</v>
      </c>
      <c r="P82" s="46" t="s">
        <v>176</v>
      </c>
      <c r="Q82" s="37" t="n">
        <v>0</v>
      </c>
      <c r="R82" s="39"/>
      <c r="S82" s="39" t="n">
        <v>1</v>
      </c>
      <c r="T82" s="39" t="s">
        <v>123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385</v>
      </c>
      <c r="N83" s="55" t="n">
        <v>46269</v>
      </c>
      <c r="O83" s="55" t="n">
        <v>46270</v>
      </c>
      <c r="P83" s="50" t="s">
        <v>122</v>
      </c>
      <c r="Q83" s="52" t="n">
        <v>0</v>
      </c>
      <c r="R83" s="52"/>
      <c r="S83" s="52" t="n">
        <v>2</v>
      </c>
      <c r="T83" s="52" t="s">
        <v>123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389</v>
      </c>
      <c r="N84" s="55" t="n">
        <v>46270</v>
      </c>
      <c r="O84" s="55" t="n">
        <v>46271</v>
      </c>
      <c r="P84" s="50" t="s">
        <v>122</v>
      </c>
      <c r="Q84" s="52" t="n">
        <v>0</v>
      </c>
      <c r="R84" s="52"/>
      <c r="S84" s="52" t="n">
        <v>2</v>
      </c>
      <c r="T84" s="52" t="s">
        <v>123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175</v>
      </c>
      <c r="N85" s="44" t="n">
        <v>46267</v>
      </c>
      <c r="O85" s="45" t="n">
        <v>46270</v>
      </c>
      <c r="P85" s="46" t="s">
        <v>176</v>
      </c>
      <c r="Q85" s="37" t="n">
        <v>-2</v>
      </c>
      <c r="R85" s="39"/>
      <c r="S85" s="39" t="n">
        <v>1</v>
      </c>
      <c r="T85" s="39" t="s">
        <v>123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397</v>
      </c>
      <c r="N86" s="55" t="n">
        <v>46267</v>
      </c>
      <c r="O86" s="55" t="n">
        <v>46269</v>
      </c>
      <c r="P86" s="50" t="s">
        <v>122</v>
      </c>
      <c r="Q86" s="52" t="n">
        <v>1</v>
      </c>
      <c r="R86" s="52"/>
      <c r="S86" s="52" t="n">
        <v>2</v>
      </c>
      <c r="T86" s="52" t="s">
        <v>123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401</v>
      </c>
      <c r="N87" s="55" t="n">
        <v>46268</v>
      </c>
      <c r="O87" s="55" t="n">
        <v>46270</v>
      </c>
      <c r="P87" s="50" t="s">
        <v>122</v>
      </c>
      <c r="Q87" s="52" t="n">
        <v>-1</v>
      </c>
      <c r="R87" s="52"/>
      <c r="S87" s="52" t="n">
        <v>2</v>
      </c>
      <c r="T87" s="52" t="s">
        <v>123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405</v>
      </c>
      <c r="N88" s="55" t="n">
        <v>46269</v>
      </c>
      <c r="O88" s="55" t="n">
        <v>46270</v>
      </c>
      <c r="P88" s="50" t="s">
        <v>122</v>
      </c>
      <c r="Q88" s="52" t="n">
        <v>-2</v>
      </c>
      <c r="R88" s="52"/>
      <c r="S88" s="52" t="n">
        <v>2</v>
      </c>
      <c r="T88" s="52" t="s">
        <v>123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409</v>
      </c>
      <c r="N89" s="55" t="n">
        <v>46270</v>
      </c>
      <c r="O89" s="55" t="n">
        <v>46270</v>
      </c>
      <c r="P89" s="50" t="s">
        <v>122</v>
      </c>
      <c r="Q89" s="52" t="n">
        <v>-2</v>
      </c>
      <c r="R89" s="52"/>
      <c r="S89" s="52" t="n">
        <v>2</v>
      </c>
      <c r="T89" s="52" t="s">
        <v>123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175</v>
      </c>
      <c r="N90" s="44" t="n">
        <v>46268</v>
      </c>
      <c r="O90" s="45" t="n">
        <v>46271</v>
      </c>
      <c r="P90" s="46" t="s">
        <v>176</v>
      </c>
      <c r="Q90" s="37" t="n">
        <v>-2</v>
      </c>
      <c r="R90" s="39"/>
      <c r="S90" s="39" t="n">
        <v>1</v>
      </c>
      <c r="T90" s="39" t="s">
        <v>123</v>
      </c>
      <c r="U90" s="39"/>
      <c r="V90" s="47" t="n">
        <v>1</v>
      </c>
      <c r="W90" s="39" t="s">
        <v>86</v>
      </c>
      <c r="X90" s="39" t="s">
        <v>413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417</v>
      </c>
      <c r="N91" s="55" t="n">
        <v>46268</v>
      </c>
      <c r="O91" s="55" t="n">
        <v>46270</v>
      </c>
      <c r="P91" s="50" t="s">
        <v>122</v>
      </c>
      <c r="Q91" s="52" t="n">
        <v>1</v>
      </c>
      <c r="R91" s="52"/>
      <c r="S91" s="52" t="n">
        <v>2</v>
      </c>
      <c r="T91" s="52" t="s">
        <v>123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421</v>
      </c>
      <c r="N92" s="55" t="n">
        <v>46270</v>
      </c>
      <c r="O92" s="55" t="n">
        <v>46271</v>
      </c>
      <c r="P92" s="50" t="s">
        <v>122</v>
      </c>
      <c r="Q92" s="52" t="n">
        <v>-2</v>
      </c>
      <c r="R92" s="52"/>
      <c r="S92" s="52" t="n">
        <v>2</v>
      </c>
      <c r="T92" s="52" t="s">
        <v>123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425</v>
      </c>
      <c r="N93" s="55" t="n">
        <v>46268</v>
      </c>
      <c r="O93" s="55" t="n">
        <v>46270</v>
      </c>
      <c r="P93" s="50" t="s">
        <v>122</v>
      </c>
      <c r="Q93" s="52" t="n">
        <v>2</v>
      </c>
      <c r="R93" s="52"/>
      <c r="S93" s="52" t="n">
        <v>2</v>
      </c>
      <c r="T93" s="52" t="s">
        <v>123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429</v>
      </c>
      <c r="N94" s="55" t="n">
        <v>46270</v>
      </c>
      <c r="O94" s="55" t="n">
        <v>46271</v>
      </c>
      <c r="P94" s="50" t="s">
        <v>122</v>
      </c>
      <c r="Q94" s="52" t="n">
        <v>-2</v>
      </c>
      <c r="R94" s="52"/>
      <c r="S94" s="52" t="n">
        <v>2</v>
      </c>
      <c r="T94" s="52" t="s">
        <v>123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433</v>
      </c>
      <c r="N95" s="55" t="n">
        <v>46271</v>
      </c>
      <c r="O95" s="55" t="n">
        <v>46271</v>
      </c>
      <c r="P95" s="50" t="s">
        <v>122</v>
      </c>
      <c r="Q95" s="52" t="n">
        <v>-2</v>
      </c>
      <c r="R95" s="52"/>
      <c r="S95" s="52" t="n">
        <v>2</v>
      </c>
      <c r="T95" s="52" t="s">
        <v>123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175</v>
      </c>
      <c r="N96" s="44" t="n">
        <v>46269</v>
      </c>
      <c r="O96" s="45" t="n">
        <v>46271</v>
      </c>
      <c r="P96" s="46" t="s">
        <v>176</v>
      </c>
      <c r="Q96" s="37" t="n">
        <v>-2</v>
      </c>
      <c r="R96" s="39"/>
      <c r="S96" s="39" t="n">
        <v>1</v>
      </c>
      <c r="T96" s="39" t="s">
        <v>123</v>
      </c>
      <c r="U96" s="39"/>
      <c r="V96" s="47" t="n">
        <v>1</v>
      </c>
      <c r="W96" s="39" t="s">
        <v>86</v>
      </c>
      <c r="X96" s="38" t="s">
        <v>436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440</v>
      </c>
      <c r="N97" s="55" t="n">
        <v>46269</v>
      </c>
      <c r="O97" s="55" t="n">
        <v>46271</v>
      </c>
      <c r="P97" s="50" t="s">
        <v>122</v>
      </c>
      <c r="Q97" s="52" t="n">
        <v>-1</v>
      </c>
      <c r="R97" s="52"/>
      <c r="S97" s="52" t="n">
        <v>2</v>
      </c>
      <c r="T97" s="52" t="s">
        <v>123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444</v>
      </c>
      <c r="N98" s="55" t="n">
        <v>46270</v>
      </c>
      <c r="O98" s="55" t="n">
        <v>46271</v>
      </c>
      <c r="P98" s="50" t="s">
        <v>122</v>
      </c>
      <c r="Q98" s="52" t="n">
        <v>-2</v>
      </c>
      <c r="R98" s="52"/>
      <c r="S98" s="52" t="n">
        <v>2</v>
      </c>
      <c r="T98" s="52" t="s">
        <v>123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448</v>
      </c>
      <c r="N99" s="55" t="n">
        <v>46271</v>
      </c>
      <c r="O99" s="55" t="n">
        <v>46271</v>
      </c>
      <c r="P99" s="50" t="s">
        <v>122</v>
      </c>
      <c r="Q99" s="52" t="n">
        <v>-2</v>
      </c>
      <c r="R99" s="52"/>
      <c r="S99" s="52" t="n">
        <v>2</v>
      </c>
      <c r="T99" s="52" t="s">
        <v>123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298</v>
      </c>
      <c r="E100" s="40" t="n">
        <v>5</v>
      </c>
      <c r="F100" s="39" t="s">
        <v>452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175</v>
      </c>
      <c r="N100" s="44" t="n">
        <v>46270</v>
      </c>
      <c r="O100" s="45" t="n">
        <v>46272</v>
      </c>
      <c r="P100" s="46" t="s">
        <v>176</v>
      </c>
      <c r="Q100" s="37" t="n">
        <v>-2</v>
      </c>
      <c r="R100" s="39"/>
      <c r="S100" s="39" t="n">
        <v>1</v>
      </c>
      <c r="T100" s="39" t="s">
        <v>123</v>
      </c>
      <c r="U100" s="39"/>
      <c r="V100" s="47" t="n">
        <v>1</v>
      </c>
      <c r="W100" s="39" t="s">
        <v>86</v>
      </c>
      <c r="X100" s="39" t="s">
        <v>453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46269</v>
      </c>
      <c r="J101" s="53" t="n">
        <v>46270</v>
      </c>
      <c r="K101" s="52"/>
      <c r="L101" s="52"/>
      <c r="M101" s="61"/>
      <c r="N101" s="55" t="n">
        <v>46270</v>
      </c>
      <c r="O101" s="55" t="n">
        <v>46270</v>
      </c>
      <c r="P101" s="50" t="s">
        <v>122</v>
      </c>
      <c r="Q101" s="52" t="n">
        <v>0</v>
      </c>
      <c r="R101" s="52"/>
      <c r="S101" s="52" t="n">
        <v>2</v>
      </c>
      <c r="T101" s="52" t="s">
        <v>123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2</v>
      </c>
      <c r="F102" s="52"/>
      <c r="G102" s="52"/>
      <c r="H102" s="52"/>
      <c r="I102" s="53" t="n">
        <v>46270</v>
      </c>
      <c r="J102" s="53" t="n">
        <v>46273</v>
      </c>
      <c r="K102" s="52"/>
      <c r="L102" s="52"/>
      <c r="M102" s="54" t="s">
        <v>459</v>
      </c>
      <c r="N102" s="55" t="n">
        <v>46270</v>
      </c>
      <c r="O102" s="55" t="n">
        <v>46271</v>
      </c>
      <c r="P102" s="50" t="s">
        <v>122</v>
      </c>
      <c r="Q102" s="52" t="n">
        <v>-2</v>
      </c>
      <c r="R102" s="52"/>
      <c r="S102" s="52" t="n">
        <v>2</v>
      </c>
      <c r="T102" s="52" t="s">
        <v>123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466</v>
      </c>
      <c r="N104" s="55" t="n">
        <v>46271</v>
      </c>
      <c r="O104" s="55" t="n">
        <v>46272</v>
      </c>
      <c r="P104" s="50" t="s">
        <v>122</v>
      </c>
      <c r="Q104" s="52" t="n">
        <v>-1</v>
      </c>
      <c r="R104" s="52"/>
      <c r="S104" s="52" t="n">
        <v>2</v>
      </c>
      <c r="T104" s="52" t="s">
        <v>123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470</v>
      </c>
      <c r="N105" s="55" t="n">
        <v>46271</v>
      </c>
      <c r="O105" s="55" t="n">
        <v>46272</v>
      </c>
      <c r="P105" s="50" t="s">
        <v>122</v>
      </c>
      <c r="Q105" s="52" t="n">
        <v>-2</v>
      </c>
      <c r="R105" s="52"/>
      <c r="S105" s="52" t="n">
        <v>2</v>
      </c>
      <c r="T105" s="52" t="s">
        <v>123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474</v>
      </c>
      <c r="N106" s="55" t="n">
        <v>46272</v>
      </c>
      <c r="O106" s="55" t="n">
        <v>46272</v>
      </c>
      <c r="P106" s="50" t="s">
        <v>122</v>
      </c>
      <c r="Q106" s="52" t="n">
        <v>-2</v>
      </c>
      <c r="R106" s="52"/>
      <c r="S106" s="52" t="n">
        <v>2</v>
      </c>
      <c r="T106" s="52" t="s">
        <v>123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298</v>
      </c>
      <c r="E107" s="40" t="n">
        <v>2.5</v>
      </c>
      <c r="F107" s="39" t="s">
        <v>452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175</v>
      </c>
      <c r="N107" s="44" t="n">
        <v>46271</v>
      </c>
      <c r="O107" s="45" t="n">
        <v>46272</v>
      </c>
      <c r="P107" s="46" t="s">
        <v>176</v>
      </c>
      <c r="Q107" s="37" t="n">
        <v>-3</v>
      </c>
      <c r="R107" s="39"/>
      <c r="S107" s="39" t="n">
        <v>1</v>
      </c>
      <c r="T107" s="39" t="s">
        <v>123</v>
      </c>
      <c r="U107" s="39"/>
      <c r="V107" s="47" t="n">
        <v>1</v>
      </c>
      <c r="W107" s="39" t="s">
        <v>86</v>
      </c>
      <c r="X107" s="39" t="s">
        <v>477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481</v>
      </c>
      <c r="N108" s="55" t="n">
        <v>46271</v>
      </c>
      <c r="O108" s="55" t="n">
        <v>46272</v>
      </c>
      <c r="P108" s="50" t="s">
        <v>122</v>
      </c>
      <c r="Q108" s="52" t="n">
        <v>-2</v>
      </c>
      <c r="R108" s="52"/>
      <c r="S108" s="52" t="n">
        <v>2</v>
      </c>
      <c r="T108" s="52" t="s">
        <v>123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485</v>
      </c>
      <c r="N109" s="55" t="n">
        <v>46272</v>
      </c>
      <c r="O109" s="55" t="n">
        <v>46272</v>
      </c>
      <c r="P109" s="50" t="s">
        <v>122</v>
      </c>
      <c r="Q109" s="52" t="n">
        <v>-3</v>
      </c>
      <c r="R109" s="52"/>
      <c r="S109" s="52" t="n">
        <v>2</v>
      </c>
      <c r="T109" s="52" t="s">
        <v>123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489</v>
      </c>
      <c r="N110" s="55" t="n">
        <v>46271</v>
      </c>
      <c r="O110" s="55" t="n">
        <v>46272</v>
      </c>
      <c r="P110" s="50" t="s">
        <v>122</v>
      </c>
      <c r="Q110" s="52" t="n">
        <v>-2</v>
      </c>
      <c r="R110" s="52"/>
      <c r="S110" s="52" t="n">
        <v>2</v>
      </c>
      <c r="T110" s="52" t="s">
        <v>123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 t="s">
        <v>492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46273</v>
      </c>
      <c r="M111" s="43"/>
      <c r="N111" s="44" t="n">
        <v>46273</v>
      </c>
      <c r="O111" s="45" t="n">
        <v>46273</v>
      </c>
      <c r="P111" s="46" t="s">
        <v>60</v>
      </c>
      <c r="Q111" s="37" t="n">
        <v>-3</v>
      </c>
      <c r="R111" s="39"/>
      <c r="S111" s="39" t="n">
        <v>1</v>
      </c>
      <c r="T111" s="39" t="s">
        <v>114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498</v>
      </c>
      <c r="N112" s="55" t="n">
        <v>46273</v>
      </c>
      <c r="O112" s="55" t="n">
        <v>46273</v>
      </c>
      <c r="P112" s="50" t="s">
        <v>122</v>
      </c>
      <c r="Q112" s="52" t="n">
        <v>-3</v>
      </c>
      <c r="R112" s="52"/>
      <c r="S112" s="52" t="n">
        <v>2</v>
      </c>
      <c r="T112" s="52" t="s">
        <v>123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502</v>
      </c>
      <c r="N113" s="55" t="n">
        <v>46273</v>
      </c>
      <c r="O113" s="55" t="n">
        <v>46273</v>
      </c>
      <c r="P113" s="50" t="s">
        <v>122</v>
      </c>
      <c r="Q113" s="52" t="n">
        <v>-3</v>
      </c>
      <c r="R113" s="52"/>
      <c r="S113" s="52" t="n">
        <v>2</v>
      </c>
      <c r="T113" s="52" t="s">
        <v>123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46269</v>
      </c>
      <c r="O114" s="33" t="n">
        <v>46419</v>
      </c>
      <c r="P114" s="34" t="s">
        <v>75</v>
      </c>
      <c r="Q114" s="31" t="n">
        <v>80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46345</v>
      </c>
      <c r="O115" s="45" t="n">
        <v>46345</v>
      </c>
      <c r="P115" s="46" t="s">
        <v>276</v>
      </c>
      <c r="Q115" s="37" t="n">
        <v>66</v>
      </c>
      <c r="R115" s="39"/>
      <c r="S115" s="39" t="n">
        <v>1</v>
      </c>
      <c r="T115" s="39" t="s">
        <v>277</v>
      </c>
      <c r="U115" s="58" t="n">
        <v>46345.0115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512</v>
      </c>
      <c r="N116" s="55" t="n">
        <v>46345</v>
      </c>
      <c r="O116" s="55" t="n">
        <v>46345</v>
      </c>
      <c r="P116" s="50" t="s">
        <v>276</v>
      </c>
      <c r="Q116" s="52" t="n">
        <v>68</v>
      </c>
      <c r="R116" s="52"/>
      <c r="S116" s="52" t="n">
        <v>2</v>
      </c>
      <c r="T116" s="52" t="s">
        <v>277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516</v>
      </c>
      <c r="N117" s="55" t="n">
        <v>46345</v>
      </c>
      <c r="O117" s="55" t="n">
        <v>46345</v>
      </c>
      <c r="P117" s="50" t="s">
        <v>276</v>
      </c>
      <c r="Q117" s="52" t="n">
        <v>67</v>
      </c>
      <c r="R117" s="52"/>
      <c r="S117" s="52" t="n">
        <v>2</v>
      </c>
      <c r="T117" s="52" t="s">
        <v>277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520</v>
      </c>
      <c r="N118" s="55" t="n">
        <v>46345</v>
      </c>
      <c r="O118" s="55" t="n">
        <v>46345</v>
      </c>
      <c r="P118" s="50" t="s">
        <v>276</v>
      </c>
      <c r="Q118" s="52" t="n">
        <v>67</v>
      </c>
      <c r="R118" s="52"/>
      <c r="S118" s="52" t="n">
        <v>2</v>
      </c>
      <c r="T118" s="52" t="s">
        <v>277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524</v>
      </c>
      <c r="N119" s="55" t="n">
        <v>46345</v>
      </c>
      <c r="O119" s="55" t="n">
        <v>46345</v>
      </c>
      <c r="P119" s="50" t="s">
        <v>276</v>
      </c>
      <c r="Q119" s="52" t="n">
        <v>67</v>
      </c>
      <c r="R119" s="52"/>
      <c r="S119" s="52" t="n">
        <v>2</v>
      </c>
      <c r="T119" s="52" t="s">
        <v>277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528</v>
      </c>
      <c r="N120" s="55" t="n">
        <v>46345</v>
      </c>
      <c r="O120" s="55" t="n">
        <v>46345</v>
      </c>
      <c r="P120" s="50" t="s">
        <v>276</v>
      </c>
      <c r="Q120" s="52" t="n">
        <v>66</v>
      </c>
      <c r="R120" s="52"/>
      <c r="S120" s="52" t="n">
        <v>2</v>
      </c>
      <c r="T120" s="52" t="s">
        <v>277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532</v>
      </c>
      <c r="N121" s="55" t="n">
        <v>46345</v>
      </c>
      <c r="O121" s="55" t="n">
        <v>46345</v>
      </c>
      <c r="P121" s="50" t="s">
        <v>276</v>
      </c>
      <c r="Q121" s="52" t="n">
        <v>66</v>
      </c>
      <c r="R121" s="52"/>
      <c r="S121" s="52" t="n">
        <v>2</v>
      </c>
      <c r="T121" s="52" t="s">
        <v>277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46328</v>
      </c>
      <c r="O122" s="45" t="n">
        <v>46328</v>
      </c>
      <c r="P122" s="46" t="s">
        <v>276</v>
      </c>
      <c r="Q122" s="37" t="n">
        <v>49</v>
      </c>
      <c r="R122" s="39"/>
      <c r="S122" s="39" t="n">
        <v>1</v>
      </c>
      <c r="T122" s="39" t="s">
        <v>277</v>
      </c>
      <c r="U122" s="58" t="n">
        <v>46328.0122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-6</v>
      </c>
      <c r="R123" s="39"/>
      <c r="S123" s="39" t="n">
        <v>1</v>
      </c>
      <c r="T123" s="39" t="s">
        <v>114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46406</v>
      </c>
      <c r="O124" s="45" t="n">
        <v>46419</v>
      </c>
      <c r="P124" s="46" t="s">
        <v>276</v>
      </c>
      <c r="Q124" s="37" t="n">
        <v>80</v>
      </c>
      <c r="R124" s="39"/>
      <c r="S124" s="39" t="n">
        <v>1</v>
      </c>
      <c r="T124" s="39" t="s">
        <v>277</v>
      </c>
      <c r="U124" s="58" t="n">
        <v>46406.0124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547</v>
      </c>
      <c r="N125" s="55" t="n">
        <v>46406</v>
      </c>
      <c r="O125" s="55" t="n">
        <v>46410</v>
      </c>
      <c r="P125" s="50" t="s">
        <v>276</v>
      </c>
      <c r="Q125" s="52" t="n">
        <v>80</v>
      </c>
      <c r="R125" s="52"/>
      <c r="S125" s="52" t="n">
        <v>2</v>
      </c>
      <c r="T125" s="52" t="s">
        <v>277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551</v>
      </c>
      <c r="N126" s="55" t="n">
        <v>46409</v>
      </c>
      <c r="O126" s="55" t="n">
        <v>46416</v>
      </c>
      <c r="P126" s="50" t="s">
        <v>276</v>
      </c>
      <c r="Q126" s="52" t="n">
        <v>80</v>
      </c>
      <c r="R126" s="52"/>
      <c r="S126" s="52" t="n">
        <v>2</v>
      </c>
      <c r="T126" s="52" t="s">
        <v>277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555</v>
      </c>
      <c r="N127" s="55" t="n">
        <v>46416</v>
      </c>
      <c r="O127" s="55" t="n">
        <v>46419</v>
      </c>
      <c r="P127" s="50" t="s">
        <v>276</v>
      </c>
      <c r="Q127" s="52" t="n">
        <v>80</v>
      </c>
      <c r="R127" s="52"/>
      <c r="S127" s="52" t="n">
        <v>2</v>
      </c>
      <c r="T127" s="52" t="s">
        <v>277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/>
      <c r="M128" s="43"/>
      <c r="N128" s="44" t="n">
        <v>46352</v>
      </c>
      <c r="O128" s="45" t="n">
        <v>46352</v>
      </c>
      <c r="P128" s="46" t="s">
        <v>276</v>
      </c>
      <c r="Q128" s="37" t="n">
        <v>63</v>
      </c>
      <c r="R128" s="39"/>
      <c r="S128" s="39" t="n">
        <v>1</v>
      </c>
      <c r="T128" s="39" t="s">
        <v>277</v>
      </c>
      <c r="U128" s="58" t="n">
        <v>46352.0128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46353</v>
      </c>
      <c r="O129" s="45" t="n">
        <v>46353</v>
      </c>
      <c r="P129" s="46" t="s">
        <v>276</v>
      </c>
      <c r="Q129" s="37" t="n">
        <v>64</v>
      </c>
      <c r="R129" s="39"/>
      <c r="S129" s="39" t="n">
        <v>1</v>
      </c>
      <c r="T129" s="39" t="s">
        <v>277</v>
      </c>
      <c r="U129" s="58" t="n">
        <v>46353.0129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 t="s">
        <v>563</v>
      </c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46353</v>
      </c>
      <c r="O130" s="45" t="n">
        <v>46357</v>
      </c>
      <c r="P130" s="46" t="s">
        <v>276</v>
      </c>
      <c r="Q130" s="37" t="n">
        <v>68</v>
      </c>
      <c r="R130" s="39"/>
      <c r="S130" s="39" t="n">
        <v>1</v>
      </c>
      <c r="T130" s="39" t="s">
        <v>277</v>
      </c>
      <c r="U130" s="58" t="n">
        <v>46353.013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46401</v>
      </c>
      <c r="O131" s="45" t="n">
        <v>46405</v>
      </c>
      <c r="P131" s="46" t="s">
        <v>276</v>
      </c>
      <c r="Q131" s="37" t="n">
        <v>80</v>
      </c>
      <c r="R131" s="39"/>
      <c r="S131" s="39" t="n">
        <v>1</v>
      </c>
      <c r="T131" s="39" t="s">
        <v>277</v>
      </c>
      <c r="U131" s="58" t="n">
        <v>46401.0131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566</v>
      </c>
      <c r="D134" s="6" t="s">
        <v>567</v>
      </c>
    </row>
    <row r="135" customFormat="false" ht="15" hidden="false" customHeight="true" outlineLevel="0" collapsed="false">
      <c r="B135" s="63" t="s">
        <v>568</v>
      </c>
      <c r="D135" s="63" t="s">
        <v>569</v>
      </c>
      <c r="E135" s="63" t="s">
        <v>570</v>
      </c>
      <c r="I135" s="64" t="s">
        <v>571</v>
      </c>
      <c r="J135" s="64" t="s">
        <v>572</v>
      </c>
      <c r="K135" s="64" t="s">
        <v>573</v>
      </c>
      <c r="L135" s="64" t="s">
        <v>574</v>
      </c>
      <c r="O135" s="63" t="s">
        <v>575</v>
      </c>
      <c r="P135" s="63" t="s">
        <v>576</v>
      </c>
    </row>
    <row r="136" customFormat="false" ht="15" hidden="false" customHeight="true" outlineLevel="0" collapsed="false">
      <c r="B136" s="65" t="s">
        <v>577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578</v>
      </c>
    </row>
    <row r="137" customFormat="false" ht="15" hidden="false" customHeight="true" outlineLevel="0" collapsed="false">
      <c r="B137" s="65" t="s">
        <v>579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580</v>
      </c>
    </row>
    <row r="138" customFormat="false" ht="15" hidden="false" customHeight="true" outlineLevel="0" collapsed="false">
      <c r="B138" s="65" t="s">
        <v>581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582</v>
      </c>
    </row>
    <row r="139" customFormat="false" ht="15" hidden="false" customHeight="true" outlineLevel="0" collapsed="false">
      <c r="B139" s="65" t="s">
        <v>583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584</v>
      </c>
    </row>
    <row r="140" customFormat="false" ht="15" hidden="false" customHeight="true" outlineLevel="0" collapsed="false">
      <c r="B140" s="65" t="s">
        <v>585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586</v>
      </c>
    </row>
    <row r="141" customFormat="false" ht="15" hidden="false" customHeight="true" outlineLevel="0" collapsed="false">
      <c r="B141" s="70" t="s">
        <v>587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588</v>
      </c>
    </row>
    <row r="142" customFormat="false" ht="15" hidden="false" customHeight="true" outlineLevel="0" collapsed="false">
      <c r="B142" s="72" t="s">
        <v>589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7" t="s">
        <v>591</v>
      </c>
    </row>
    <row r="146" customFormat="false" ht="15" hidden="false" customHeight="true" outlineLevel="0" collapsed="false">
      <c r="B146" s="17" t="s">
        <v>592</v>
      </c>
      <c r="D146" s="78" t="s">
        <v>593</v>
      </c>
      <c r="E146" s="78"/>
      <c r="F146" s="78"/>
      <c r="G146" s="78"/>
      <c r="H146" s="78"/>
      <c r="I146" s="78"/>
      <c r="J146" s="78"/>
      <c r="K146" s="19" t="s">
        <v>594</v>
      </c>
    </row>
    <row r="147" customFormat="false" ht="15" hidden="false" customHeight="true" outlineLevel="0" collapsed="false">
      <c r="B147" s="79" t="s">
        <v>595</v>
      </c>
      <c r="E147" s="80" t="s">
        <v>596</v>
      </c>
      <c r="I147" s="79" t="s">
        <v>597</v>
      </c>
    </row>
    <row r="148" customFormat="false" ht="24" hidden="false" customHeight="true" outlineLevel="0" collapsed="false">
      <c r="A148" s="81" t="s">
        <v>598</v>
      </c>
      <c r="B148" s="82" t="s">
        <v>599</v>
      </c>
      <c r="E148" s="83" t="n">
        <v>5</v>
      </c>
      <c r="I148" s="61" t="s">
        <v>175</v>
      </c>
    </row>
    <row r="149" customFormat="false" ht="24" hidden="false" customHeight="true" outlineLevel="0" collapsed="false">
      <c r="A149" s="81" t="s">
        <v>600</v>
      </c>
      <c r="B149" s="82" t="s">
        <v>601</v>
      </c>
      <c r="E149" s="83" t="n">
        <v>20</v>
      </c>
      <c r="I149" s="61" t="s">
        <v>175</v>
      </c>
    </row>
    <row r="150" customFormat="false" ht="24" hidden="false" customHeight="true" outlineLevel="0" collapsed="false">
      <c r="A150" s="81" t="s">
        <v>602</v>
      </c>
      <c r="B150" s="82" t="s">
        <v>603</v>
      </c>
      <c r="E150" s="83" t="n">
        <v>30</v>
      </c>
      <c r="I150" s="61" t="s">
        <v>175</v>
      </c>
    </row>
    <row r="151" customFormat="false" ht="24" hidden="false" customHeight="true" outlineLevel="0" collapsed="false">
      <c r="A151" s="81" t="s">
        <v>604</v>
      </c>
      <c r="B151" s="82" t="s">
        <v>605</v>
      </c>
      <c r="E151" s="83" t="n">
        <v>25</v>
      </c>
      <c r="I151" s="61" t="s">
        <v>175</v>
      </c>
    </row>
    <row r="152" customFormat="false" ht="24" hidden="false" customHeight="true" outlineLevel="0" collapsed="false">
      <c r="A152" s="81" t="s">
        <v>606</v>
      </c>
      <c r="B152" s="82" t="s">
        <v>607</v>
      </c>
      <c r="E152" s="83" t="n">
        <v>10</v>
      </c>
      <c r="I152" s="61" t="s">
        <v>175</v>
      </c>
    </row>
    <row r="153" customFormat="false" ht="24" hidden="false" customHeight="true" outlineLevel="0" collapsed="false">
      <c r="A153" s="81" t="s">
        <v>608</v>
      </c>
      <c r="B153" s="82" t="s">
        <v>609</v>
      </c>
      <c r="E153" s="83" t="n">
        <v>10</v>
      </c>
      <c r="I153" s="61" t="s">
        <v>175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171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172</v>
      </c>
      <c r="B8" s="95" t="s">
        <v>642</v>
      </c>
      <c r="C8" s="95" t="s">
        <v>643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46213</v>
      </c>
      <c r="F9" s="99" t="n">
        <v>46213</v>
      </c>
      <c r="G9" s="100"/>
      <c r="H9" s="101"/>
      <c r="I9" s="101"/>
      <c r="J9" s="101"/>
      <c r="K9" s="101"/>
      <c r="L9" s="101"/>
      <c r="M9" s="101"/>
      <c r="N9" s="101"/>
      <c r="O9" s="101" t="n">
        <v>0.5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645</v>
      </c>
      <c r="C10" s="95" t="s">
        <v>643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46219</v>
      </c>
      <c r="F11" s="99" t="n">
        <v>46228</v>
      </c>
      <c r="G11" s="100"/>
      <c r="H11" s="101"/>
      <c r="I11" s="101"/>
      <c r="J11" s="101"/>
      <c r="K11" s="101"/>
      <c r="L11" s="101"/>
      <c r="M11" s="101"/>
      <c r="N11" s="101"/>
      <c r="O11" s="101"/>
      <c r="P11" s="101" t="n">
        <v>0.5</v>
      </c>
      <c r="Q11" s="101" t="n">
        <v>0.5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646</v>
      </c>
      <c r="C12" s="95" t="s">
        <v>643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647</v>
      </c>
      <c r="C14" s="95" t="s">
        <v>643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46220</v>
      </c>
      <c r="F15" s="99" t="n">
        <v>46233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0.5</v>
      </c>
      <c r="Q15" s="101" t="n">
        <v>0.5</v>
      </c>
      <c r="R15" s="101" t="n">
        <v>0.5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652</v>
      </c>
      <c r="C23" s="95" t="s">
        <v>643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46255</v>
      </c>
      <c r="F24" s="99" t="n">
        <v>46264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653</v>
      </c>
      <c r="C25" s="95" t="s">
        <v>643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46267</v>
      </c>
      <c r="F26" s="99" t="n">
        <v>46270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654</v>
      </c>
      <c r="C27" s="95" t="s">
        <v>643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46268</v>
      </c>
      <c r="F28" s="99" t="n">
        <v>46271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655</v>
      </c>
      <c r="C29" s="95" t="s">
        <v>643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46269</v>
      </c>
      <c r="F30" s="99" t="n">
        <v>46271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 t="n">
        <v>2.5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656</v>
      </c>
      <c r="C31" s="95" t="s">
        <v>643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46267</v>
      </c>
      <c r="F32" s="99" t="n">
        <v>46270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 t="n">
        <v>15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657</v>
      </c>
      <c r="C33" s="95" t="s">
        <v>643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46268</v>
      </c>
      <c r="F34" s="99" t="n">
        <v>46271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 t="n">
        <v>10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658</v>
      </c>
      <c r="C35" s="95" t="s">
        <v>643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46269</v>
      </c>
      <c r="F36" s="99" t="n">
        <v>46271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659</v>
      </c>
      <c r="C37" s="95" t="s">
        <v>643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46270</v>
      </c>
      <c r="F38" s="99" t="n">
        <v>46272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2.5</v>
      </c>
      <c r="X38" s="101" t="n">
        <v>2.5</v>
      </c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660</v>
      </c>
      <c r="C39" s="95" t="s">
        <v>643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46271</v>
      </c>
      <c r="F40" s="99" t="n">
        <v>46272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1.25</v>
      </c>
      <c r="X40" s="101" t="n">
        <v>1.25</v>
      </c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662</v>
      </c>
      <c r="C42" s="95" t="s">
        <v>643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663</v>
      </c>
      <c r="C44" s="95" t="s">
        <v>643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1</v>
      </c>
      <c r="Q48" s="103" t="n">
        <f aca="false">SUMIF($C$7:$C$45,"Actual",Q$7:Q$45)</f>
        <v>1</v>
      </c>
      <c r="R48" s="103" t="n">
        <f aca="false">SUMIF($C$7:$C$45,"Actual",R$7:R$45)</f>
        <v>0.5</v>
      </c>
      <c r="S48" s="103" t="n">
        <f aca="false">SUMIF($C$7:$C$45,"Actual",S$7:S$45)</f>
        <v>0.5</v>
      </c>
      <c r="T48" s="103" t="n">
        <f aca="false">SUMIF($C$7:$C$45,"Actual",T$7:T$45)</f>
        <v>0</v>
      </c>
      <c r="U48" s="103" t="n">
        <f aca="false">SUMIF($C$7:$C$45,"Actual",U$7:U$45)</f>
        <v>10</v>
      </c>
      <c r="V48" s="103" t="n">
        <f aca="false">SUMIF($C$7:$C$45,"Actual",V$7:V$45)</f>
        <v>10</v>
      </c>
      <c r="W48" s="103" t="n">
        <f aca="false">SUMIF($C$7:$C$45,"Actual",W$7:W$45)</f>
        <v>66.25</v>
      </c>
      <c r="X48" s="103" t="n">
        <f aca="false">SUMIF($C$7:$C$45,"Actual",X$7:X$45)</f>
        <v>3.75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1.5</v>
      </c>
      <c r="Q50" s="105" t="n">
        <f aca="false">IF(Q$6&gt;46314,"",P50+Q48)</f>
        <v>2.5</v>
      </c>
      <c r="R50" s="105" t="n">
        <f aca="false">IF(R$6&gt;46314,"",Q50+R48)</f>
        <v>3</v>
      </c>
      <c r="S50" s="105" t="n">
        <f aca="false">IF(S$6&gt;46314,"",R50+S48)</f>
        <v>3.5</v>
      </c>
      <c r="T50" s="105" t="n">
        <f aca="false">IF(T$6&gt;46314,"",S50+T48)</f>
        <v>3.5</v>
      </c>
      <c r="U50" s="105" t="n">
        <f aca="false">IF(U$6&gt;46314,"",T50+U48)</f>
        <v>13.5</v>
      </c>
      <c r="V50" s="105" t="n">
        <f aca="false">IF(V$6&gt;46314,"",U50+V48)</f>
        <v>23.5</v>
      </c>
      <c r="W50" s="105" t="n">
        <f aca="false">IF(W$6&gt;46314,"",V50+W48)</f>
        <v>89.75</v>
      </c>
      <c r="X50" s="105" t="n">
        <f aca="false">IF(X$6&gt;46314,"",W50+X48)</f>
        <v>93.5</v>
      </c>
      <c r="Y50" s="105" t="n">
        <f aca="false">IF(Y$6&gt;46314,"",X50+Y48)</f>
        <v>93.5</v>
      </c>
      <c r="Z50" s="105" t="n">
        <f aca="false">IF(Z$6&gt;46314,"",Y50+Z48)</f>
        <v>93.5</v>
      </c>
      <c r="AA50" s="105" t="n">
        <f aca="false">IF(AA$6&gt;46314,"",Z50+AA48)</f>
        <v>93.5</v>
      </c>
      <c r="AB50" s="105" t="n">
        <f aca="false">IF(AB$6&gt;46314,"",AA50+AB48)</f>
        <v>93.5</v>
      </c>
      <c r="AC50" s="105" t="n">
        <f aca="false">IF(AC$6&gt;46314,"",AB50+AC48)</f>
        <v>93.5</v>
      </c>
      <c r="AD50" s="105" t="n">
        <f aca="false">IF(AD$6&gt;46314,"",AC50+AD48)</f>
        <v>93.5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2026-10-26T04:43:11Z</dcterms:created>
  <dc:creator>openpyxl</dc:creator>
  <dc:description/>
  <dc:language>en-US</dc:language>
  <cp:lastModifiedBy/>
  <dcterms:modified xsi:type="dcterms:W3CDTF">2026-10-26T11:46:52Z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