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<sst xmlns="http://schemas.openxmlformats.org/spreadsheetml/2006/main" count="1301" uniqueCount="674">
  <si>
    <t xml:space="preserve">แผนโครงการ P4-020 – สถานีผลิตน้ำปลายคลอง 1 248.52 kWp</t>
  </si>
  <si>
    <t xml:space="preserve">กปภ.สาขาตราด, ภาคเหนือ-กลาง, กฟภ. เขต ก.2, Inverter 250 kW (ต้องยื่น พค.2), Zero export HV, คำขอ PPIM1A506544, วิศวกร ต้า, Admin กิ่ง,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</si>
  <si>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</si>
  <si>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</si>
  <si>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</si>
  <si>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</si>
  <si>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</si>
  <si>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</si>
  <si>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</si>
  <si>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</si>
  <si>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</si>
  <si>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</si>
  <si>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</si>
  <si>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</si>
  <si>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</si>
  <si>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</si>
  <si>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</si>
  <si>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</si>
  <si>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</si>
  <si>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</si>
  <si>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</si>
  <si>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</si>
  <si>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</si>
  <si>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</si>
  <si>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</si>
  <si>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</si>
  <si>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</si>
  <si>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</si>
  <si>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</si>
  <si>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</si>
  <si>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</si>
  <si>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</si>
  <si>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</si>
  <si>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</si>
  <si>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</si>
  <si>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</si>
  <si>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</si>
  <si>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</si>
  <si>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</si>
  <si>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</si>
  <si>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</si>
  <si>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</si>
  <si>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</si>
  <si>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</si>
  <si>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</si>
  <si>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</si>
  <si>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</si>
  <si>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</si>
  <si>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</si>
  <si>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</si>
  <si>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</si>
  <si>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</si>
  <si>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</si>
  <si>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</si>
  <si>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</si>
  <si>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</si>
  <si>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</si>
  <si>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</si>
  <si>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</si>
  <si>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</si>
  <si>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</si>
  <si>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</si>
  <si>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</si>
  <si>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</si>
  <si>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</si>
  <si>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</si>
  <si>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</si>
  <si>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</si>
  <si>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</si>
  <si>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</si>
  <si>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</si>
  <si>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</si>
  <si>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</si>
  <si>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</si>
  <si>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</si>
  <si>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</si>
  <si>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</si>
  <si>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</si>
  <si>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</si>
  <si>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</si>
  <si>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</si>
  <si>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</si>
  <si>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</si>
  <si>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</si>
  <si>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</si>
  <si>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</si>
  <si>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</si>
  <si>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</si>
  <si>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</si>
  <si>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</si>
  <si>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</si>
  <si>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</si>
  <si>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</si>
  <si>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</si>
  <si>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</si>
  <si>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</si>
  <si>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</si>
  <si>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</si>
  <si>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</si>
  <si>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</si>
  <si>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</si>
  <si>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</si>
  <si>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</si>
  <si>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</si>
  <si>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</si>
  <si>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</si>
  <si>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</si>
  <si>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</si>
  <si>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</si>
  <si>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</si>
  <si>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</si>
  <si>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</si>
  <si>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</si>
  <si>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</si>
  <si>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</si>
  <si>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</si>
  <si>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</si>
  <si>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</si>
  <si>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</si>
  <si>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</si>
  <si>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</si>
  <si>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</si>
  <si>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</si>
  <si>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</si>
  <si>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</si>
  <si>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</si>
  <si>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</si>
  <si>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</si>
  <si>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</si>
  <si>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</si>
  <si>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</si>
  <si>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</si>
  <si>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</si>
  <si>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</si>
  <si>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</si>
  <si>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</si>
  <si>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</si>
  <si>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</si>
  <si>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</si>
  <si>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</si>
  <si>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</si>
  <si>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</si>
  <si>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</si>
  <si>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</si>
  <si>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</si>
  <si>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</si>
  <si>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</si>
  <si>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</si>
  <si>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</si>
  <si>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</si>
  <si>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</si>
  <si>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</si>
  <si>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</t>
    </r>
  </si>
  <si>
    <t xml:space="preserve">0.3</t>
  </si>
  <si>
    <t xml:space="preserve">หนังสือแจ้งขอดับไฟ</t>
  </si>
  <si>
    <t xml:space="preserve">TC-PML-2026-397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</si>
  <si>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</si>
  <si>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</si>
  <si>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</si>
  <si>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</si>
  <si>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</si>
  <si>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</si>
  <si>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</si>
  <si>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</si>
  <si>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</si>
  <si>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</si>
  <si>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</si>
  <si>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</si>
  <si>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</si>
  <si>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</si>
  <si>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</si>
  <si>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</si>
  <si>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</si>
  <si>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</si>
  <si>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</si>
  <si>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</si>
  <si>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</si>
  <si>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</si>
  <si>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</si>
  <si>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</si>
  <si>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</si>
  <si>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</si>
  <si>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</si>
  <si>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</si>
  <si>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</si>
  <si>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</si>
  <si>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</si>
  <si>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</si>
  <si>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</si>
  <si>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</si>
  <si>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</si>
  <si>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</si>
  <si>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</si>
  <si>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</si>
  <si>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</si>
  <si>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</si>
  <si>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</si>
  <si>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</si>
  <si>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</si>
  <si>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</si>
  <si>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</si>
  <si>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</si>
  <si>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</si>
  <si>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</si>
  <si>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</si>
  <si>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</si>
  <si>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</si>
  <si>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</si>
  <si>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</si>
  <si>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</si>
  <si>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</si>
  <si>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</si>
  <si>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</si>
  <si>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</si>
  <si>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</si>
  <si>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</si>
  <si>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</si>
  <si>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</si>
  <si>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</si>
  <si>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</si>
  <si>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</si>
  <si>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</si>
  <si>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</si>
  <si>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</si>
  <si>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</si>
  <si>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</si>
  <si>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</si>
  <si>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</si>
  <si>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</si>
  <si>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</si>
  <si>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</si>
  <si>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</si>
  <si>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</si>
  <si>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</si>
  <si>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</si>
  <si>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</si>
  <si>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</si>
  <si>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</si>
  <si>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</si>
  <si>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</si>
  <si>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</si>
  <si>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</si>
  <si>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WBS'!L848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</si>
  <si>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</si>
  <si>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</si>
  <si>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</si>
  <si>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</si>
  <si>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</si>
  <si>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</si>
  <si>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</si>
  <si>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</si>
  <si>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WBS'!L849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</si>
  <si>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</si>
  <si>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</si>
  <si>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</si>
  <si>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WBS'!L850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</si>
  <si>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</si>
  <si>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</si>
  <si>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</si>
  <si>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</si>
  <si>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</si>
  <si>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WBS'!L851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</si>
  <si>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</si>
  <si>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</si>
  <si>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</si>
  <si>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</si>
  <si>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</si>
  <si>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</si>
  <si>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</si>
  <si>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</si>
  <si>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</si>
  <si>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</si>
  <si>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</si>
  <si>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</si>
  <si>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WBS'!L853</t>
    </r>
  </si>
  <si>
    <t xml:space="preserve">1.7.1</t>
  </si>
  <si>
    <t xml:space="preserve">คำขอขนานไฟ PPIM (ชุด 11 ไฟล์)</t>
  </si>
  <si>
    <t xml:space="preserve">PPIM1A506544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</si>
  <si>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</si>
  <si>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</si>
  <si>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</si>
  <si>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</si>
  <si>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</si>
  <si>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</si>
  <si>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</si>
  <si>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</si>
  <si>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</si>
  <si>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</si>
  <si>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</si>
  <si>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</si>
  <si>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</si>
  <si>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</si>
  <si>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</si>
  <si>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</si>
  <si>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</si>
  <si>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</si>
  <si>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</si>
  <si>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</si>
  <si>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</si>
  <si>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</si>
  <si>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</si>
  <si>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</si>
  <si>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</si>
  <si>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</si>
  <si>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</si>
  <si>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</si>
  <si>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</si>
  <si>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</si>
  <si>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</si>
  <si>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</si>
  <si>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</si>
  <si>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</si>
  <si>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</si>
  <si>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</si>
  <si>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</si>
  <si>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</si>
  <si>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</si>
  <si>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</si>
  <si>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</si>
  <si>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</si>
  <si>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</si>
  <si>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</si>
  <si>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</si>
  <si>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</si>
  <si>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</si>
  <si>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</si>
  <si>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</si>
  <si>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</si>
  <si>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</si>
  <si>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</si>
  <si>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</si>
  <si>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</si>
  <si>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</si>
  <si>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</si>
  <si>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</si>
  <si>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</si>
  <si>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</si>
  <si>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</si>
  <si>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</si>
  <si>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</si>
  <si>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</si>
  <si>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</si>
  <si>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</si>
  <si>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</si>
  <si>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</si>
  <si>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</si>
  <si>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</si>
  <si>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</si>
  <si>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</si>
  <si>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</si>
  <si>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</si>
  <si>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</si>
  <si>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</si>
  <si>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</si>
  <si>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</si>
  <si>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</si>
  <si>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</si>
  <si>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</si>
  <si>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</si>
  <si>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</si>
  <si>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</si>
  <si>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</si>
  <si>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</si>
  <si>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</si>
  <si>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</si>
  <si>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</si>
  <si>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</si>
  <si>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</si>
  <si>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</si>
  <si>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</si>
  <si>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</si>
  <si>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</si>
  <si>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</si>
  <si>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</si>
  <si>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</si>
  <si>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</si>
  <si>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</si>
  <si>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</si>
  <si>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</si>
  <si>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</si>
  <si>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</si>
  <si>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</si>
  <si>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</si>
  <si>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</si>
  <si>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</si>
  <si>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</si>
  <si>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</si>
  <si>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</si>
  <si>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</si>
  <si>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</si>
  <si>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</si>
  <si>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</si>
  <si>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</si>
  <si>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WBS'!L872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</si>
  <si>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</si>
  <si>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</si>
  <si>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</si>
  <si>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</si>
  <si>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</si>
  <si>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</si>
  <si>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</si>
  <si>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</si>
  <si>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</si>
  <si>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</si>
  <si>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</si>
  <si>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</si>
  <si>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</si>
  <si>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</si>
  <si>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</si>
  <si>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</si>
  <si>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</si>
  <si>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</si>
  <si>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</si>
  <si>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WBS'!L876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</si>
  <si>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</si>
  <si>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</si>
  <si>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</si>
  <si>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</si>
  <si>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</si>
  <si>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</si>
  <si>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</si>
  <si>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</si>
  <si>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</si>
  <si>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</si>
  <si>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</si>
  <si>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</si>
  <si>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</si>
  <si>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</si>
  <si>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</si>
  <si>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</si>
  <si>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</si>
  <si>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</si>
  <si>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</si>
  <si>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</si>
  <si>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</si>
  <si>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</si>
  <si>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</si>
  <si>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</si>
  <si>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</si>
  <si>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</si>
  <si>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</si>
  <si>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</si>
  <si>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</si>
  <si>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</si>
  <si>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</si>
  <si>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</si>
  <si>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</si>
  <si>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</si>
  <si>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</si>
  <si>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</si>
  <si>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</si>
  <si>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</si>
  <si>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WBS'!L884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</si>
  <si>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</si>
  <si>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</si>
  <si>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</si>
  <si>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</si>
  <si>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</si>
  <si>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</si>
  <si>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</si>
  <si>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</si>
  <si>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</si>
  <si>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</si>
  <si>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WBS'!L885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</si>
  <si>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</si>
  <si>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</si>
  <si>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</si>
  <si>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</si>
  <si>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</si>
  <si>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</si>
  <si>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</si>
  <si>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</si>
  <si>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</si>
  <si>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</si>
  <si>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</si>
  <si>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</si>
  <si>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</si>
  <si>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</si>
  <si>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</si>
  <si>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</si>
  <si>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</si>
  <si>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</si>
  <si>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</si>
  <si>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</si>
  <si>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</si>
  <si>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</si>
  <si>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</si>
  <si>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</si>
  <si>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</si>
  <si>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</si>
  <si>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</si>
  <si>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</si>
  <si>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</si>
  <si>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</si>
  <si>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</si>
  <si>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WBS'!L891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</si>
  <si>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</si>
  <si>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</si>
  <si>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3/8/69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</si>
  <si>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</si>
  <si>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</si>
  <si>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</si>
  <si>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</si>
  <si>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</si>
  <si>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</si>
  <si>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</si>
  <si>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</si>
  <si>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</si>
  <si>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</si>
  <si>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</si>
  <si>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</si>
  <si>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</si>
  <si>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</si>
  <si>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</si>
  <si>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</si>
  <si>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</si>
  <si>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</si>
  <si>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</si>
  <si>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</si>
  <si>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</si>
  <si>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</si>
  <si>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</si>
  <si>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</si>
  <si>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</si>
  <si>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</si>
  <si>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</si>
  <si>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</si>
  <si>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</si>
  <si>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</si>
  <si>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</si>
  <si>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</si>
  <si>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</si>
  <si>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</si>
  <si>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</si>
  <si>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</si>
  <si>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</si>
  <si>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</si>
  <si>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</si>
  <si>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</si>
  <si>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</si>
  <si>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</si>
  <si>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</si>
  <si>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</si>
  <si>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</si>
  <si>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</si>
  <si>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</si>
  <si>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</si>
  <si>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</si>
  <si>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</si>
  <si>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</si>
  <si>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</si>
  <si>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</si>
  <si>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</si>
  <si>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</si>
  <si>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</si>
  <si>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</si>
  <si>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</si>
  <si>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</si>
  <si>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</si>
  <si>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</si>
  <si>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</si>
  <si>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</si>
  <si>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</si>
  <si>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</si>
  <si>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</si>
  <si>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</si>
  <si>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</si>
  <si>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</si>
  <si>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</si>
  <si>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</si>
  <si>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</si>
  <si>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</si>
  <si>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</si>
  <si>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</si>
  <si>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</si>
  <si>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</si>
  <si>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</si>
  <si>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</si>
  <si>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</si>
  <si>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</si>
  <si>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</si>
  <si>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</si>
  <si>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</si>
  <si>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</si>
  <si>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</si>
  <si>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</si>
  <si>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</si>
  <si>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</si>
  <si>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</si>
  <si>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</si>
  <si>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</si>
  <si>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</si>
  <si>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</si>
  <si>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</si>
  <si>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</si>
  <si>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</si>
  <si>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</si>
  <si>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</si>
  <si>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</si>
  <si>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</si>
  <si>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</si>
  <si>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</si>
  <si>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</si>
  <si>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</si>
  <si>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</si>
  <si>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</si>
  <si>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</si>
  <si>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</si>
  <si>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</si>
  <si>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</si>
  <si>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</si>
  <si>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</si>
  <si>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</si>
  <si>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</si>
  <si>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</si>
  <si>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</si>
  <si>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</si>
  <si>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</si>
  <si>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</si>
  <si>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สถานีผลิตน้ำปลายคลอง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การประปาส่วนภูมิภาคสาขาตราด ขนาดกำลังผลิต </t>
    </r>
    <r>
      <rPr>
        <sz val="10"/>
        <rFont val="Tahoma"/>
        <family val="0"/>
        <charset val="1"/>
      </rPr>
      <t xml:space="preserve">248.52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</si>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</sst>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1.35714285714286</c:v>
                </c:pt>
                <c:pt idx="3">
                  <c:v>2.35714285714286</c:v>
                </c:pt>
                <c:pt idx="4">
                  <c:v>2.5</c:v>
                </c:pt>
                <c:pt idx="5">
                  <c:v>3</c:v>
                </c:pt>
                <c:pt idx="6">
                  <c:v>10.7777777777778</c:v>
                </c:pt>
                <c:pt idx="7">
                  <c:v>18.5555555555556</c:v>
                </c:pt>
                <c:pt idx="8">
                  <c:v>43.3809523809524</c:v>
                </c:pt>
                <c:pt idx="9">
                  <c:v>92.5</c:v>
                </c:pt>
                <c:pt idx="10">
                  <c:v>96.6086956521739</c:v>
                </c:pt>
                <c:pt idx="11">
                  <c:v>96.7608695652174</c:v>
                </c:pt>
                <c:pt idx="12">
                  <c:v>96.9130434782609</c:v>
                </c:pt>
                <c:pt idx="13">
                  <c:v>97.0652173913044</c:v>
                </c:pt>
                <c:pt idx="14">
                  <c:v>97.2173913043478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1.3333</c:v>
                </c:pt>
                <c:pt idx="3">
                  <c:v>2.1666</c:v>
                </c:pt>
                <c:pt idx="4">
                  <c:v>2.4999</c:v>
                </c:pt>
                <c:pt idx="5">
                  <c:v>7.9999</c:v>
                </c:pt>
                <c:pt idx="6">
                  <c:v>12.9999</c:v>
                </c:pt>
                <c:pt idx="7">
                  <c:v>17.9999</c:v>
                </c:pt>
                <c:pt idx="8">
                  <c:v>32.9999</c:v>
                </c:pt>
                <c:pt idx="9">
                  <c:v>91.7499</c:v>
                </c:pt>
                <c:pt idx="10">
                  <c:v>92.9999</c:v>
                </c:pt>
                <c:pt idx="11">
                  <c:v>92.9999</c:v>
                </c:pt>
                <c:pt idx="12">
                  <c:v>92.9999</c:v>
                </c:pt>
                <c:pt idx="13">
                  <c:v>92.9999</c:v>
                </c:pt>
                <c:pt idx="14">
                  <c:v>93.111</c:v>
                </c:pt>
                <c:pt idx="15">
                  <c:v>93.2221</c:v>
                </c:pt>
                <c:pt idx="16">
                  <c:v>94.3332</c:v>
                </c:pt>
                <c:pt idx="17">
                  <c:v>94.4443</c:v>
                </c:pt>
                <c:pt idx="18">
                  <c:v>94.5554</c:v>
                </c:pt>
                <c:pt idx="19">
                  <c:v>94.6665</c:v>
                </c:pt>
                <c:pt idx="20">
                  <c:v>94.7776</c:v>
                </c:pt>
                <c:pt idx="21">
                  <c:v>94.8886999999999</c:v>
                </c:pt>
                <c:pt idx="22">
                  <c:v>94.9997999999999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28329"/>
        <c:axId val="39365353"/>
      </c:lineChart>
      <c:catAx>
        <c:axId val="8482832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65353"/>
        <c:crosses val="autoZero"/>
        <c:auto val="1"/>
        <c:lblAlgn val="ctr"/>
        <c:lblOffset val="100"/>
        <c:noMultiLvlLbl val="0"/>
      </c:catAx>
      <c:valAx>
        <c:axId val="39365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83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123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46386</v>
      </c>
      <c r="P8" s="34" t="s">
        <v>75</v>
      </c>
      <c r="Q8" s="31" t="n">
        <v>92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46386</v>
      </c>
      <c r="P9" s="46" t="s">
        <v>75</v>
      </c>
      <c r="Q9" s="37" t="n">
        <v>92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46191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46191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46191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46202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46191</v>
      </c>
      <c r="O14" s="55" t="n">
        <v>46386</v>
      </c>
      <c r="P14" s="50" t="s">
        <v>75</v>
      </c>
      <c r="Q14" s="52" t="n">
        <v>92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46191</v>
      </c>
      <c r="O15" s="55" t="n">
        <v>46386</v>
      </c>
      <c r="P15" s="50" t="s">
        <v>75</v>
      </c>
      <c r="Q15" s="52" t="n">
        <v>92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46194</v>
      </c>
      <c r="J23" s="53" t="n">
        <v>46199</v>
      </c>
      <c r="K23" s="52"/>
      <c r="L23" s="52"/>
      <c r="M23" s="54" t="s">
        <v>148</v>
      </c>
      <c r="N23" s="55" t="n">
        <v>46195</v>
      </c>
      <c r="O23" s="55" t="n">
        <v>46199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152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46213</v>
      </c>
      <c r="M25" s="43"/>
      <c r="N25" s="44" t="n">
        <v>46213</v>
      </c>
      <c r="O25" s="45" t="n">
        <v>46213</v>
      </c>
      <c r="P25" s="46" t="s">
        <v>60</v>
      </c>
      <c r="Q25" s="37" t="n">
        <v>20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163</v>
      </c>
      <c r="N26" s="55" t="n">
        <v>46213</v>
      </c>
      <c r="O26" s="55" t="n">
        <v>46213</v>
      </c>
      <c r="P26" s="50" t="s">
        <v>124</v>
      </c>
      <c r="Q26" s="52" t="n">
        <v>20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167</v>
      </c>
      <c r="N27" s="55" t="n">
        <v>46213</v>
      </c>
      <c r="O27" s="55" t="n">
        <v>46213</v>
      </c>
      <c r="P27" s="50" t="s">
        <v>124</v>
      </c>
      <c r="Q27" s="52" t="n">
        <v>20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171</v>
      </c>
      <c r="N28" s="55" t="n">
        <v>46213</v>
      </c>
      <c r="O28" s="55" t="n">
        <v>46213</v>
      </c>
      <c r="P28" s="50" t="s">
        <v>124</v>
      </c>
      <c r="Q28" s="52" t="n">
        <v>20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181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185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189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197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201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205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209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217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221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225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234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238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242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46232</v>
      </c>
      <c r="J47" s="41" t="n">
        <v>46232</v>
      </c>
      <c r="K47" s="42"/>
      <c r="L47" s="42" t="n">
        <v>46276</v>
      </c>
      <c r="M47" s="43"/>
      <c r="N47" s="44" t="n">
        <v>46276</v>
      </c>
      <c r="O47" s="45" t="n">
        <v>46276</v>
      </c>
      <c r="P47" s="46" t="s">
        <v>60</v>
      </c>
      <c r="Q47" s="37" t="n">
        <v>44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46232</v>
      </c>
      <c r="J48" s="53" t="n">
        <v>46232</v>
      </c>
      <c r="K48" s="52"/>
      <c r="L48" s="52"/>
      <c r="M48" s="54" t="s">
        <v>251</v>
      </c>
      <c r="N48" s="55" t="n">
        <v>46276</v>
      </c>
      <c r="O48" s="55" t="n">
        <v>46276</v>
      </c>
      <c r="P48" s="50" t="s">
        <v>124</v>
      </c>
      <c r="Q48" s="52" t="n">
        <v>44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46232</v>
      </c>
      <c r="J49" s="53" t="n">
        <v>46232</v>
      </c>
      <c r="K49" s="52"/>
      <c r="L49" s="52"/>
      <c r="M49" s="54" t="s">
        <v>255</v>
      </c>
      <c r="N49" s="55" t="n">
        <v>46276</v>
      </c>
      <c r="O49" s="55" t="n">
        <v>46276</v>
      </c>
      <c r="P49" s="50" t="s">
        <v>124</v>
      </c>
      <c r="Q49" s="52" t="n">
        <v>44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46233</v>
      </c>
      <c r="J50" s="41" t="n">
        <v>46262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81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46232</v>
      </c>
      <c r="J51" s="53" t="n">
        <v>46232</v>
      </c>
      <c r="K51" s="52"/>
      <c r="L51" s="52"/>
      <c r="M51" s="54" t="s">
        <v>261</v>
      </c>
      <c r="N51" s="55" t="n">
        <v>46276</v>
      </c>
      <c r="O51" s="55" t="n">
        <v>46276</v>
      </c>
      <c r="P51" s="50" t="s">
        <v>124</v>
      </c>
      <c r="Q51" s="52" t="n">
        <v>44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80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46195</v>
      </c>
      <c r="O61" s="33" t="n">
        <v>46237</v>
      </c>
      <c r="P61" s="34" t="s">
        <v>60</v>
      </c>
      <c r="Q61" s="31" t="n">
        <v>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25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46195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309</v>
      </c>
      <c r="N63" s="55" t="n">
        <v>46195</v>
      </c>
      <c r="O63" s="55" t="n">
        <v>46197</v>
      </c>
      <c r="P63" s="50" t="s">
        <v>124</v>
      </c>
      <c r="Q63" s="52" t="n">
        <v>-7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313</v>
      </c>
      <c r="N64" s="55" t="n">
        <v>46195</v>
      </c>
      <c r="O64" s="55" t="n">
        <v>46200</v>
      </c>
      <c r="P64" s="50" t="s">
        <v>124</v>
      </c>
      <c r="Q64" s="52" t="n">
        <v>-5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317</v>
      </c>
      <c r="N65" s="55" t="n">
        <v>46197</v>
      </c>
      <c r="O65" s="55" t="n">
        <v>46207</v>
      </c>
      <c r="P65" s="50" t="s">
        <v>124</v>
      </c>
      <c r="Q65" s="52" t="n">
        <v>-3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321</v>
      </c>
      <c r="N66" s="55" t="n">
        <v>46205</v>
      </c>
      <c r="O66" s="55" t="n">
        <v>46215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325</v>
      </c>
      <c r="N67" s="55" t="n">
        <v>46209</v>
      </c>
      <c r="O67" s="55" t="n">
        <v>46218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329</v>
      </c>
      <c r="N68" s="55" t="n">
        <v>46214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333</v>
      </c>
      <c r="N69" s="55" t="n">
        <v>46218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341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345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349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353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357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10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46220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365</v>
      </c>
      <c r="N77" s="55" t="n">
        <v>46220</v>
      </c>
      <c r="O77" s="55" t="n">
        <v>46223</v>
      </c>
      <c r="P77" s="50" t="s">
        <v>124</v>
      </c>
      <c r="Q77" s="52" t="n">
        <v>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369</v>
      </c>
      <c r="N78" s="55" t="n">
        <v>46221</v>
      </c>
      <c r="O78" s="55" t="n">
        <v>46228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373</v>
      </c>
      <c r="N79" s="55" t="n">
        <v>46224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377</v>
      </c>
      <c r="N80" s="55" t="n">
        <v>46227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381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389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393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401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405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409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413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421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425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429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433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437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444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448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452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46224</v>
      </c>
      <c r="J101" s="53" t="n">
        <v>46225</v>
      </c>
      <c r="K101" s="52"/>
      <c r="L101" s="52"/>
      <c r="M101" s="61"/>
      <c r="N101" s="55" t="n">
        <v>46227</v>
      </c>
      <c r="O101" s="55" t="n">
        <v>46227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46225</v>
      </c>
      <c r="J102" s="53" t="n">
        <v>46228</v>
      </c>
      <c r="K102" s="52"/>
      <c r="L102" s="52"/>
      <c r="M102" s="54" t="s">
        <v>463</v>
      </c>
      <c r="N102" s="55" t="n">
        <v>46227</v>
      </c>
      <c r="O102" s="55" t="n">
        <v>46228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472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476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480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487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491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495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46237</v>
      </c>
      <c r="M111" s="43"/>
      <c r="N111" s="44" t="n">
        <v>46237</v>
      </c>
      <c r="O111" s="45" t="n">
        <v>46237</v>
      </c>
      <c r="P111" s="46" t="s">
        <v>60</v>
      </c>
      <c r="Q111" s="37" t="n">
        <v>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504</v>
      </c>
      <c r="N112" s="55" t="n">
        <v>46237</v>
      </c>
      <c r="O112" s="55" t="n">
        <v>46237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508</v>
      </c>
      <c r="N113" s="55" t="n">
        <v>46237</v>
      </c>
      <c r="O113" s="55" t="n">
        <v>46237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46386</v>
      </c>
      <c r="P114" s="34" t="s">
        <v>75</v>
      </c>
      <c r="Q114" s="31" t="n">
        <v>92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46359</v>
      </c>
      <c r="O115" s="45" t="n">
        <v>46359</v>
      </c>
      <c r="P115" s="46" t="s">
        <v>295</v>
      </c>
      <c r="Q115" s="37" t="n">
        <v>125</v>
      </c>
      <c r="R115" s="39"/>
      <c r="S115" s="39" t="n">
        <v>1</v>
      </c>
      <c r="T115" s="39" t="s">
        <v>296</v>
      </c>
      <c r="U115" s="58" t="n">
        <v>46359.0115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518</v>
      </c>
      <c r="N116" s="55" t="n">
        <v>46359</v>
      </c>
      <c r="O116" s="55" t="n">
        <v>46359</v>
      </c>
      <c r="P116" s="50" t="s">
        <v>295</v>
      </c>
      <c r="Q116" s="52" t="n">
        <v>127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522</v>
      </c>
      <c r="N117" s="55" t="n">
        <v>46359</v>
      </c>
      <c r="O117" s="55" t="n">
        <v>46359</v>
      </c>
      <c r="P117" s="50" t="s">
        <v>295</v>
      </c>
      <c r="Q117" s="52" t="n">
        <v>126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526</v>
      </c>
      <c r="N118" s="55" t="n">
        <v>46359</v>
      </c>
      <c r="O118" s="55" t="n">
        <v>46359</v>
      </c>
      <c r="P118" s="50" t="s">
        <v>295</v>
      </c>
      <c r="Q118" s="52" t="n">
        <v>126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530</v>
      </c>
      <c r="N119" s="55" t="n">
        <v>46359</v>
      </c>
      <c r="O119" s="55" t="n">
        <v>46359</v>
      </c>
      <c r="P119" s="50" t="s">
        <v>295</v>
      </c>
      <c r="Q119" s="52" t="n">
        <v>126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534</v>
      </c>
      <c r="N120" s="55" t="n">
        <v>46359</v>
      </c>
      <c r="O120" s="55" t="n">
        <v>46359</v>
      </c>
      <c r="P120" s="50" t="s">
        <v>295</v>
      </c>
      <c r="Q120" s="52" t="n">
        <v>125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538</v>
      </c>
      <c r="N121" s="55" t="n">
        <v>46359</v>
      </c>
      <c r="O121" s="55" t="n">
        <v>46359</v>
      </c>
      <c r="P121" s="50" t="s">
        <v>295</v>
      </c>
      <c r="Q121" s="52" t="n">
        <v>125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46335</v>
      </c>
      <c r="O122" s="45" t="n">
        <v>46335</v>
      </c>
      <c r="P122" s="46" t="s">
        <v>295</v>
      </c>
      <c r="Q122" s="37" t="n">
        <v>101</v>
      </c>
      <c r="R122" s="39"/>
      <c r="S122" s="39" t="n">
        <v>1</v>
      </c>
      <c r="T122" s="39" t="s">
        <v>296</v>
      </c>
      <c r="U122" s="58" t="n">
        <v>46335.0122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46373</v>
      </c>
      <c r="O124" s="45" t="n">
        <v>46386</v>
      </c>
      <c r="P124" s="46" t="s">
        <v>295</v>
      </c>
      <c r="Q124" s="37" t="n">
        <v>92</v>
      </c>
      <c r="R124" s="39"/>
      <c r="S124" s="39" t="n">
        <v>1</v>
      </c>
      <c r="T124" s="39" t="s">
        <v>296</v>
      </c>
      <c r="U124" s="58" t="n">
        <v>46373.0124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553</v>
      </c>
      <c r="N125" s="55" t="n">
        <v>46373</v>
      </c>
      <c r="O125" s="55" t="n">
        <v>46377</v>
      </c>
      <c r="P125" s="50" t="s">
        <v>295</v>
      </c>
      <c r="Q125" s="52" t="n">
        <v>92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557</v>
      </c>
      <c r="N126" s="55" t="n">
        <v>46376</v>
      </c>
      <c r="O126" s="55" t="n">
        <v>46383</v>
      </c>
      <c r="P126" s="50" t="s">
        <v>295</v>
      </c>
      <c r="Q126" s="52" t="n">
        <v>92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561</v>
      </c>
      <c r="N127" s="55" t="n">
        <v>46383</v>
      </c>
      <c r="O127" s="55" t="n">
        <v>46386</v>
      </c>
      <c r="P127" s="50" t="s">
        <v>295</v>
      </c>
      <c r="Q127" s="52" t="n">
        <v>92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46367</v>
      </c>
      <c r="O128" s="45" t="n">
        <v>46367</v>
      </c>
      <c r="P128" s="46" t="s">
        <v>295</v>
      </c>
      <c r="Q128" s="37" t="n">
        <v>123</v>
      </c>
      <c r="R128" s="39"/>
      <c r="S128" s="39" t="n">
        <v>1</v>
      </c>
      <c r="T128" s="39" t="s">
        <v>296</v>
      </c>
      <c r="U128" s="58" t="n">
        <v>46367.0128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/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46368</v>
      </c>
      <c r="O129" s="45" t="n">
        <v>46370</v>
      </c>
      <c r="P129" s="46" t="s">
        <v>295</v>
      </c>
      <c r="Q129" s="37" t="n">
        <v>126</v>
      </c>
      <c r="R129" s="39"/>
      <c r="S129" s="39" t="n">
        <v>1</v>
      </c>
      <c r="T129" s="39" t="s">
        <v>296</v>
      </c>
      <c r="U129" s="58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 t="s">
        <v>569</v>
      </c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46368</v>
      </c>
      <c r="O130" s="45" t="n">
        <v>46372</v>
      </c>
      <c r="P130" s="46" t="s">
        <v>295</v>
      </c>
      <c r="Q130" s="37" t="n">
        <v>128</v>
      </c>
      <c r="R130" s="39"/>
      <c r="S130" s="39" t="n">
        <v>1</v>
      </c>
      <c r="T130" s="39" t="s">
        <v>296</v>
      </c>
      <c r="U130" s="58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80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572</v>
      </c>
      <c r="D134" s="6" t="s">
        <v>573</v>
      </c>
    </row>
    <row r="135" customFormat="false" ht="15" hidden="false" customHeight="true" outlineLevel="0" collapsed="false">
      <c r="B135" s="63" t="s">
        <v>574</v>
      </c>
      <c r="D135" s="63" t="s">
        <v>575</v>
      </c>
      <c r="E135" s="63" t="s">
        <v>576</v>
      </c>
      <c r="I135" s="64" t="s">
        <v>577</v>
      </c>
      <c r="J135" s="64" t="s">
        <v>578</v>
      </c>
      <c r="K135" s="64" t="s">
        <v>579</v>
      </c>
      <c r="L135" s="64" t="s">
        <v>580</v>
      </c>
      <c r="O135" s="63" t="s">
        <v>581</v>
      </c>
      <c r="P135" s="63" t="s">
        <v>582</v>
      </c>
    </row>
    <row r="136" customFormat="false" ht="15" hidden="false" customHeight="true" outlineLevel="0" collapsed="false">
      <c r="B136" s="65" t="s">
        <v>583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584</v>
      </c>
    </row>
    <row r="137" customFormat="false" ht="15" hidden="false" customHeight="true" outlineLevel="0" collapsed="false">
      <c r="B137" s="65" t="s">
        <v>585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586</v>
      </c>
    </row>
    <row r="138" customFormat="false" ht="15" hidden="false" customHeight="true" outlineLevel="0" collapsed="false">
      <c r="B138" s="65" t="s">
        <v>587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588</v>
      </c>
    </row>
    <row r="139" customFormat="false" ht="15" hidden="false" customHeight="true" outlineLevel="0" collapsed="false">
      <c r="B139" s="65" t="s">
        <v>589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590</v>
      </c>
    </row>
    <row r="140" customFormat="false" ht="15" hidden="false" customHeight="true" outlineLevel="0" collapsed="false">
      <c r="B140" s="65" t="s">
        <v>591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592</v>
      </c>
    </row>
    <row r="141" customFormat="false" ht="15" hidden="false" customHeight="true" outlineLevel="0" collapsed="false">
      <c r="B141" s="70" t="s">
        <v>593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594</v>
      </c>
    </row>
    <row r="142" customFormat="false" ht="15" hidden="false" customHeight="true" outlineLevel="0" collapsed="false">
      <c r="B142" s="72" t="s">
        <v>595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0.357142857142857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0.142857142857143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0.3333</v>
      </c>
      <c r="K15" s="101" t="n">
        <v>0.3333</v>
      </c>
      <c r="L15" s="101" t="n">
        <v>0.3333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654</v>
      </c>
      <c r="C16" s="95" t="s">
        <v>649</v>
      </c>
      <c r="D16" s="96" t="n">
        <v>1</v>
      </c>
      <c r="E16" s="97" t="n">
        <v>46232</v>
      </c>
      <c r="F16" s="97" t="n">
        <v>46232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46276</v>
      </c>
      <c r="F17" s="99" t="n">
        <v>46276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 t="n">
        <v>1</v>
      </c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0.108695652173913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658</v>
      </c>
      <c r="C23" s="95" t="s">
        <v>649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46195</v>
      </c>
      <c r="F24" s="99" t="n">
        <v>46219</v>
      </c>
      <c r="G24" s="100"/>
      <c r="H24" s="101"/>
      <c r="I24" s="101"/>
      <c r="J24" s="101"/>
      <c r="K24" s="101"/>
      <c r="L24" s="101"/>
      <c r="M24" s="101" t="n">
        <v>5</v>
      </c>
      <c r="N24" s="101" t="n">
        <v>5</v>
      </c>
      <c r="O24" s="101" t="n">
        <v>5</v>
      </c>
      <c r="P24" s="101" t="n">
        <v>5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659</v>
      </c>
      <c r="C25" s="95" t="s">
        <v>649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660</v>
      </c>
      <c r="C27" s="95" t="s">
        <v>649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46220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 t="n">
        <v>10</v>
      </c>
      <c r="Q28" s="101" t="n">
        <v>10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661</v>
      </c>
      <c r="C29" s="95" t="s">
        <v>649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662</v>
      </c>
      <c r="C31" s="95" t="s">
        <v>649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663</v>
      </c>
      <c r="C33" s="95" t="s">
        <v>649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664</v>
      </c>
      <c r="C35" s="95" t="s">
        <v>649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665</v>
      </c>
      <c r="C37" s="95" t="s">
        <v>649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666</v>
      </c>
      <c r="C39" s="95" t="s">
        <v>649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668</v>
      </c>
      <c r="C42" s="95" t="s">
        <v>649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669</v>
      </c>
      <c r="C44" s="95" t="s">
        <v>649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0.857142857142857</v>
      </c>
      <c r="K47" s="103" t="n">
        <f aca="false">SUMIF($C$7:$C$45,"Plan",K$7:K$45)</f>
        <v>1</v>
      </c>
      <c r="L47" s="103" t="n">
        <f aca="false">SUMIF($C$7:$C$45,"Plan",L$7:L$45)</f>
        <v>0.142857142857143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4.10869565217391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0.130434782608696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0.8333</v>
      </c>
      <c r="K48" s="103" t="n">
        <f aca="false">SUMIF($C$7:$C$45,"Actual",K$7:K$45)</f>
        <v>0.8333</v>
      </c>
      <c r="L48" s="103" t="n">
        <f aca="false">SUMIF($C$7:$C$45,"Actual",L$7:L$45)</f>
        <v>0.3333</v>
      </c>
      <c r="M48" s="103" t="n">
        <f aca="false">SUMIF($C$7:$C$45,"Actual",M$7:M$45)</f>
        <v>5.5</v>
      </c>
      <c r="N48" s="103" t="n">
        <f aca="false">SUMIF($C$7:$C$45,"Actual",N$7:N$45)</f>
        <v>5</v>
      </c>
      <c r="O48" s="103" t="n">
        <f aca="false">SUMIF($C$7:$C$45,"Actual",O$7:O$45)</f>
        <v>5</v>
      </c>
      <c r="P48" s="103" t="n">
        <f aca="false">SUMIF($C$7:$C$45,"Actual",P$7:P$45)</f>
        <v>15</v>
      </c>
      <c r="Q48" s="103" t="n">
        <f aca="false">SUMIF($C$7:$C$45,"Actual",Q$7:Q$45)</f>
        <v>58.75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1.1111</v>
      </c>
      <c r="Y48" s="103" t="n">
        <f aca="false">SUMIF($C$7:$C$45,"Actual",Y$7:Y$45)</f>
        <v>0.1111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1.35714285714286</v>
      </c>
      <c r="K49" s="105" t="n">
        <f aca="false">J49+K47</f>
        <v>2.35714285714286</v>
      </c>
      <c r="L49" s="105" t="n">
        <f aca="false">K49+L47</f>
        <v>2.5</v>
      </c>
      <c r="M49" s="105" t="n">
        <f aca="false">L49+M47</f>
        <v>3</v>
      </c>
      <c r="N49" s="105" t="n">
        <f aca="false">M49+N47</f>
        <v>10.7777777777778</v>
      </c>
      <c r="O49" s="105" t="n">
        <f aca="false">N49+O47</f>
        <v>18.5555555555556</v>
      </c>
      <c r="P49" s="105" t="n">
        <f aca="false">O49+P47</f>
        <v>43.3809523809524</v>
      </c>
      <c r="Q49" s="105" t="n">
        <f aca="false">P49+Q47</f>
        <v>92.5</v>
      </c>
      <c r="R49" s="105" t="n">
        <f aca="false">Q49+R47</f>
        <v>96.6086956521739</v>
      </c>
      <c r="S49" s="105" t="n">
        <f aca="false">R49+S47</f>
        <v>96.7608695652174</v>
      </c>
      <c r="T49" s="105" t="n">
        <f aca="false">S49+T47</f>
        <v>96.9130434782609</v>
      </c>
      <c r="U49" s="105" t="n">
        <f aca="false">T49+U47</f>
        <v>97.0652173913044</v>
      </c>
      <c r="V49" s="105" t="n">
        <f aca="false">U49+V47</f>
        <v>97.2173913043478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1.3333</v>
      </c>
      <c r="K50" s="105" t="n">
        <f aca="false">IF(K$6&gt;46314,"",J50+K48)</f>
        <v>2.1666</v>
      </c>
      <c r="L50" s="105" t="n">
        <f aca="false">IF(L$6&gt;46314,"",K50+L48)</f>
        <v>2.4999</v>
      </c>
      <c r="M50" s="105" t="n">
        <f aca="false">IF(M$6&gt;46314,"",L50+M48)</f>
        <v>7.9999</v>
      </c>
      <c r="N50" s="105" t="n">
        <f aca="false">IF(N$6&gt;46314,"",M50+N48)</f>
        <v>12.9999</v>
      </c>
      <c r="O50" s="105" t="n">
        <f aca="false">IF(O$6&gt;46314,"",N50+O48)</f>
        <v>17.9999</v>
      </c>
      <c r="P50" s="105" t="n">
        <f aca="false">IF(P$6&gt;46314,"",O50+P48)</f>
        <v>32.9999</v>
      </c>
      <c r="Q50" s="105" t="n">
        <f aca="false">IF(Q$6&gt;46314,"",P50+Q48)</f>
        <v>91.7499</v>
      </c>
      <c r="R50" s="105" t="n">
        <f aca="false">IF(R$6&gt;46314,"",Q50+R48)</f>
        <v>92.9999</v>
      </c>
      <c r="S50" s="105" t="n">
        <f aca="false">IF(S$6&gt;46314,"",R50+S48)</f>
        <v>92.9999</v>
      </c>
      <c r="T50" s="105" t="n">
        <f aca="false">IF(T$6&gt;46314,"",S50+T48)</f>
        <v>92.9999</v>
      </c>
      <c r="U50" s="105" t="n">
        <f aca="false">IF(U$6&gt;46314,"",T50+U48)</f>
        <v>92.9999</v>
      </c>
      <c r="V50" s="105" t="n">
        <f aca="false">IF(V$6&gt;46314,"",U50+V48)</f>
        <v>93.111</v>
      </c>
      <c r="W50" s="105" t="n">
        <f aca="false">IF(W$6&gt;46314,"",V50+W48)</f>
        <v>93.2221</v>
      </c>
      <c r="X50" s="105" t="n">
        <f aca="false">IF(X$6&gt;46314,"",W50+X48)</f>
        <v>94.3332</v>
      </c>
      <c r="Y50" s="105" t="n">
        <f aca="false">IF(Y$6&gt;46314,"",X50+Y48)</f>
        <v>94.4443</v>
      </c>
      <c r="Z50" s="105" t="n">
        <f aca="false">IF(Z$6&gt;46314,"",Y50+Z48)</f>
        <v>94.5554</v>
      </c>
      <c r="AA50" s="105" t="n">
        <f aca="false">IF(AA$6&gt;46314,"",Z50+AA48)</f>
        <v>94.6665</v>
      </c>
      <c r="AB50" s="105" t="n">
        <f aca="false">IF(AB$6&gt;46314,"",AA50+AB48)</f>
        <v>94.7776</v>
      </c>
      <c r="AC50" s="105" t="n">
        <f aca="false">IF(AC$6&gt;46314,"",AB50+AC48)</f>
        <v>94.8886999999999</v>
      </c>
      <c r="AD50" s="105" t="n">
        <f aca="false">IF(AD$6&gt;46314,"",AC50+AD48)</f>
        <v>94.9997999999999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2026-10-26T04:43:20Z</dcterms:created>
  <dc:creator>openpyxl</dc:creator>
  <dc:description/>
  <dc:language>en-US</dc:language>
  <cp:lastModifiedBy/>
  <dcterms:modified xsi:type="dcterms:W3CDTF">2026-10-26T11:46:56Z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