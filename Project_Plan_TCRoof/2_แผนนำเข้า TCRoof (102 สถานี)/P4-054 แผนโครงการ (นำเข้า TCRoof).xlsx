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<sst xmlns="http://schemas.openxmlformats.org/spreadsheetml/2006/main" count="1295" uniqueCount="671">
  <si>
    <t xml:space="preserve">แผนโครงการ P4-054 – โรงกรองน้ำนาท่อม 250.80 kWp</t>
  </si>
  <si>
    <t xml:space="preserve">กปภ.สาขาพัทลุง, ภาคใต้, กฟภ. เขต ต.3, Inverter 250 kW (ต้องยื่น พค.2), Zero export HV, คำขอ PPIM1A5081BC, วิศวกร โดม, Admin ลูกแก้ว,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</si>
  <si>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</si>
  <si>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</si>
  <si>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</si>
  <si>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</si>
  <si>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</si>
  <si>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</si>
  <si>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</si>
  <si>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</si>
  <si>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</si>
  <si>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</si>
  <si>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</si>
  <si>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</si>
  <si>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</si>
  <si>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</si>
  <si>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</si>
  <si>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</si>
  <si>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</si>
  <si>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</si>
  <si>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</si>
  <si>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</si>
  <si>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</si>
  <si>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</si>
  <si>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</si>
  <si>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</si>
  <si>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</si>
  <si>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</si>
  <si>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</si>
  <si>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P4-054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</si>
  <si>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</si>
  <si>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</si>
  <si>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</si>
  <si>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</si>
  <si>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</si>
  <si>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</si>
  <si>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</si>
  <si>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</si>
  <si>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</si>
  <si>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</si>
  <si>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</si>
  <si>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</si>
  <si>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</si>
  <si>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</si>
  <si>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</si>
  <si>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</si>
  <si>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</si>
  <si>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</si>
  <si>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</si>
  <si>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</si>
  <si>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</si>
  <si>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</si>
  <si>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</si>
  <si>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</si>
  <si>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</si>
  <si>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</si>
  <si>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</si>
  <si>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</si>
  <si>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</si>
  <si>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</si>
  <si>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</si>
  <si>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</si>
  <si>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</si>
  <si>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</si>
  <si>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</si>
  <si>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</si>
  <si>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</si>
  <si>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</si>
  <si>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</si>
  <si>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</si>
  <si>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</si>
  <si>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</si>
  <si>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</si>
  <si>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</si>
  <si>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</si>
  <si>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</si>
  <si>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</si>
  <si>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</si>
  <si>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</si>
  <si>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</si>
  <si>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</si>
  <si>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</si>
  <si>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</si>
  <si>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</si>
  <si>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</si>
  <si>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</si>
  <si>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</si>
  <si>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WBS'!L7121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</si>
  <si>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</si>
  <si>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</si>
  <si>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</si>
  <si>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</si>
  <si>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WBS'!L7122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</si>
  <si>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</si>
  <si>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</si>
  <si>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</si>
  <si>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WBS'!L7123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</si>
  <si>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</si>
  <si>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</si>
  <si>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</si>
  <si>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WBS'!L7124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</si>
  <si>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</si>
  <si>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</si>
  <si>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</si>
  <si>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WBS'!L7125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</si>
  <si>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</si>
  <si>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</si>
  <si>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</si>
  <si>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</si>
  <si>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</si>
  <si>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WBS'!L7126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</si>
  <si>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</si>
  <si>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</si>
  <si>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TC-PML-2026-545,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</si>
  <si>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</si>
  <si>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</si>
  <si>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</si>
  <si>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</si>
  <si>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</si>
  <si>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</si>
  <si>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</si>
  <si>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</si>
  <si>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WBS'!L7127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</si>
  <si>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</si>
  <si>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</si>
  <si>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</si>
  <si>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WBS'!L7128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</si>
  <si>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</si>
  <si>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</si>
  <si>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</si>
  <si>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WBS'!L7129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</si>
  <si>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</si>
  <si>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</si>
  <si>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</si>
  <si>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WBS'!L7130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</si>
  <si>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</si>
  <si>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</si>
  <si>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</si>
  <si>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WBS'!L7131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</si>
  <si>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</si>
  <si>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</si>
  <si>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</si>
  <si>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WBS'!L7132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</si>
  <si>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</si>
  <si>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</si>
  <si>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</si>
  <si>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WBS'!L7133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</si>
  <si>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</si>
  <si>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</si>
  <si>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</si>
  <si>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WBS'!L7134</t>
    </r>
  </si>
  <si>
    <t xml:space="preserve">0.3</t>
  </si>
  <si>
    <t xml:space="preserve">หนังสือแจ้งขอดับไฟ</t>
  </si>
  <si>
    <t xml:space="preserve">TC-PML-2026-603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</si>
  <si>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</si>
  <si>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</si>
  <si>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</si>
  <si>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</si>
  <si>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</si>
  <si>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</si>
  <si>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</si>
  <si>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WBS'!L7135</t>
    </r>
  </si>
  <si>
    <t xml:space="preserve">เสร็จ*</t>
  </si>
  <si>
    <t xml:space="preserve">DY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</si>
  <si>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</si>
  <si>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</si>
  <si>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</si>
  <si>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WBS'!L7136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</si>
  <si>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</si>
  <si>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</si>
  <si>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</si>
  <si>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WBS'!L7137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</si>
  <si>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</si>
  <si>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</si>
  <si>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</si>
  <si>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</si>
  <si>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</si>
  <si>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</si>
  <si>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</si>
  <si>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</si>
  <si>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</si>
  <si>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WBS'!L7138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</si>
  <si>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</si>
  <si>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</si>
  <si>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</si>
  <si>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WBS'!L7139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</si>
  <si>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</si>
  <si>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</si>
  <si>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</si>
  <si>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WBS'!L7140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</si>
  <si>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</si>
  <si>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</si>
  <si>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</si>
  <si>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</si>
  <si>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</si>
  <si>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</si>
  <si>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</si>
  <si>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WBS'!L7141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</si>
  <si>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</si>
  <si>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</si>
  <si>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</si>
  <si>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WBS'!L7142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</si>
  <si>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</si>
  <si>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</si>
  <si>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</si>
  <si>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WBS'!L7143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</si>
  <si>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</si>
  <si>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</si>
  <si>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</si>
  <si>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WBS'!L7144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</si>
  <si>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</si>
  <si>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</si>
  <si>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</si>
  <si>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</si>
  <si>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</si>
  <si>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</si>
  <si>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</si>
  <si>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WBS'!L7145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</si>
  <si>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</si>
  <si>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</si>
  <si>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</si>
  <si>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WBS'!L7146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</si>
  <si>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</si>
  <si>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</si>
  <si>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</si>
  <si>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WBS'!L7147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</si>
  <si>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</si>
  <si>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</si>
  <si>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</si>
  <si>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</si>
  <si>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</si>
  <si>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</si>
  <si>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</si>
  <si>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</si>
  <si>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</si>
  <si>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</si>
  <si>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WBS'!L7148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</si>
  <si>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</si>
  <si>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</si>
  <si>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</si>
  <si>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WBS'!L7149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</si>
  <si>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</si>
  <si>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</si>
  <si>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</si>
  <si>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WBS'!L7150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</si>
  <si>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</si>
  <si>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</si>
  <si>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</si>
  <si>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</si>
  <si>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</si>
  <si>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</si>
  <si>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</si>
  <si>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</si>
  <si>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WBS'!L7151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</si>
  <si>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</si>
  <si>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</si>
  <si>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</si>
  <si>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WBS'!L7152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</si>
  <si>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</si>
  <si>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</si>
  <si>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</si>
  <si>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</si>
  <si>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</si>
  <si>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</si>
  <si>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WBS'!L7153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</si>
  <si>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</si>
  <si>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</si>
  <si>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</si>
  <si>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</si>
  <si>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</si>
  <si>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</si>
  <si>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</si>
  <si>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</si>
  <si>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WBS'!L7154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</si>
  <si>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</si>
  <si>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</si>
  <si>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</si>
  <si>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WBS'!L7155</t>
    </r>
  </si>
  <si>
    <t xml:space="preserve">1.7.1</t>
  </si>
  <si>
    <t xml:space="preserve">คำขอขนานไฟ PPIM (ชุด 11 ไฟล์)</t>
  </si>
  <si>
    <t xml:space="preserve">PPIM1A5081BC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</si>
  <si>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</si>
  <si>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</si>
  <si>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</si>
  <si>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</si>
  <si>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</si>
  <si>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</si>
  <si>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</si>
  <si>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</si>
  <si>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</si>
  <si>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</si>
  <si>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</si>
  <si>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</si>
  <si>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</si>
  <si>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</si>
  <si>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</si>
  <si>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</si>
  <si>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</si>
  <si>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</si>
  <si>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</si>
  <si>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</si>
  <si>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(12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</si>
  <si>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</si>
  <si>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</si>
  <si>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</si>
  <si>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</si>
  <si>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</si>
  <si>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WBS'!L7156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</si>
  <si>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</si>
  <si>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</si>
  <si>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</si>
  <si>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WBS'!L7157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</si>
  <si>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</si>
  <si>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</si>
  <si>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</si>
  <si>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WBS'!L7158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</si>
  <si>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</si>
  <si>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</si>
  <si>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</si>
  <si>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WBS'!L7159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</si>
  <si>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</si>
  <si>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</si>
  <si>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</si>
  <si>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WBS'!L7160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</si>
  <si>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</si>
  <si>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</si>
  <si>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</si>
  <si>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WBS'!L7161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</si>
  <si>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</si>
  <si>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</si>
  <si>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</si>
  <si>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WBS'!L7162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</si>
  <si>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</si>
  <si>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</si>
  <si>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</si>
  <si>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</si>
  <si>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</si>
  <si>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</si>
  <si>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</si>
  <si>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WBS'!L7163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</si>
  <si>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</si>
  <si>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</si>
  <si>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</si>
  <si>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WBS'!L7164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</si>
  <si>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</si>
  <si>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</si>
  <si>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</si>
  <si>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WBS'!L7165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</si>
  <si>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</si>
  <si>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</si>
  <si>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</si>
  <si>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WBS'!L7166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</si>
  <si>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</si>
  <si>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</si>
  <si>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</si>
  <si>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WBS'!L7167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</si>
  <si>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</si>
  <si>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</si>
  <si>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</si>
  <si>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</si>
  <si>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</si>
  <si>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</si>
  <si>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</si>
  <si>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WBS'!L7168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</si>
  <si>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</si>
  <si>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</si>
  <si>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</si>
  <si>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WBS'!L7169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</si>
  <si>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</si>
  <si>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</si>
  <si>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</si>
  <si>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WBS'!L7170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</si>
  <si>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</si>
  <si>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</si>
  <si>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</si>
  <si>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WBS'!L7171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</si>
  <si>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</si>
  <si>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</si>
  <si>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</si>
  <si>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WBS'!L7172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</si>
  <si>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</si>
  <si>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</si>
  <si>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</si>
  <si>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</si>
  <si>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</si>
  <si>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</si>
  <si>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</si>
  <si>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WBS'!L7173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</si>
  <si>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</si>
  <si>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</si>
  <si>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</si>
  <si>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WBS'!L7174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</si>
  <si>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</si>
  <si>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</si>
  <si>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</si>
  <si>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</si>
  <si>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</si>
  <si>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</si>
  <si>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</si>
  <si>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WBS'!L7175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</si>
  <si>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</si>
  <si>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</si>
  <si>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</si>
  <si>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WBS'!L7176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</si>
  <si>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</si>
  <si>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</si>
  <si>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</si>
  <si>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WBS'!L7177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</si>
  <si>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</si>
  <si>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</si>
  <si>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</si>
  <si>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WBS'!L7178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</si>
  <si>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</si>
  <si>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</si>
  <si>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</si>
  <si>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</si>
  <si>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</si>
  <si>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</si>
  <si>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</si>
  <si>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</si>
  <si>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WBS'!L7179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</si>
  <si>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</si>
  <si>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</si>
  <si>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</si>
  <si>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WBS'!L7180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</si>
  <si>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</si>
  <si>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</si>
  <si>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</si>
  <si>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WBS'!L7181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</si>
  <si>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</si>
  <si>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</si>
  <si>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</si>
  <si>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WBS'!L7182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</si>
  <si>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</si>
  <si>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</si>
  <si>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</si>
  <si>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WBS'!L7183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</si>
  <si>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</si>
  <si>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</si>
  <si>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</si>
  <si>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</si>
  <si>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</si>
  <si>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</si>
  <si>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WBS'!L7184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</si>
  <si>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</si>
  <si>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</si>
  <si>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</si>
  <si>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WBS'!L7185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</si>
  <si>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</si>
  <si>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</si>
  <si>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</si>
  <si>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WBS'!L7186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</si>
  <si>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</si>
  <si>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</si>
  <si>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</si>
  <si>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</si>
  <si>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</si>
  <si>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</si>
  <si>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</si>
  <si>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</si>
  <si>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</si>
  <si>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</si>
  <si>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WBS'!L7187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</si>
  <si>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</si>
  <si>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</si>
  <si>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</si>
  <si>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</si>
  <si>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</si>
  <si>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</si>
  <si>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</si>
  <si>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</si>
  <si>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WBS'!L7188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</si>
  <si>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</si>
  <si>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</si>
  <si>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</si>
  <si>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WBS'!L7189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</si>
  <si>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</si>
  <si>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</si>
  <si>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</si>
  <si>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WBS'!L7190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</si>
  <si>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</si>
  <si>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</si>
  <si>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</si>
  <si>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</si>
  <si>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</si>
  <si>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</si>
  <si>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WBS'!L7191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</si>
  <si>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</si>
  <si>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</si>
  <si>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</si>
  <si>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WBS'!L7192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</si>
  <si>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</si>
  <si>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</si>
  <si>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</si>
  <si>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WBS'!L7193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</si>
  <si>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</si>
  <si>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</si>
  <si>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</si>
  <si>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</si>
  <si>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</si>
  <si>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</si>
  <si>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</si>
  <si>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WBS'!L7194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</si>
  <si>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</si>
  <si>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</si>
  <si>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</si>
  <si>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WBS'!L7195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</si>
  <si>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</si>
  <si>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</si>
  <si>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</si>
  <si>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</si>
  <si>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</si>
  <si>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</si>
  <si>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</si>
  <si>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</si>
  <si>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</si>
  <si>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WBS'!L7196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</si>
  <si>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</si>
  <si>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</si>
  <si>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</si>
  <si>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WBS'!L7197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</si>
  <si>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</si>
  <si>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</si>
  <si>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</si>
  <si>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WBS'!L7198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</si>
  <si>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</si>
  <si>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</si>
  <si>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</si>
  <si>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WBS'!L7199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</si>
  <si>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</si>
  <si>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</si>
  <si>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</si>
  <si>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WBS'!L7200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</si>
  <si>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</si>
  <si>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</si>
  <si>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</si>
  <si>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WBS'!L7201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</si>
  <si>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</si>
  <si>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</si>
  <si>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</si>
  <si>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</si>
  <si>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</si>
  <si>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คำนวณ ลงนามแล้ว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</si>
  <si>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</si>
  <si>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</si>
  <si>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</si>
  <si>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</si>
  <si>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</si>
  <si>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</si>
  <si>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</si>
  <si>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</si>
  <si>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WBS'!L7202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</si>
  <si>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</si>
  <si>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</si>
  <si>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</si>
  <si>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WBS'!L7203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</si>
  <si>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</si>
  <si>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</si>
  <si>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</si>
  <si>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WBS'!L7204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</si>
  <si>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</si>
  <si>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</si>
  <si>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</si>
  <si>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</si>
  <si>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</si>
  <si>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</si>
  <si>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</si>
  <si>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</si>
  <si>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</si>
  <si>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</si>
  <si>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</si>
  <si>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</si>
  <si>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</si>
  <si>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</si>
  <si>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</si>
  <si>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</si>
  <si>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</si>
  <si>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</si>
  <si>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</si>
  <si>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</si>
  <si>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</si>
  <si>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</si>
  <si>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</si>
  <si>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</si>
  <si>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</si>
  <si>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</si>
  <si>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</si>
  <si>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</si>
  <si>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</si>
  <si>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</si>
  <si>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</si>
  <si>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</si>
  <si>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</si>
  <si>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</si>
  <si>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</si>
  <si>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</si>
  <si>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</si>
  <si>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</si>
  <si>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</si>
  <si>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</si>
  <si>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</si>
  <si>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</si>
  <si>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</si>
  <si>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</si>
  <si>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</si>
  <si>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</si>
  <si>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</si>
  <si>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</si>
  <si>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</si>
  <si>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</si>
  <si>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</si>
  <si>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</si>
  <si>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</si>
  <si>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</si>
  <si>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</si>
  <si>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</si>
  <si>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โรงกรองน้ำนาท่อม การประปาส่วนภูมิภาคสาขาพัทลุง ขนาดกำลังผลิต </t>
    </r>
    <r>
      <rPr>
        <sz val="10"/>
        <rFont val="Tahoma"/>
        <family val="0"/>
        <charset val="1"/>
      </rPr>
      <t xml:space="preserve">250.80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</si>
  <si>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</si>
  <si>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</si>
  <si>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</si>
  <si>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P4-054,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</si>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</sst>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0.671428571428572</c:v>
                </c:pt>
                <c:pt idx="8">
                  <c:v>1.87142857142857</c:v>
                </c:pt>
                <c:pt idx="9">
                  <c:v>2.5</c:v>
                </c:pt>
                <c:pt idx="10">
                  <c:v>2.5</c:v>
                </c:pt>
                <c:pt idx="11">
                  <c:v>6.33333333333333</c:v>
                </c:pt>
                <c:pt idx="12">
                  <c:v>14.1111111111111</c:v>
                </c:pt>
                <c:pt idx="13">
                  <c:v>21.8888888888889</c:v>
                </c:pt>
                <c:pt idx="14">
                  <c:v>66.0654761904762</c:v>
                </c:pt>
                <c:pt idx="15">
                  <c:v>94.8550724637681</c:v>
                </c:pt>
                <c:pt idx="16">
                  <c:v>96.6739130434783</c:v>
                </c:pt>
                <c:pt idx="17">
                  <c:v>96.8260869565218</c:v>
                </c:pt>
                <c:pt idx="18">
                  <c:v>96.9782608695652</c:v>
                </c:pt>
                <c:pt idx="19">
                  <c:v>97.1304347826087</c:v>
                </c:pt>
                <c:pt idx="20">
                  <c:v>97.2826086956522</c:v>
                </c:pt>
                <c:pt idx="21">
                  <c:v>97.4347826086957</c:v>
                </c:pt>
                <c:pt idx="22">
                  <c:v>97.6785714285715</c:v>
                </c:pt>
                <c:pt idx="23">
                  <c:v>98.9285714285715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0.3333</c:v>
                </c:pt>
                <c:pt idx="8">
                  <c:v>0.6666</c:v>
                </c:pt>
                <c:pt idx="9">
                  <c:v>0.9999</c:v>
                </c:pt>
                <c:pt idx="10">
                  <c:v>0.9999</c:v>
                </c:pt>
                <c:pt idx="11">
                  <c:v>0.9999</c:v>
                </c:pt>
                <c:pt idx="12">
                  <c:v>0.9999</c:v>
                </c:pt>
                <c:pt idx="13">
                  <c:v>0.9999</c:v>
                </c:pt>
                <c:pt idx="14">
                  <c:v>0.9999</c:v>
                </c:pt>
                <c:pt idx="15">
                  <c:v>0.9999</c:v>
                </c:pt>
                <c:pt idx="16">
                  <c:v>0.9999</c:v>
                </c:pt>
                <c:pt idx="17">
                  <c:v>0.9999</c:v>
                </c:pt>
                <c:pt idx="18">
                  <c:v>0.9999</c:v>
                </c:pt>
                <c:pt idx="19">
                  <c:v>1.9999</c:v>
                </c:pt>
                <c:pt idx="20">
                  <c:v>1.9999</c:v>
                </c:pt>
                <c:pt idx="21">
                  <c:v>2.4999</c:v>
                </c:pt>
                <c:pt idx="22">
                  <c:v>2.9999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147312"/>
        <c:axId val="98140435"/>
      </c:lineChart>
      <c:catAx>
        <c:axId val="93147312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40435"/>
        <c:crosses val="autoZero"/>
        <c:auto val="1"/>
        <c:lblAlgn val="ctr"/>
        <c:lblOffset val="100"/>
        <c:noMultiLvlLbl val="0"/>
      </c:catAx>
      <c:valAx>
        <c:axId val="981404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473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46476</v>
      </c>
      <c r="G4" s="10"/>
      <c r="H4" s="10"/>
      <c r="J4" s="11" t="n">
        <v>0.03</v>
      </c>
      <c r="K4" s="11"/>
      <c r="L4" s="12" t="n">
        <v>158</v>
      </c>
      <c r="M4" s="12"/>
      <c r="N4" s="12" t="n">
        <v>160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46266</v>
      </c>
      <c r="O8" s="33" t="n">
        <v>46493</v>
      </c>
      <c r="P8" s="34" t="s">
        <v>75</v>
      </c>
      <c r="Q8" s="31" t="n">
        <v>160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46314</v>
      </c>
      <c r="O9" s="45" t="n">
        <v>46493</v>
      </c>
      <c r="P9" s="46" t="s">
        <v>75</v>
      </c>
      <c r="Q9" s="37" t="n">
        <v>160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46314</v>
      </c>
      <c r="O10" s="55" t="n">
        <v>46332</v>
      </c>
      <c r="P10" s="50" t="s">
        <v>75</v>
      </c>
      <c r="Q10" s="52" t="n">
        <v>112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46314</v>
      </c>
      <c r="O11" s="55" t="n">
        <v>46332</v>
      </c>
      <c r="P11" s="50" t="s">
        <v>75</v>
      </c>
      <c r="Q11" s="52" t="n">
        <v>112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46314</v>
      </c>
      <c r="O12" s="55" t="n">
        <v>46332</v>
      </c>
      <c r="P12" s="50" t="s">
        <v>75</v>
      </c>
      <c r="Q12" s="52" t="n">
        <v>112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46314</v>
      </c>
      <c r="O13" s="55" t="n">
        <v>46341</v>
      </c>
      <c r="P13" s="50" t="s">
        <v>75</v>
      </c>
      <c r="Q13" s="52" t="n">
        <v>114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46332</v>
      </c>
      <c r="O14" s="55" t="n">
        <v>46493</v>
      </c>
      <c r="P14" s="50" t="s">
        <v>105</v>
      </c>
      <c r="Q14" s="52" t="n">
        <v>160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110</v>
      </c>
      <c r="N15" s="55" t="n">
        <v>46332</v>
      </c>
      <c r="O15" s="55" t="n">
        <v>46493</v>
      </c>
      <c r="P15" s="50" t="s">
        <v>105</v>
      </c>
      <c r="Q15" s="52" t="n">
        <v>160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112</v>
      </c>
      <c r="C16" s="38" t="s">
        <v>113</v>
      </c>
      <c r="D16" s="39" t="s">
        <v>114</v>
      </c>
      <c r="E16" s="40" t="n">
        <v>0</v>
      </c>
      <c r="F16" s="39" t="s">
        <v>115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/>
      <c r="N16" s="44" t="n">
        <v>46322</v>
      </c>
      <c r="O16" s="45" t="n">
        <v>46331</v>
      </c>
      <c r="P16" s="46" t="s">
        <v>105</v>
      </c>
      <c r="Q16" s="37" t="n">
        <v>93</v>
      </c>
      <c r="R16" s="39"/>
      <c r="S16" s="39" t="n">
        <v>1</v>
      </c>
      <c r="T16" s="39" t="s">
        <v>106</v>
      </c>
      <c r="U16" s="57" t="n">
        <v>46322.0016</v>
      </c>
      <c r="V16" s="47" t="n">
        <v>0</v>
      </c>
      <c r="W16" s="39" t="s">
        <v>86</v>
      </c>
      <c r="X16" s="39" t="s">
        <v>116</v>
      </c>
      <c r="Y16" s="38" t="s">
        <v>117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118</v>
      </c>
      <c r="B17" s="50" t="s">
        <v>119</v>
      </c>
      <c r="C17" s="50" t="s">
        <v>120</v>
      </c>
      <c r="D17" s="52" t="s">
        <v>121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122</v>
      </c>
      <c r="N17" s="55" t="n">
        <v>46322</v>
      </c>
      <c r="O17" s="55" t="n">
        <v>46324</v>
      </c>
      <c r="P17" s="50" t="s">
        <v>105</v>
      </c>
      <c r="Q17" s="52" t="n">
        <v>95</v>
      </c>
      <c r="R17" s="52"/>
      <c r="S17" s="52" t="n">
        <v>2</v>
      </c>
      <c r="T17" s="52" t="s">
        <v>106</v>
      </c>
      <c r="U17" s="52"/>
      <c r="V17" s="56" t="n">
        <v>0</v>
      </c>
      <c r="W17" s="52" t="s">
        <v>80</v>
      </c>
      <c r="X17" s="52"/>
      <c r="Y17" s="52" t="s">
        <v>117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123</v>
      </c>
      <c r="B18" s="50" t="s">
        <v>124</v>
      </c>
      <c r="C18" s="50" t="s">
        <v>125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126</v>
      </c>
      <c r="N18" s="55" t="n">
        <v>46323</v>
      </c>
      <c r="O18" s="55" t="n">
        <v>46326</v>
      </c>
      <c r="P18" s="50" t="s">
        <v>105</v>
      </c>
      <c r="Q18" s="52" t="n">
        <v>95</v>
      </c>
      <c r="R18" s="52"/>
      <c r="S18" s="52" t="n">
        <v>2</v>
      </c>
      <c r="T18" s="52" t="s">
        <v>106</v>
      </c>
      <c r="U18" s="52"/>
      <c r="V18" s="56" t="n">
        <v>0</v>
      </c>
      <c r="W18" s="50" t="s">
        <v>86</v>
      </c>
      <c r="X18" s="52"/>
      <c r="Y18" s="52" t="s">
        <v>117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127</v>
      </c>
      <c r="B19" s="50" t="s">
        <v>128</v>
      </c>
      <c r="C19" s="50" t="s">
        <v>129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130</v>
      </c>
      <c r="N19" s="55" t="n">
        <v>46325</v>
      </c>
      <c r="O19" s="55" t="n">
        <v>46328</v>
      </c>
      <c r="P19" s="50" t="s">
        <v>105</v>
      </c>
      <c r="Q19" s="52" t="n">
        <v>93</v>
      </c>
      <c r="R19" s="52"/>
      <c r="S19" s="52" t="n">
        <v>2</v>
      </c>
      <c r="T19" s="52" t="s">
        <v>106</v>
      </c>
      <c r="U19" s="52"/>
      <c r="V19" s="56" t="n">
        <v>0</v>
      </c>
      <c r="W19" s="50" t="s">
        <v>86</v>
      </c>
      <c r="X19" s="52"/>
      <c r="Y19" s="52" t="s">
        <v>117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131</v>
      </c>
      <c r="B20" s="50" t="s">
        <v>132</v>
      </c>
      <c r="C20" s="50" t="s">
        <v>133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134</v>
      </c>
      <c r="N20" s="55" t="n">
        <v>46325</v>
      </c>
      <c r="O20" s="55" t="n">
        <v>46328</v>
      </c>
      <c r="P20" s="50" t="s">
        <v>105</v>
      </c>
      <c r="Q20" s="52" t="n">
        <v>93</v>
      </c>
      <c r="R20" s="52"/>
      <c r="S20" s="52" t="n">
        <v>2</v>
      </c>
      <c r="T20" s="52" t="s">
        <v>106</v>
      </c>
      <c r="U20" s="52"/>
      <c r="V20" s="56" t="n">
        <v>0</v>
      </c>
      <c r="W20" s="50" t="s">
        <v>86</v>
      </c>
      <c r="X20" s="52"/>
      <c r="Y20" s="52" t="s">
        <v>117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135</v>
      </c>
      <c r="B21" s="50" t="s">
        <v>136</v>
      </c>
      <c r="C21" s="50" t="s">
        <v>137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138</v>
      </c>
      <c r="N21" s="55" t="n">
        <v>46326</v>
      </c>
      <c r="O21" s="55" t="n">
        <v>46329</v>
      </c>
      <c r="P21" s="50" t="s">
        <v>105</v>
      </c>
      <c r="Q21" s="52" t="n">
        <v>93</v>
      </c>
      <c r="R21" s="52"/>
      <c r="S21" s="52" t="n">
        <v>2</v>
      </c>
      <c r="T21" s="52" t="s">
        <v>106</v>
      </c>
      <c r="U21" s="52"/>
      <c r="V21" s="56" t="n">
        <v>0</v>
      </c>
      <c r="W21" s="50" t="s">
        <v>86</v>
      </c>
      <c r="X21" s="52"/>
      <c r="Y21" s="52" t="s">
        <v>117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139</v>
      </c>
      <c r="B22" s="50" t="s">
        <v>140</v>
      </c>
      <c r="C22" s="50" t="s">
        <v>141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142</v>
      </c>
      <c r="N22" s="55" t="n">
        <v>46327</v>
      </c>
      <c r="O22" s="55" t="n">
        <v>46330</v>
      </c>
      <c r="P22" s="50" t="s">
        <v>105</v>
      </c>
      <c r="Q22" s="52" t="n">
        <v>93</v>
      </c>
      <c r="R22" s="52"/>
      <c r="S22" s="52" t="n">
        <v>2</v>
      </c>
      <c r="T22" s="52" t="s">
        <v>106</v>
      </c>
      <c r="U22" s="52"/>
      <c r="V22" s="56" t="n">
        <v>0</v>
      </c>
      <c r="W22" s="50" t="s">
        <v>86</v>
      </c>
      <c r="X22" s="52"/>
      <c r="Y22" s="52" t="s">
        <v>117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143</v>
      </c>
      <c r="B23" s="50" t="s">
        <v>144</v>
      </c>
      <c r="C23" s="50" t="s">
        <v>145</v>
      </c>
      <c r="D23" s="50" t="s">
        <v>91</v>
      </c>
      <c r="E23" s="51" t="n">
        <v>0</v>
      </c>
      <c r="F23" s="52"/>
      <c r="G23" s="52"/>
      <c r="H23" s="52"/>
      <c r="I23" s="53" t="n">
        <v>46233</v>
      </c>
      <c r="J23" s="53" t="n">
        <v>46238</v>
      </c>
      <c r="K23" s="52"/>
      <c r="L23" s="52"/>
      <c r="M23" s="54" t="s">
        <v>146</v>
      </c>
      <c r="N23" s="55" t="n">
        <v>46327</v>
      </c>
      <c r="O23" s="55" t="n">
        <v>46331</v>
      </c>
      <c r="P23" s="50" t="s">
        <v>105</v>
      </c>
      <c r="Q23" s="52" t="n">
        <v>93</v>
      </c>
      <c r="R23" s="52"/>
      <c r="S23" s="52" t="n">
        <v>2</v>
      </c>
      <c r="T23" s="52" t="s">
        <v>106</v>
      </c>
      <c r="U23" s="52"/>
      <c r="V23" s="56" t="n">
        <v>0</v>
      </c>
      <c r="W23" s="50" t="s">
        <v>86</v>
      </c>
      <c r="X23" s="52"/>
      <c r="Y23" s="52" t="s">
        <v>117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147</v>
      </c>
      <c r="B24" s="50" t="s">
        <v>148</v>
      </c>
      <c r="C24" s="50" t="s">
        <v>149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150</v>
      </c>
      <c r="N24" s="55" t="n">
        <v>46327</v>
      </c>
      <c r="O24" s="55" t="n">
        <v>46331</v>
      </c>
      <c r="P24" s="50" t="s">
        <v>105</v>
      </c>
      <c r="Q24" s="52" t="n">
        <v>93</v>
      </c>
      <c r="R24" s="52"/>
      <c r="S24" s="52" t="n">
        <v>2</v>
      </c>
      <c r="T24" s="52" t="s">
        <v>106</v>
      </c>
      <c r="U24" s="52"/>
      <c r="V24" s="56" t="n">
        <v>0</v>
      </c>
      <c r="W24" s="50" t="s">
        <v>86</v>
      </c>
      <c r="X24" s="52"/>
      <c r="Y24" s="52" t="s">
        <v>117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151</v>
      </c>
      <c r="B25" s="39" t="s">
        <v>152</v>
      </c>
      <c r="C25" s="38" t="s">
        <v>153</v>
      </c>
      <c r="D25" s="39" t="s">
        <v>114</v>
      </c>
      <c r="E25" s="40" t="n">
        <v>0</v>
      </c>
      <c r="F25" s="39" t="s">
        <v>154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46266</v>
      </c>
      <c r="M25" s="43"/>
      <c r="N25" s="44" t="n">
        <v>46266</v>
      </c>
      <c r="O25" s="45" t="n">
        <v>46266</v>
      </c>
      <c r="P25" s="46" t="s">
        <v>60</v>
      </c>
      <c r="Q25" s="37" t="n">
        <v>34</v>
      </c>
      <c r="R25" s="39"/>
      <c r="S25" s="39" t="n">
        <v>1</v>
      </c>
      <c r="T25" s="39" t="s">
        <v>155</v>
      </c>
      <c r="U25" s="39"/>
      <c r="V25" s="47" t="n">
        <v>1</v>
      </c>
      <c r="W25" s="38" t="s">
        <v>80</v>
      </c>
      <c r="X25" s="39" t="s">
        <v>156</v>
      </c>
      <c r="Y25" s="38" t="s">
        <v>157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158</v>
      </c>
      <c r="B26" s="50" t="s">
        <v>159</v>
      </c>
      <c r="C26" s="50" t="s">
        <v>160</v>
      </c>
      <c r="D26" s="52" t="s">
        <v>121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161</v>
      </c>
      <c r="N26" s="55" t="n">
        <v>46266</v>
      </c>
      <c r="O26" s="55" t="n">
        <v>46266</v>
      </c>
      <c r="P26" s="50" t="s">
        <v>162</v>
      </c>
      <c r="Q26" s="52" t="n">
        <v>34</v>
      </c>
      <c r="R26" s="52"/>
      <c r="S26" s="52" t="n">
        <v>2</v>
      </c>
      <c r="T26" s="52" t="s">
        <v>163</v>
      </c>
      <c r="U26" s="52"/>
      <c r="V26" s="56" t="n">
        <v>1</v>
      </c>
      <c r="W26" s="50" t="s">
        <v>86</v>
      </c>
      <c r="X26" s="52"/>
      <c r="Y26" s="52" t="s">
        <v>157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121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167</v>
      </c>
      <c r="N27" s="55" t="n">
        <v>46266</v>
      </c>
      <c r="O27" s="55" t="n">
        <v>46266</v>
      </c>
      <c r="P27" s="50" t="s">
        <v>162</v>
      </c>
      <c r="Q27" s="52" t="n">
        <v>34</v>
      </c>
      <c r="R27" s="52"/>
      <c r="S27" s="52" t="n">
        <v>2</v>
      </c>
      <c r="T27" s="52" t="s">
        <v>163</v>
      </c>
      <c r="U27" s="52"/>
      <c r="V27" s="56" t="n">
        <v>1</v>
      </c>
      <c r="W27" s="52" t="s">
        <v>80</v>
      </c>
      <c r="X27" s="52"/>
      <c r="Y27" s="52" t="s">
        <v>157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171</v>
      </c>
      <c r="N28" s="55" t="n">
        <v>46266</v>
      </c>
      <c r="O28" s="55" t="n">
        <v>46266</v>
      </c>
      <c r="P28" s="50" t="s">
        <v>162</v>
      </c>
      <c r="Q28" s="52" t="n">
        <v>34</v>
      </c>
      <c r="R28" s="52"/>
      <c r="S28" s="52" t="n">
        <v>2</v>
      </c>
      <c r="T28" s="52" t="s">
        <v>163</v>
      </c>
      <c r="U28" s="52"/>
      <c r="V28" s="56" t="n">
        <v>1</v>
      </c>
      <c r="W28" s="52" t="s">
        <v>80</v>
      </c>
      <c r="X28" s="52"/>
      <c r="Y28" s="52" t="s">
        <v>157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46215</v>
      </c>
      <c r="O29" s="33" t="n">
        <v>46476</v>
      </c>
      <c r="P29" s="34" t="s">
        <v>75</v>
      </c>
      <c r="Q29" s="31" t="n">
        <v>160</v>
      </c>
      <c r="R29" s="31"/>
      <c r="S29" s="31" t="n">
        <v>0</v>
      </c>
      <c r="T29" s="31" t="s">
        <v>76</v>
      </c>
      <c r="U29" s="31"/>
      <c r="V29" s="35" t="n">
        <v>0.6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/>
      <c r="N30" s="44" t="n">
        <v>46314</v>
      </c>
      <c r="O30" s="45" t="n">
        <v>46314</v>
      </c>
      <c r="P30" s="46" t="s">
        <v>75</v>
      </c>
      <c r="Q30" s="37" t="n">
        <v>106</v>
      </c>
      <c r="R30" s="39"/>
      <c r="S30" s="39" t="n">
        <v>1</v>
      </c>
      <c r="T30" s="39" t="s">
        <v>76</v>
      </c>
      <c r="U30" s="57" t="n">
        <v>46314.003</v>
      </c>
      <c r="V30" s="47" t="n">
        <v>0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181</v>
      </c>
      <c r="N31" s="55" t="n">
        <v>46314</v>
      </c>
      <c r="O31" s="55" t="n">
        <v>46314</v>
      </c>
      <c r="P31" s="50" t="s">
        <v>75</v>
      </c>
      <c r="Q31" s="52" t="n">
        <v>106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121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185</v>
      </c>
      <c r="N32" s="55" t="n">
        <v>46314</v>
      </c>
      <c r="O32" s="55" t="n">
        <v>46314</v>
      </c>
      <c r="P32" s="50" t="s">
        <v>75</v>
      </c>
      <c r="Q32" s="52" t="n">
        <v>106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189</v>
      </c>
      <c r="N33" s="55" t="n">
        <v>46314</v>
      </c>
      <c r="O33" s="55" t="n">
        <v>46314</v>
      </c>
      <c r="P33" s="50" t="s">
        <v>75</v>
      </c>
      <c r="Q33" s="52" t="n">
        <v>106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/>
      <c r="N34" s="44" t="n">
        <v>46314</v>
      </c>
      <c r="O34" s="45" t="n">
        <v>46314</v>
      </c>
      <c r="P34" s="46" t="s">
        <v>75</v>
      </c>
      <c r="Q34" s="37" t="n">
        <v>90</v>
      </c>
      <c r="R34" s="39"/>
      <c r="S34" s="39" t="n">
        <v>1</v>
      </c>
      <c r="T34" s="39" t="s">
        <v>76</v>
      </c>
      <c r="U34" s="57" t="n">
        <v>46314.0034</v>
      </c>
      <c r="V34" s="47" t="n">
        <v>0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197</v>
      </c>
      <c r="N35" s="55" t="n">
        <v>46314</v>
      </c>
      <c r="O35" s="55" t="n">
        <v>46314</v>
      </c>
      <c r="P35" s="50" t="s">
        <v>75</v>
      </c>
      <c r="Q35" s="52" t="n">
        <v>95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201</v>
      </c>
      <c r="N36" s="55" t="n">
        <v>46314</v>
      </c>
      <c r="O36" s="55" t="n">
        <v>46314</v>
      </c>
      <c r="P36" s="50" t="s">
        <v>75</v>
      </c>
      <c r="Q36" s="52" t="n">
        <v>94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205</v>
      </c>
      <c r="N37" s="55" t="n">
        <v>46314</v>
      </c>
      <c r="O37" s="55" t="n">
        <v>46314</v>
      </c>
      <c r="P37" s="50" t="s">
        <v>75</v>
      </c>
      <c r="Q37" s="52" t="n">
        <v>93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209</v>
      </c>
      <c r="N38" s="55" t="n">
        <v>46314</v>
      </c>
      <c r="O38" s="55" t="n">
        <v>46314</v>
      </c>
      <c r="P38" s="50" t="s">
        <v>75</v>
      </c>
      <c r="Q38" s="52" t="n">
        <v>90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/>
      <c r="N39" s="44" t="n">
        <v>46321</v>
      </c>
      <c r="O39" s="45" t="n">
        <v>46321</v>
      </c>
      <c r="P39" s="46" t="s">
        <v>105</v>
      </c>
      <c r="Q39" s="37" t="n">
        <v>83</v>
      </c>
      <c r="R39" s="39"/>
      <c r="S39" s="39" t="n">
        <v>1</v>
      </c>
      <c r="T39" s="39" t="s">
        <v>106</v>
      </c>
      <c r="U39" s="57" t="n">
        <v>46321.0039</v>
      </c>
      <c r="V39" s="47" t="n">
        <v>0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217</v>
      </c>
      <c r="N40" s="55" t="n">
        <v>46321</v>
      </c>
      <c r="O40" s="55" t="n">
        <v>46321</v>
      </c>
      <c r="P40" s="50" t="s">
        <v>105</v>
      </c>
      <c r="Q40" s="52" t="n">
        <v>83</v>
      </c>
      <c r="R40" s="52"/>
      <c r="S40" s="52" t="n">
        <v>2</v>
      </c>
      <c r="T40" s="52" t="s">
        <v>106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221</v>
      </c>
      <c r="N41" s="55" t="n">
        <v>46321</v>
      </c>
      <c r="O41" s="55" t="n">
        <v>46321</v>
      </c>
      <c r="P41" s="50" t="s">
        <v>105</v>
      </c>
      <c r="Q41" s="52" t="n">
        <v>83</v>
      </c>
      <c r="R41" s="52"/>
      <c r="S41" s="52" t="n">
        <v>2</v>
      </c>
      <c r="T41" s="52" t="s">
        <v>106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225</v>
      </c>
      <c r="N42" s="55" t="n">
        <v>46321</v>
      </c>
      <c r="O42" s="55" t="n">
        <v>46321</v>
      </c>
      <c r="P42" s="50" t="s">
        <v>105</v>
      </c>
      <c r="Q42" s="52" t="n">
        <v>83</v>
      </c>
      <c r="R42" s="52"/>
      <c r="S42" s="52" t="n">
        <v>2</v>
      </c>
      <c r="T42" s="52" t="s">
        <v>106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114</v>
      </c>
      <c r="E43" s="40" t="n">
        <v>1</v>
      </c>
      <c r="F43" s="39" t="s">
        <v>229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230</v>
      </c>
      <c r="N43" s="44" t="n">
        <v>46215</v>
      </c>
      <c r="O43" s="45" t="n">
        <v>46228</v>
      </c>
      <c r="P43" s="46" t="s">
        <v>231</v>
      </c>
      <c r="Q43" s="37" t="n">
        <v>0</v>
      </c>
      <c r="R43" s="39"/>
      <c r="S43" s="39" t="n">
        <v>1</v>
      </c>
      <c r="T43" s="39" t="s">
        <v>163</v>
      </c>
      <c r="U43" s="39"/>
      <c r="V43" s="47" t="n">
        <v>1</v>
      </c>
      <c r="W43" s="38" t="s">
        <v>80</v>
      </c>
      <c r="X43" s="39" t="s">
        <v>232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233</v>
      </c>
      <c r="B44" s="50" t="s">
        <v>234</v>
      </c>
      <c r="C44" s="50" t="s">
        <v>235</v>
      </c>
      <c r="D44" s="50" t="s">
        <v>86</v>
      </c>
      <c r="E44" s="51" t="n">
        <v>0.2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236</v>
      </c>
      <c r="N44" s="55" t="n">
        <v>46215</v>
      </c>
      <c r="O44" s="55" t="n">
        <v>46218</v>
      </c>
      <c r="P44" s="50" t="s">
        <v>162</v>
      </c>
      <c r="Q44" s="52" t="n">
        <v>0</v>
      </c>
      <c r="R44" s="52"/>
      <c r="S44" s="52" t="n">
        <v>2</v>
      </c>
      <c r="T44" s="52" t="s">
        <v>163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237</v>
      </c>
      <c r="B45" s="50" t="s">
        <v>238</v>
      </c>
      <c r="C45" s="50" t="s">
        <v>239</v>
      </c>
      <c r="D45" s="52" t="s">
        <v>121</v>
      </c>
      <c r="E45" s="51" t="n">
        <v>0.4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240</v>
      </c>
      <c r="N45" s="55" t="n">
        <v>46216</v>
      </c>
      <c r="O45" s="55" t="n">
        <v>46222</v>
      </c>
      <c r="P45" s="50" t="s">
        <v>162</v>
      </c>
      <c r="Q45" s="52" t="n">
        <v>1</v>
      </c>
      <c r="R45" s="52"/>
      <c r="S45" s="52" t="n">
        <v>2</v>
      </c>
      <c r="T45" s="52" t="s">
        <v>163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241</v>
      </c>
      <c r="B46" s="50" t="s">
        <v>242</v>
      </c>
      <c r="C46" s="50" t="s">
        <v>243</v>
      </c>
      <c r="D46" s="52" t="s">
        <v>121</v>
      </c>
      <c r="E46" s="51" t="n">
        <v>0.4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244</v>
      </c>
      <c r="N46" s="55" t="n">
        <v>46222</v>
      </c>
      <c r="O46" s="55" t="n">
        <v>46228</v>
      </c>
      <c r="P46" s="50" t="s">
        <v>162</v>
      </c>
      <c r="Q46" s="52" t="n">
        <v>0</v>
      </c>
      <c r="R46" s="52"/>
      <c r="S46" s="52" t="n">
        <v>2</v>
      </c>
      <c r="T46" s="52" t="s">
        <v>163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245</v>
      </c>
      <c r="B47" s="39" t="s">
        <v>246</v>
      </c>
      <c r="C47" s="39"/>
      <c r="D47" s="39" t="s">
        <v>114</v>
      </c>
      <c r="E47" s="40" t="n">
        <v>1</v>
      </c>
      <c r="F47" s="38" t="s">
        <v>247</v>
      </c>
      <c r="G47" s="37"/>
      <c r="H47" s="37" t="n">
        <v>1</v>
      </c>
      <c r="I47" s="41" t="n">
        <v>46271</v>
      </c>
      <c r="J47" s="41" t="n">
        <v>46271</v>
      </c>
      <c r="K47" s="42"/>
      <c r="L47" s="42" t="n">
        <v>46293</v>
      </c>
      <c r="M47" s="43"/>
      <c r="N47" s="44" t="n">
        <v>46293</v>
      </c>
      <c r="O47" s="45" t="n">
        <v>46293</v>
      </c>
      <c r="P47" s="46" t="s">
        <v>60</v>
      </c>
      <c r="Q47" s="37" t="n">
        <v>22</v>
      </c>
      <c r="R47" s="39"/>
      <c r="S47" s="39" t="n">
        <v>1</v>
      </c>
      <c r="T47" s="39" t="s">
        <v>155</v>
      </c>
      <c r="U47" s="39"/>
      <c r="V47" s="47" t="n">
        <v>1</v>
      </c>
      <c r="W47" s="38" t="s">
        <v>80</v>
      </c>
      <c r="X47" s="39" t="s">
        <v>248</v>
      </c>
      <c r="Y47" s="38" t="s">
        <v>249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250</v>
      </c>
      <c r="B48" s="52" t="s">
        <v>251</v>
      </c>
      <c r="C48" s="52" t="s">
        <v>252</v>
      </c>
      <c r="D48" s="52" t="s">
        <v>121</v>
      </c>
      <c r="E48" s="51" t="n">
        <v>0.2</v>
      </c>
      <c r="F48" s="52"/>
      <c r="G48" s="52"/>
      <c r="H48" s="52"/>
      <c r="I48" s="53" t="n">
        <v>46271</v>
      </c>
      <c r="J48" s="53" t="n">
        <v>46271</v>
      </c>
      <c r="K48" s="52"/>
      <c r="L48" s="52"/>
      <c r="M48" s="54" t="s">
        <v>253</v>
      </c>
      <c r="N48" s="55" t="n">
        <v>46293</v>
      </c>
      <c r="O48" s="55" t="n">
        <v>46293</v>
      </c>
      <c r="P48" s="50" t="s">
        <v>162</v>
      </c>
      <c r="Q48" s="52" t="n">
        <v>22</v>
      </c>
      <c r="R48" s="52"/>
      <c r="S48" s="52" t="n">
        <v>2</v>
      </c>
      <c r="T48" s="52" t="s">
        <v>163</v>
      </c>
      <c r="U48" s="52"/>
      <c r="V48" s="56" t="n">
        <v>1</v>
      </c>
      <c r="W48" s="50" t="s">
        <v>86</v>
      </c>
      <c r="X48" s="52"/>
      <c r="Y48" s="52" t="s">
        <v>249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254</v>
      </c>
      <c r="B49" s="50" t="s">
        <v>255</v>
      </c>
      <c r="C49" s="50" t="s">
        <v>256</v>
      </c>
      <c r="D49" s="52" t="s">
        <v>121</v>
      </c>
      <c r="E49" s="51" t="n">
        <v>0.4</v>
      </c>
      <c r="F49" s="52"/>
      <c r="G49" s="52"/>
      <c r="H49" s="52"/>
      <c r="I49" s="53" t="n">
        <v>46271</v>
      </c>
      <c r="J49" s="53" t="n">
        <v>46271</v>
      </c>
      <c r="K49" s="52"/>
      <c r="L49" s="52"/>
      <c r="M49" s="54" t="s">
        <v>257</v>
      </c>
      <c r="N49" s="55" t="n">
        <v>46293</v>
      </c>
      <c r="O49" s="55" t="n">
        <v>46293</v>
      </c>
      <c r="P49" s="50" t="s">
        <v>162</v>
      </c>
      <c r="Q49" s="52" t="n">
        <v>22</v>
      </c>
      <c r="R49" s="52"/>
      <c r="S49" s="52" t="n">
        <v>2</v>
      </c>
      <c r="T49" s="52" t="s">
        <v>163</v>
      </c>
      <c r="U49" s="52"/>
      <c r="V49" s="56" t="n">
        <v>1</v>
      </c>
      <c r="W49" s="52" t="s">
        <v>80</v>
      </c>
      <c r="X49" s="52"/>
      <c r="Y49" s="52" t="s">
        <v>249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258</v>
      </c>
      <c r="B50" s="39" t="s">
        <v>259</v>
      </c>
      <c r="C50" s="39"/>
      <c r="D50" s="39" t="s">
        <v>260</v>
      </c>
      <c r="E50" s="40" t="n">
        <v>0</v>
      </c>
      <c r="F50" s="38" t="s">
        <v>245</v>
      </c>
      <c r="G50" s="37" t="n">
        <v>0</v>
      </c>
      <c r="H50" s="58" t="n">
        <v>30</v>
      </c>
      <c r="I50" s="41" t="n">
        <v>46272</v>
      </c>
      <c r="J50" s="41" t="n">
        <v>46301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42</v>
      </c>
      <c r="R50" s="39"/>
      <c r="S50" s="39" t="n">
        <v>1</v>
      </c>
      <c r="T50" s="39" t="s">
        <v>76</v>
      </c>
      <c r="U50" s="57" t="n">
        <v>46314.005</v>
      </c>
      <c r="V50" s="47" t="n">
        <v>0</v>
      </c>
      <c r="W50" s="38" t="s">
        <v>80</v>
      </c>
      <c r="X50" s="39"/>
      <c r="Y50" s="38" t="s">
        <v>249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261</v>
      </c>
      <c r="B51" s="50" t="s">
        <v>262</v>
      </c>
      <c r="C51" s="50" t="s">
        <v>263</v>
      </c>
      <c r="D51" s="52" t="s">
        <v>121</v>
      </c>
      <c r="E51" s="51" t="n">
        <v>0.4</v>
      </c>
      <c r="F51" s="52"/>
      <c r="G51" s="52"/>
      <c r="H51" s="52"/>
      <c r="I51" s="53" t="n">
        <v>46271</v>
      </c>
      <c r="J51" s="53" t="n">
        <v>46271</v>
      </c>
      <c r="K51" s="52"/>
      <c r="L51" s="52"/>
      <c r="M51" s="54" t="s">
        <v>264</v>
      </c>
      <c r="N51" s="55" t="n">
        <v>46293</v>
      </c>
      <c r="O51" s="55" t="n">
        <v>46293</v>
      </c>
      <c r="P51" s="50" t="s">
        <v>162</v>
      </c>
      <c r="Q51" s="52" t="n">
        <v>22</v>
      </c>
      <c r="R51" s="52"/>
      <c r="S51" s="52" t="n">
        <v>2</v>
      </c>
      <c r="T51" s="52" t="s">
        <v>163</v>
      </c>
      <c r="U51" s="52"/>
      <c r="V51" s="56" t="n">
        <v>1</v>
      </c>
      <c r="W51" s="52" t="s">
        <v>80</v>
      </c>
      <c r="X51" s="52"/>
      <c r="Y51" s="52" t="s">
        <v>249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265</v>
      </c>
      <c r="B52" s="38" t="s">
        <v>266</v>
      </c>
      <c r="C52" s="39"/>
      <c r="D52" s="39" t="s">
        <v>114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267</v>
      </c>
      <c r="Q52" s="37"/>
      <c r="R52" s="39"/>
      <c r="S52" s="39" t="n">
        <v>1</v>
      </c>
      <c r="T52" s="39" t="s">
        <v>268</v>
      </c>
      <c r="U52" s="39"/>
      <c r="V52" s="47" t="n">
        <v>0</v>
      </c>
      <c r="W52" s="38" t="s">
        <v>80</v>
      </c>
      <c r="X52" s="39" t="s">
        <v>269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270</v>
      </c>
      <c r="B53" s="50" t="s">
        <v>271</v>
      </c>
      <c r="C53" s="50" t="s">
        <v>272</v>
      </c>
      <c r="D53" s="52" t="s">
        <v>121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273</v>
      </c>
      <c r="N53" s="55"/>
      <c r="O53" s="55"/>
      <c r="P53" s="50" t="s">
        <v>267</v>
      </c>
      <c r="Q53" s="52"/>
      <c r="R53" s="52"/>
      <c r="S53" s="52" t="n">
        <v>2</v>
      </c>
      <c r="T53" s="52" t="s">
        <v>268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274</v>
      </c>
      <c r="B54" s="50" t="s">
        <v>275</v>
      </c>
      <c r="C54" s="50" t="s">
        <v>276</v>
      </c>
      <c r="D54" s="52" t="s">
        <v>121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277</v>
      </c>
      <c r="N54" s="55"/>
      <c r="O54" s="55"/>
      <c r="P54" s="50" t="s">
        <v>267</v>
      </c>
      <c r="Q54" s="52"/>
      <c r="R54" s="52"/>
      <c r="S54" s="52" t="n">
        <v>2</v>
      </c>
      <c r="T54" s="52" t="s">
        <v>268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278</v>
      </c>
      <c r="B55" s="39" t="s">
        <v>279</v>
      </c>
      <c r="C55" s="38" t="s">
        <v>280</v>
      </c>
      <c r="D55" s="39" t="s">
        <v>114</v>
      </c>
      <c r="E55" s="40" t="n">
        <v>1</v>
      </c>
      <c r="F55" s="38" t="s">
        <v>247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46307</v>
      </c>
      <c r="M55" s="43"/>
      <c r="N55" s="44" t="n">
        <v>46307</v>
      </c>
      <c r="O55" s="45" t="n">
        <v>46307</v>
      </c>
      <c r="P55" s="46" t="s">
        <v>60</v>
      </c>
      <c r="Q55" s="37" t="n">
        <v>36</v>
      </c>
      <c r="R55" s="39"/>
      <c r="S55" s="39" t="n">
        <v>1</v>
      </c>
      <c r="T55" s="39" t="s">
        <v>155</v>
      </c>
      <c r="U55" s="39"/>
      <c r="V55" s="47" t="n">
        <v>1</v>
      </c>
      <c r="W55" s="38" t="s">
        <v>80</v>
      </c>
      <c r="X55" s="39"/>
      <c r="Y55" s="38" t="s">
        <v>281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282</v>
      </c>
      <c r="B56" s="39" t="s">
        <v>283</v>
      </c>
      <c r="C56" s="39"/>
      <c r="D56" s="39" t="s">
        <v>114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267</v>
      </c>
      <c r="Q56" s="37"/>
      <c r="R56" s="39"/>
      <c r="S56" s="39" t="n">
        <v>1</v>
      </c>
      <c r="T56" s="39" t="s">
        <v>268</v>
      </c>
      <c r="U56" s="39"/>
      <c r="V56" s="47" t="n">
        <v>0</v>
      </c>
      <c r="W56" s="38" t="s">
        <v>80</v>
      </c>
      <c r="X56" s="39"/>
      <c r="Y56" s="38" t="s">
        <v>281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284</v>
      </c>
      <c r="B57" s="39" t="s">
        <v>28</v>
      </c>
      <c r="C57" s="39" t="s">
        <v>285</v>
      </c>
      <c r="D57" s="39" t="s">
        <v>286</v>
      </c>
      <c r="E57" s="40" t="n">
        <v>0</v>
      </c>
      <c r="F57" s="38" t="s">
        <v>247</v>
      </c>
      <c r="G57" s="37"/>
      <c r="H57" s="37" t="n">
        <v>21</v>
      </c>
      <c r="I57" s="41" t="n">
        <v>46272</v>
      </c>
      <c r="J57" s="41" t="n">
        <v>46292</v>
      </c>
      <c r="K57" s="42" t="n">
        <v>46307</v>
      </c>
      <c r="L57" s="42"/>
      <c r="M57" s="43"/>
      <c r="N57" s="44" t="n">
        <v>46307</v>
      </c>
      <c r="O57" s="45" t="n">
        <v>46329</v>
      </c>
      <c r="P57" s="46" t="s">
        <v>75</v>
      </c>
      <c r="Q57" s="37" t="n">
        <v>37</v>
      </c>
      <c r="R57" s="39"/>
      <c r="S57" s="39" t="n">
        <v>1</v>
      </c>
      <c r="T57" s="39" t="s">
        <v>76</v>
      </c>
      <c r="U57" s="57" t="n">
        <v>46307.0057</v>
      </c>
      <c r="V57" s="47" t="n">
        <v>0</v>
      </c>
      <c r="W57" s="38" t="s">
        <v>80</v>
      </c>
      <c r="X57" s="39"/>
      <c r="Y57" s="38" t="s">
        <v>281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287</v>
      </c>
      <c r="B58" s="39" t="s">
        <v>288</v>
      </c>
      <c r="C58" s="39"/>
      <c r="D58" s="39" t="s">
        <v>114</v>
      </c>
      <c r="E58" s="40" t="n">
        <v>0</v>
      </c>
      <c r="F58" s="38" t="s">
        <v>247</v>
      </c>
      <c r="G58" s="37"/>
      <c r="H58" s="58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46330</v>
      </c>
      <c r="O58" s="45" t="n">
        <v>46336</v>
      </c>
      <c r="P58" s="46" t="s">
        <v>105</v>
      </c>
      <c r="Q58" s="37" t="n">
        <v>37</v>
      </c>
      <c r="R58" s="39"/>
      <c r="S58" s="39" t="n">
        <v>1</v>
      </c>
      <c r="T58" s="39" t="s">
        <v>106</v>
      </c>
      <c r="U58" s="57" t="n">
        <v>46330.0058</v>
      </c>
      <c r="V58" s="47" t="n">
        <v>0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/>
      <c r="D59" s="39" t="s">
        <v>114</v>
      </c>
      <c r="E59" s="40" t="n">
        <v>0</v>
      </c>
      <c r="F59" s="38" t="s">
        <v>247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46433</v>
      </c>
      <c r="O59" s="45" t="n">
        <v>46433</v>
      </c>
      <c r="P59" s="46" t="s">
        <v>105</v>
      </c>
      <c r="Q59" s="37" t="n">
        <v>133</v>
      </c>
      <c r="R59" s="39"/>
      <c r="S59" s="39" t="n">
        <v>1</v>
      </c>
      <c r="T59" s="39" t="s">
        <v>106</v>
      </c>
      <c r="U59" s="57" t="n">
        <v>46433.0059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247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46435</v>
      </c>
      <c r="O60" s="60" t="n">
        <v>46476</v>
      </c>
      <c r="P60" s="46" t="s">
        <v>105</v>
      </c>
      <c r="Q60" s="37" t="n">
        <v>160</v>
      </c>
      <c r="R60" s="39"/>
      <c r="S60" s="39" t="n">
        <v>1</v>
      </c>
      <c r="T60" s="39" t="s">
        <v>106</v>
      </c>
      <c r="U60" s="57" t="n">
        <v>46435.006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46320</v>
      </c>
      <c r="O61" s="33" t="n">
        <v>46356</v>
      </c>
      <c r="P61" s="34" t="s">
        <v>105</v>
      </c>
      <c r="Q61" s="31" t="n">
        <v>86</v>
      </c>
      <c r="R61" s="31"/>
      <c r="S61" s="31" t="n">
        <v>0</v>
      </c>
      <c r="T61" s="31" t="s">
        <v>106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25</v>
      </c>
      <c r="I62" s="41" t="n">
        <v>46241</v>
      </c>
      <c r="J62" s="41" t="n">
        <v>46258</v>
      </c>
      <c r="K62" s="42"/>
      <c r="L62" s="42"/>
      <c r="M62" s="43"/>
      <c r="N62" s="44" t="n">
        <v>46320</v>
      </c>
      <c r="O62" s="45" t="n">
        <v>46344</v>
      </c>
      <c r="P62" s="46" t="s">
        <v>105</v>
      </c>
      <c r="Q62" s="37" t="n">
        <v>86</v>
      </c>
      <c r="R62" s="39"/>
      <c r="S62" s="39" t="n">
        <v>1</v>
      </c>
      <c r="T62" s="39" t="s">
        <v>106</v>
      </c>
      <c r="U62" s="57" t="n">
        <v>46320.0062</v>
      </c>
      <c r="V62" s="47" t="n">
        <v>0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307</v>
      </c>
      <c r="N63" s="55" t="n">
        <v>46320</v>
      </c>
      <c r="O63" s="55" t="n">
        <v>46322</v>
      </c>
      <c r="P63" s="50" t="s">
        <v>105</v>
      </c>
      <c r="Q63" s="52" t="n">
        <v>79</v>
      </c>
      <c r="R63" s="52"/>
      <c r="S63" s="52" t="n">
        <v>2</v>
      </c>
      <c r="T63" s="52" t="s">
        <v>106</v>
      </c>
      <c r="U63" s="52"/>
      <c r="V63" s="56" t="n">
        <v>0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311</v>
      </c>
      <c r="N64" s="55" t="n">
        <v>46320</v>
      </c>
      <c r="O64" s="55" t="n">
        <v>46325</v>
      </c>
      <c r="P64" s="50" t="s">
        <v>105</v>
      </c>
      <c r="Q64" s="52" t="n">
        <v>81</v>
      </c>
      <c r="R64" s="52"/>
      <c r="S64" s="52" t="n">
        <v>2</v>
      </c>
      <c r="T64" s="52" t="s">
        <v>106</v>
      </c>
      <c r="U64" s="52"/>
      <c r="V64" s="56" t="n">
        <v>0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315</v>
      </c>
      <c r="N65" s="55" t="n">
        <v>46322</v>
      </c>
      <c r="O65" s="55" t="n">
        <v>46332</v>
      </c>
      <c r="P65" s="50" t="s">
        <v>105</v>
      </c>
      <c r="Q65" s="52" t="n">
        <v>83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319</v>
      </c>
      <c r="N66" s="55" t="n">
        <v>46330</v>
      </c>
      <c r="O66" s="55" t="n">
        <v>46340</v>
      </c>
      <c r="P66" s="50" t="s">
        <v>105</v>
      </c>
      <c r="Q66" s="52" t="n">
        <v>85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323</v>
      </c>
      <c r="N67" s="55" t="n">
        <v>46334</v>
      </c>
      <c r="O67" s="55" t="n">
        <v>46343</v>
      </c>
      <c r="P67" s="50" t="s">
        <v>105</v>
      </c>
      <c r="Q67" s="52" t="n">
        <v>86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327</v>
      </c>
      <c r="N68" s="55" t="n">
        <v>46339</v>
      </c>
      <c r="O68" s="55" t="n">
        <v>46344</v>
      </c>
      <c r="P68" s="50" t="s">
        <v>105</v>
      </c>
      <c r="Q68" s="52" t="n">
        <v>86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331</v>
      </c>
      <c r="N69" s="55" t="n">
        <v>46343</v>
      </c>
      <c r="O69" s="55" t="n">
        <v>46344</v>
      </c>
      <c r="P69" s="50" t="s">
        <v>105</v>
      </c>
      <c r="Q69" s="52" t="n">
        <v>86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/>
      <c r="N70" s="44" t="n">
        <v>46350</v>
      </c>
      <c r="O70" s="45" t="n">
        <v>46353</v>
      </c>
      <c r="P70" s="46" t="s">
        <v>105</v>
      </c>
      <c r="Q70" s="37" t="n">
        <v>85</v>
      </c>
      <c r="R70" s="39"/>
      <c r="S70" s="39" t="n">
        <v>1</v>
      </c>
      <c r="T70" s="39" t="s">
        <v>106</v>
      </c>
      <c r="U70" s="57" t="n">
        <v>46350.007</v>
      </c>
      <c r="V70" s="47" t="n">
        <v>0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339</v>
      </c>
      <c r="N71" s="55" t="n">
        <v>46350</v>
      </c>
      <c r="O71" s="55" t="n">
        <v>46351</v>
      </c>
      <c r="P71" s="50" t="s">
        <v>105</v>
      </c>
      <c r="Q71" s="52" t="n">
        <v>88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343</v>
      </c>
      <c r="N72" s="55" t="n">
        <v>46351</v>
      </c>
      <c r="O72" s="55" t="n">
        <v>46352</v>
      </c>
      <c r="P72" s="50" t="s">
        <v>105</v>
      </c>
      <c r="Q72" s="52" t="n">
        <v>86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347</v>
      </c>
      <c r="N73" s="55" t="n">
        <v>46351</v>
      </c>
      <c r="O73" s="55" t="n">
        <v>46352</v>
      </c>
      <c r="P73" s="50" t="s">
        <v>105</v>
      </c>
      <c r="Q73" s="52" t="n">
        <v>86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351</v>
      </c>
      <c r="N74" s="55" t="n">
        <v>46352</v>
      </c>
      <c r="O74" s="55" t="n">
        <v>46353</v>
      </c>
      <c r="P74" s="50" t="s">
        <v>105</v>
      </c>
      <c r="Q74" s="52" t="n">
        <v>85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355</v>
      </c>
      <c r="N75" s="55" t="n">
        <v>46352</v>
      </c>
      <c r="O75" s="55" t="n">
        <v>46353</v>
      </c>
      <c r="P75" s="50" t="s">
        <v>105</v>
      </c>
      <c r="Q75" s="52" t="n">
        <v>85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10</v>
      </c>
      <c r="I76" s="41" t="n">
        <v>46259</v>
      </c>
      <c r="J76" s="41" t="n">
        <v>46268</v>
      </c>
      <c r="K76" s="42"/>
      <c r="L76" s="42"/>
      <c r="M76" s="43"/>
      <c r="N76" s="44" t="n">
        <v>46345</v>
      </c>
      <c r="O76" s="45" t="n">
        <v>46354</v>
      </c>
      <c r="P76" s="46" t="s">
        <v>105</v>
      </c>
      <c r="Q76" s="37" t="n">
        <v>86</v>
      </c>
      <c r="R76" s="39"/>
      <c r="S76" s="39" t="n">
        <v>1</v>
      </c>
      <c r="T76" s="39" t="s">
        <v>106</v>
      </c>
      <c r="U76" s="57" t="n">
        <v>46345.0076</v>
      </c>
      <c r="V76" s="47" t="n">
        <v>0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363</v>
      </c>
      <c r="N77" s="55" t="n">
        <v>46345</v>
      </c>
      <c r="O77" s="55" t="n">
        <v>46348</v>
      </c>
      <c r="P77" s="50" t="s">
        <v>105</v>
      </c>
      <c r="Q77" s="52" t="n">
        <v>86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367</v>
      </c>
      <c r="N78" s="55" t="n">
        <v>46346</v>
      </c>
      <c r="O78" s="55" t="n">
        <v>46353</v>
      </c>
      <c r="P78" s="50" t="s">
        <v>105</v>
      </c>
      <c r="Q78" s="52" t="n">
        <v>86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371</v>
      </c>
      <c r="N79" s="55" t="n">
        <v>46349</v>
      </c>
      <c r="O79" s="55" t="n">
        <v>46354</v>
      </c>
      <c r="P79" s="50" t="s">
        <v>105</v>
      </c>
      <c r="Q79" s="52" t="n">
        <v>86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375</v>
      </c>
      <c r="N80" s="55" t="n">
        <v>46352</v>
      </c>
      <c r="O80" s="55" t="n">
        <v>46354</v>
      </c>
      <c r="P80" s="50" t="s">
        <v>105</v>
      </c>
      <c r="Q80" s="52" t="n">
        <v>86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379</v>
      </c>
      <c r="N81" s="55" t="n">
        <v>46354</v>
      </c>
      <c r="O81" s="55" t="n">
        <v>46354</v>
      </c>
      <c r="P81" s="50" t="s">
        <v>105</v>
      </c>
      <c r="Q81" s="52" t="n">
        <v>86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/>
      <c r="N82" s="44" t="n">
        <v>46352</v>
      </c>
      <c r="O82" s="45" t="n">
        <v>46354</v>
      </c>
      <c r="P82" s="46" t="s">
        <v>105</v>
      </c>
      <c r="Q82" s="37" t="n">
        <v>89</v>
      </c>
      <c r="R82" s="39"/>
      <c r="S82" s="39" t="n">
        <v>1</v>
      </c>
      <c r="T82" s="39" t="s">
        <v>106</v>
      </c>
      <c r="U82" s="57" t="n">
        <v>46352.0082</v>
      </c>
      <c r="V82" s="47" t="n">
        <v>0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387</v>
      </c>
      <c r="N83" s="55" t="n">
        <v>46352</v>
      </c>
      <c r="O83" s="55" t="n">
        <v>46353</v>
      </c>
      <c r="P83" s="50" t="s">
        <v>105</v>
      </c>
      <c r="Q83" s="52" t="n">
        <v>89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391</v>
      </c>
      <c r="N84" s="55" t="n">
        <v>46353</v>
      </c>
      <c r="O84" s="55" t="n">
        <v>46354</v>
      </c>
      <c r="P84" s="50" t="s">
        <v>105</v>
      </c>
      <c r="Q84" s="52" t="n">
        <v>89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/>
      <c r="N85" s="44" t="n">
        <v>46350</v>
      </c>
      <c r="O85" s="45" t="n">
        <v>46353</v>
      </c>
      <c r="P85" s="46" t="s">
        <v>105</v>
      </c>
      <c r="Q85" s="37" t="n">
        <v>87</v>
      </c>
      <c r="R85" s="39"/>
      <c r="S85" s="39" t="n">
        <v>1</v>
      </c>
      <c r="T85" s="39" t="s">
        <v>106</v>
      </c>
      <c r="U85" s="57" t="n">
        <v>46350.0085</v>
      </c>
      <c r="V85" s="47" t="n">
        <v>0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399</v>
      </c>
      <c r="N86" s="55" t="n">
        <v>46350</v>
      </c>
      <c r="O86" s="55" t="n">
        <v>46352</v>
      </c>
      <c r="P86" s="50" t="s">
        <v>105</v>
      </c>
      <c r="Q86" s="52" t="n">
        <v>90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403</v>
      </c>
      <c r="N87" s="55" t="n">
        <v>46351</v>
      </c>
      <c r="O87" s="55" t="n">
        <v>46353</v>
      </c>
      <c r="P87" s="50" t="s">
        <v>105</v>
      </c>
      <c r="Q87" s="52" t="n">
        <v>88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407</v>
      </c>
      <c r="N88" s="55" t="n">
        <v>46352</v>
      </c>
      <c r="O88" s="55" t="n">
        <v>46353</v>
      </c>
      <c r="P88" s="50" t="s">
        <v>105</v>
      </c>
      <c r="Q88" s="52" t="n">
        <v>87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411</v>
      </c>
      <c r="N89" s="55" t="n">
        <v>46353</v>
      </c>
      <c r="O89" s="55" t="n">
        <v>46353</v>
      </c>
      <c r="P89" s="50" t="s">
        <v>105</v>
      </c>
      <c r="Q89" s="52" t="n">
        <v>87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/>
      <c r="N90" s="44" t="n">
        <v>46351</v>
      </c>
      <c r="O90" s="45" t="n">
        <v>46354</v>
      </c>
      <c r="P90" s="46" t="s">
        <v>105</v>
      </c>
      <c r="Q90" s="37" t="n">
        <v>87</v>
      </c>
      <c r="R90" s="39"/>
      <c r="S90" s="39" t="n">
        <v>1</v>
      </c>
      <c r="T90" s="39" t="s">
        <v>106</v>
      </c>
      <c r="U90" s="57" t="n">
        <v>46351.009</v>
      </c>
      <c r="V90" s="47" t="n">
        <v>0</v>
      </c>
      <c r="W90" s="39" t="s">
        <v>86</v>
      </c>
      <c r="X90" s="39" t="s">
        <v>415</v>
      </c>
      <c r="Y90" s="38" t="s">
        <v>416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417</v>
      </c>
      <c r="B91" s="50" t="s">
        <v>418</v>
      </c>
      <c r="C91" s="50" t="s">
        <v>419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420</v>
      </c>
      <c r="N91" s="55" t="n">
        <v>46351</v>
      </c>
      <c r="O91" s="55" t="n">
        <v>46353</v>
      </c>
      <c r="P91" s="50" t="s">
        <v>105</v>
      </c>
      <c r="Q91" s="52" t="n">
        <v>90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 t="s">
        <v>416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421</v>
      </c>
      <c r="B92" s="52" t="s">
        <v>422</v>
      </c>
      <c r="C92" s="52" t="s">
        <v>423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424</v>
      </c>
      <c r="N92" s="55" t="n">
        <v>46353</v>
      </c>
      <c r="O92" s="55" t="n">
        <v>46354</v>
      </c>
      <c r="P92" s="50" t="s">
        <v>105</v>
      </c>
      <c r="Q92" s="52" t="n">
        <v>87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 t="s">
        <v>416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425</v>
      </c>
      <c r="B93" s="50" t="s">
        <v>426</v>
      </c>
      <c r="C93" s="50" t="s">
        <v>427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428</v>
      </c>
      <c r="N93" s="55" t="n">
        <v>46351</v>
      </c>
      <c r="O93" s="55" t="n">
        <v>46353</v>
      </c>
      <c r="P93" s="50" t="s">
        <v>105</v>
      </c>
      <c r="Q93" s="52" t="n">
        <v>91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 t="s">
        <v>416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429</v>
      </c>
      <c r="B94" s="50" t="s">
        <v>430</v>
      </c>
      <c r="C94" s="50" t="s">
        <v>431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432</v>
      </c>
      <c r="N94" s="55" t="n">
        <v>46353</v>
      </c>
      <c r="O94" s="55" t="n">
        <v>46354</v>
      </c>
      <c r="P94" s="50" t="s">
        <v>105</v>
      </c>
      <c r="Q94" s="52" t="n">
        <v>87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 t="s">
        <v>416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433</v>
      </c>
      <c r="B95" s="52" t="s">
        <v>434</v>
      </c>
      <c r="C95" s="50" t="s">
        <v>435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436</v>
      </c>
      <c r="N95" s="55" t="n">
        <v>46354</v>
      </c>
      <c r="O95" s="55" t="n">
        <v>46354</v>
      </c>
      <c r="P95" s="50" t="s">
        <v>105</v>
      </c>
      <c r="Q95" s="52" t="n">
        <v>87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 t="s">
        <v>416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437</v>
      </c>
      <c r="B96" s="39" t="s">
        <v>438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/>
      <c r="N96" s="44" t="n">
        <v>46352</v>
      </c>
      <c r="O96" s="45" t="n">
        <v>46354</v>
      </c>
      <c r="P96" s="46" t="s">
        <v>105</v>
      </c>
      <c r="Q96" s="37" t="n">
        <v>87</v>
      </c>
      <c r="R96" s="39"/>
      <c r="S96" s="39" t="n">
        <v>1</v>
      </c>
      <c r="T96" s="39" t="s">
        <v>106</v>
      </c>
      <c r="U96" s="57" t="n">
        <v>46352.0096</v>
      </c>
      <c r="V96" s="47" t="n">
        <v>0</v>
      </c>
      <c r="W96" s="39" t="s">
        <v>86</v>
      </c>
      <c r="X96" s="38" t="s">
        <v>439</v>
      </c>
      <c r="Y96" s="38" t="s">
        <v>416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440</v>
      </c>
      <c r="B97" s="50" t="s">
        <v>441</v>
      </c>
      <c r="C97" s="50" t="s">
        <v>442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443</v>
      </c>
      <c r="N97" s="55" t="n">
        <v>46352</v>
      </c>
      <c r="O97" s="55" t="n">
        <v>46354</v>
      </c>
      <c r="P97" s="50" t="s">
        <v>105</v>
      </c>
      <c r="Q97" s="52" t="n">
        <v>88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 t="s">
        <v>416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444</v>
      </c>
      <c r="B98" s="50" t="s">
        <v>445</v>
      </c>
      <c r="C98" s="50" t="s">
        <v>446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447</v>
      </c>
      <c r="N98" s="55" t="n">
        <v>46353</v>
      </c>
      <c r="O98" s="55" t="n">
        <v>46354</v>
      </c>
      <c r="P98" s="50" t="s">
        <v>105</v>
      </c>
      <c r="Q98" s="52" t="n">
        <v>87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 t="s">
        <v>416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448</v>
      </c>
      <c r="B99" s="52" t="s">
        <v>449</v>
      </c>
      <c r="C99" s="50" t="s">
        <v>450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451</v>
      </c>
      <c r="N99" s="55" t="n">
        <v>46354</v>
      </c>
      <c r="O99" s="55" t="n">
        <v>46354</v>
      </c>
      <c r="P99" s="50" t="s">
        <v>105</v>
      </c>
      <c r="Q99" s="52" t="n">
        <v>87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 t="s">
        <v>416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452</v>
      </c>
      <c r="B100" s="39" t="s">
        <v>453</v>
      </c>
      <c r="C100" s="38" t="s">
        <v>454</v>
      </c>
      <c r="D100" s="39" t="s">
        <v>300</v>
      </c>
      <c r="E100" s="40" t="n">
        <v>5</v>
      </c>
      <c r="F100" s="39" t="s">
        <v>455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/>
      <c r="N100" s="44" t="n">
        <v>46353</v>
      </c>
      <c r="O100" s="45" t="n">
        <v>46355</v>
      </c>
      <c r="P100" s="46" t="s">
        <v>105</v>
      </c>
      <c r="Q100" s="37" t="n">
        <v>87</v>
      </c>
      <c r="R100" s="39"/>
      <c r="S100" s="39" t="n">
        <v>1</v>
      </c>
      <c r="T100" s="39" t="s">
        <v>106</v>
      </c>
      <c r="U100" s="57" t="n">
        <v>46353.01</v>
      </c>
      <c r="V100" s="47" t="n">
        <v>0</v>
      </c>
      <c r="W100" s="39" t="s">
        <v>86</v>
      </c>
      <c r="X100" s="39" t="s">
        <v>456</v>
      </c>
      <c r="Y100" s="38" t="s">
        <v>416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457</v>
      </c>
      <c r="B101" s="50" t="s">
        <v>458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46263</v>
      </c>
      <c r="J101" s="53" t="n">
        <v>46264</v>
      </c>
      <c r="K101" s="52"/>
      <c r="L101" s="52"/>
      <c r="M101" s="61"/>
      <c r="N101" s="55" t="n">
        <v>46353</v>
      </c>
      <c r="O101" s="55" t="n">
        <v>46353</v>
      </c>
      <c r="P101" s="50" t="s">
        <v>105</v>
      </c>
      <c r="Q101" s="52" t="n">
        <v>89</v>
      </c>
      <c r="R101" s="52"/>
      <c r="S101" s="52" t="n">
        <v>2</v>
      </c>
      <c r="T101" s="52" t="s">
        <v>106</v>
      </c>
      <c r="U101" s="52"/>
      <c r="V101" s="56" t="n">
        <v>0</v>
      </c>
      <c r="W101" s="52" t="s">
        <v>80</v>
      </c>
      <c r="X101" s="52"/>
      <c r="Y101" s="52" t="s">
        <v>416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459</v>
      </c>
      <c r="B102" s="50" t="s">
        <v>460</v>
      </c>
      <c r="C102" s="50" t="s">
        <v>461</v>
      </c>
      <c r="D102" s="50" t="s">
        <v>91</v>
      </c>
      <c r="E102" s="51" t="n">
        <v>2</v>
      </c>
      <c r="F102" s="52"/>
      <c r="G102" s="52"/>
      <c r="H102" s="52"/>
      <c r="I102" s="53" t="n">
        <v>46264</v>
      </c>
      <c r="J102" s="53" t="n">
        <v>46267</v>
      </c>
      <c r="K102" s="52"/>
      <c r="L102" s="52"/>
      <c r="M102" s="54" t="s">
        <v>462</v>
      </c>
      <c r="N102" s="55" t="n">
        <v>46353</v>
      </c>
      <c r="O102" s="55" t="n">
        <v>46354</v>
      </c>
      <c r="P102" s="50" t="s">
        <v>105</v>
      </c>
      <c r="Q102" s="52" t="n">
        <v>87</v>
      </c>
      <c r="R102" s="52"/>
      <c r="S102" s="52" t="n">
        <v>2</v>
      </c>
      <c r="T102" s="52" t="s">
        <v>106</v>
      </c>
      <c r="U102" s="52"/>
      <c r="V102" s="56" t="n">
        <v>0</v>
      </c>
      <c r="W102" s="50" t="s">
        <v>86</v>
      </c>
      <c r="X102" s="52"/>
      <c r="Y102" s="52" t="s">
        <v>416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463</v>
      </c>
      <c r="B103" s="52" t="s">
        <v>464</v>
      </c>
      <c r="C103" s="52" t="s">
        <v>465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466</v>
      </c>
      <c r="Q103" s="52"/>
      <c r="R103" s="52"/>
      <c r="S103" s="52" t="n">
        <v>2</v>
      </c>
      <c r="T103" s="52" t="s">
        <v>467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468</v>
      </c>
      <c r="B104" s="50" t="s">
        <v>469</v>
      </c>
      <c r="C104" s="50" t="s">
        <v>470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471</v>
      </c>
      <c r="N104" s="55" t="n">
        <v>46354</v>
      </c>
      <c r="O104" s="55" t="n">
        <v>46355</v>
      </c>
      <c r="P104" s="50" t="s">
        <v>105</v>
      </c>
      <c r="Q104" s="52" t="n">
        <v>88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 t="s">
        <v>416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472</v>
      </c>
      <c r="B105" s="50" t="s">
        <v>473</v>
      </c>
      <c r="C105" s="50" t="s">
        <v>474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475</v>
      </c>
      <c r="N105" s="55" t="n">
        <v>46354</v>
      </c>
      <c r="O105" s="55" t="n">
        <v>46355</v>
      </c>
      <c r="P105" s="50" t="s">
        <v>105</v>
      </c>
      <c r="Q105" s="52" t="n">
        <v>87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 t="s">
        <v>416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476</v>
      </c>
      <c r="B106" s="52" t="s">
        <v>477</v>
      </c>
      <c r="C106" s="50" t="s">
        <v>478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479</v>
      </c>
      <c r="N106" s="55" t="n">
        <v>46355</v>
      </c>
      <c r="O106" s="55" t="n">
        <v>46355</v>
      </c>
      <c r="P106" s="50" t="s">
        <v>105</v>
      </c>
      <c r="Q106" s="52" t="n">
        <v>87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 t="s">
        <v>416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480</v>
      </c>
      <c r="B107" s="39" t="s">
        <v>481</v>
      </c>
      <c r="C107" s="39"/>
      <c r="D107" s="39" t="s">
        <v>300</v>
      </c>
      <c r="E107" s="40" t="n">
        <v>2.5</v>
      </c>
      <c r="F107" s="39" t="s">
        <v>455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/>
      <c r="N107" s="44" t="n">
        <v>46354</v>
      </c>
      <c r="O107" s="45" t="n">
        <v>46355</v>
      </c>
      <c r="P107" s="46" t="s">
        <v>105</v>
      </c>
      <c r="Q107" s="37" t="n">
        <v>86</v>
      </c>
      <c r="R107" s="39"/>
      <c r="S107" s="39" t="n">
        <v>1</v>
      </c>
      <c r="T107" s="39" t="s">
        <v>106</v>
      </c>
      <c r="U107" s="57" t="n">
        <v>46354.0107</v>
      </c>
      <c r="V107" s="47" t="n">
        <v>0</v>
      </c>
      <c r="W107" s="39" t="s">
        <v>86</v>
      </c>
      <c r="X107" s="39" t="s">
        <v>482</v>
      </c>
      <c r="Y107" s="38" t="s">
        <v>416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483</v>
      </c>
      <c r="B108" s="52" t="s">
        <v>484</v>
      </c>
      <c r="C108" s="52" t="s">
        <v>485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486</v>
      </c>
      <c r="N108" s="55" t="n">
        <v>46354</v>
      </c>
      <c r="O108" s="55" t="n">
        <v>46355</v>
      </c>
      <c r="P108" s="50" t="s">
        <v>105</v>
      </c>
      <c r="Q108" s="52" t="n">
        <v>87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 t="s">
        <v>416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487</v>
      </c>
      <c r="B109" s="50" t="s">
        <v>488</v>
      </c>
      <c r="C109" s="50" t="s">
        <v>489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490</v>
      </c>
      <c r="N109" s="55" t="n">
        <v>46355</v>
      </c>
      <c r="O109" s="55" t="n">
        <v>46355</v>
      </c>
      <c r="P109" s="50" t="s">
        <v>105</v>
      </c>
      <c r="Q109" s="52" t="n">
        <v>86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 t="s">
        <v>416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491</v>
      </c>
      <c r="B110" s="52" t="s">
        <v>492</v>
      </c>
      <c r="C110" s="50" t="s">
        <v>493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494</v>
      </c>
      <c r="N110" s="55" t="n">
        <v>46354</v>
      </c>
      <c r="O110" s="55" t="n">
        <v>46355</v>
      </c>
      <c r="P110" s="50" t="s">
        <v>105</v>
      </c>
      <c r="Q110" s="52" t="n">
        <v>87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 t="s">
        <v>416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495</v>
      </c>
      <c r="B111" s="39" t="s">
        <v>496</v>
      </c>
      <c r="C111" s="39"/>
      <c r="D111" s="39" t="s">
        <v>79</v>
      </c>
      <c r="E111" s="40" t="n">
        <v>0</v>
      </c>
      <c r="F111" s="38" t="s">
        <v>247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/>
      <c r="M111" s="43"/>
      <c r="N111" s="44" t="n">
        <v>46356</v>
      </c>
      <c r="O111" s="45" t="n">
        <v>46356</v>
      </c>
      <c r="P111" s="46" t="s">
        <v>105</v>
      </c>
      <c r="Q111" s="37" t="n">
        <v>86</v>
      </c>
      <c r="R111" s="39"/>
      <c r="S111" s="39" t="n">
        <v>1</v>
      </c>
      <c r="T111" s="39" t="s">
        <v>106</v>
      </c>
      <c r="U111" s="57" t="n">
        <v>46356.0111</v>
      </c>
      <c r="V111" s="47" t="n">
        <v>0</v>
      </c>
      <c r="W111" s="38" t="s">
        <v>80</v>
      </c>
      <c r="X111" s="39" t="s">
        <v>497</v>
      </c>
      <c r="Y111" s="38" t="s">
        <v>498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499</v>
      </c>
      <c r="B112" s="50" t="s">
        <v>500</v>
      </c>
      <c r="C112" s="50" t="s">
        <v>501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502</v>
      </c>
      <c r="N112" s="55" t="n">
        <v>46356</v>
      </c>
      <c r="O112" s="55" t="n">
        <v>46356</v>
      </c>
      <c r="P112" s="50" t="s">
        <v>105</v>
      </c>
      <c r="Q112" s="52" t="n">
        <v>86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498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503</v>
      </c>
      <c r="B113" s="50" t="s">
        <v>504</v>
      </c>
      <c r="C113" s="50" t="s">
        <v>505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506</v>
      </c>
      <c r="N113" s="55" t="n">
        <v>46356</v>
      </c>
      <c r="O113" s="55" t="n">
        <v>46356</v>
      </c>
      <c r="P113" s="50" t="s">
        <v>105</v>
      </c>
      <c r="Q113" s="52" t="n">
        <v>86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498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507</v>
      </c>
      <c r="B114" s="31" t="s">
        <v>508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46273</v>
      </c>
      <c r="O114" s="33" t="n">
        <v>46493</v>
      </c>
      <c r="P114" s="34" t="s">
        <v>75</v>
      </c>
      <c r="Q114" s="31" t="n">
        <v>160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509</v>
      </c>
      <c r="B115" s="39" t="s">
        <v>510</v>
      </c>
      <c r="C115" s="39"/>
      <c r="D115" s="39" t="s">
        <v>300</v>
      </c>
      <c r="E115" s="40" t="n">
        <v>2.5</v>
      </c>
      <c r="F115" s="38" t="s">
        <v>247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46429</v>
      </c>
      <c r="O115" s="45" t="n">
        <v>46429</v>
      </c>
      <c r="P115" s="46" t="s">
        <v>105</v>
      </c>
      <c r="Q115" s="37" t="n">
        <v>156</v>
      </c>
      <c r="R115" s="39"/>
      <c r="S115" s="39" t="n">
        <v>1</v>
      </c>
      <c r="T115" s="39" t="s">
        <v>106</v>
      </c>
      <c r="U115" s="57" t="n">
        <v>46429.0115</v>
      </c>
      <c r="V115" s="47" t="n">
        <v>0</v>
      </c>
      <c r="W115" s="39" t="s">
        <v>86</v>
      </c>
      <c r="X115" s="39" t="s">
        <v>511</v>
      </c>
      <c r="Y115" s="38" t="s">
        <v>512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513</v>
      </c>
      <c r="B116" s="52" t="s">
        <v>514</v>
      </c>
      <c r="C116" s="52" t="s">
        <v>515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516</v>
      </c>
      <c r="N116" s="55" t="n">
        <v>46429</v>
      </c>
      <c r="O116" s="55" t="n">
        <v>46429</v>
      </c>
      <c r="P116" s="50" t="s">
        <v>105</v>
      </c>
      <c r="Q116" s="52" t="n">
        <v>158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512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517</v>
      </c>
      <c r="B117" s="50" t="s">
        <v>518</v>
      </c>
      <c r="C117" s="50" t="s">
        <v>519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520</v>
      </c>
      <c r="N117" s="55" t="n">
        <v>46429</v>
      </c>
      <c r="O117" s="55" t="n">
        <v>46429</v>
      </c>
      <c r="P117" s="50" t="s">
        <v>105</v>
      </c>
      <c r="Q117" s="52" t="n">
        <v>157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512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521</v>
      </c>
      <c r="B118" s="50" t="s">
        <v>522</v>
      </c>
      <c r="C118" s="50" t="s">
        <v>523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524</v>
      </c>
      <c r="N118" s="55" t="n">
        <v>46429</v>
      </c>
      <c r="O118" s="55" t="n">
        <v>46429</v>
      </c>
      <c r="P118" s="50" t="s">
        <v>105</v>
      </c>
      <c r="Q118" s="52" t="n">
        <v>157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512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525</v>
      </c>
      <c r="B119" s="50" t="s">
        <v>526</v>
      </c>
      <c r="C119" s="50" t="s">
        <v>527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528</v>
      </c>
      <c r="N119" s="55" t="n">
        <v>46429</v>
      </c>
      <c r="O119" s="55" t="n">
        <v>46429</v>
      </c>
      <c r="P119" s="50" t="s">
        <v>105</v>
      </c>
      <c r="Q119" s="52" t="n">
        <v>157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512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529</v>
      </c>
      <c r="B120" s="50" t="s">
        <v>530</v>
      </c>
      <c r="C120" s="50" t="s">
        <v>531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532</v>
      </c>
      <c r="N120" s="55" t="n">
        <v>46429</v>
      </c>
      <c r="O120" s="55" t="n">
        <v>46429</v>
      </c>
      <c r="P120" s="50" t="s">
        <v>105</v>
      </c>
      <c r="Q120" s="52" t="n">
        <v>156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512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533</v>
      </c>
      <c r="B121" s="50" t="s">
        <v>534</v>
      </c>
      <c r="C121" s="50" t="s">
        <v>535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536</v>
      </c>
      <c r="N121" s="55" t="n">
        <v>46429</v>
      </c>
      <c r="O121" s="55" t="n">
        <v>46429</v>
      </c>
      <c r="P121" s="50" t="s">
        <v>105</v>
      </c>
      <c r="Q121" s="52" t="n">
        <v>156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512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537</v>
      </c>
      <c r="B122" s="39" t="s">
        <v>538</v>
      </c>
      <c r="C122" s="39"/>
      <c r="D122" s="39" t="s">
        <v>79</v>
      </c>
      <c r="E122" s="40" t="n">
        <v>0</v>
      </c>
      <c r="F122" s="38" t="s">
        <v>247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46391</v>
      </c>
      <c r="O122" s="45" t="n">
        <v>46391</v>
      </c>
      <c r="P122" s="46" t="s">
        <v>105</v>
      </c>
      <c r="Q122" s="37" t="n">
        <v>118</v>
      </c>
      <c r="R122" s="39"/>
      <c r="S122" s="39" t="n">
        <v>1</v>
      </c>
      <c r="T122" s="39" t="s">
        <v>106</v>
      </c>
      <c r="U122" s="57" t="n">
        <v>46391.0122</v>
      </c>
      <c r="V122" s="47" t="n">
        <v>0</v>
      </c>
      <c r="W122" s="38" t="s">
        <v>80</v>
      </c>
      <c r="X122" s="39"/>
      <c r="Y122" s="38" t="s">
        <v>539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540</v>
      </c>
      <c r="B123" s="39" t="s">
        <v>541</v>
      </c>
      <c r="C123" s="39" t="s">
        <v>542</v>
      </c>
      <c r="D123" s="39" t="s">
        <v>79</v>
      </c>
      <c r="E123" s="40" t="n">
        <v>0</v>
      </c>
      <c r="F123" s="38" t="s">
        <v>495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5</v>
      </c>
      <c r="R123" s="39"/>
      <c r="S123" s="39" t="n">
        <v>1</v>
      </c>
      <c r="T123" s="39" t="s">
        <v>155</v>
      </c>
      <c r="U123" s="39"/>
      <c r="V123" s="47" t="n">
        <v>1</v>
      </c>
      <c r="W123" s="38" t="s">
        <v>80</v>
      </c>
      <c r="X123" s="39"/>
      <c r="Y123" s="38" t="s">
        <v>543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544</v>
      </c>
      <c r="B124" s="39" t="s">
        <v>545</v>
      </c>
      <c r="C124" s="39"/>
      <c r="D124" s="39" t="s">
        <v>79</v>
      </c>
      <c r="E124" s="40" t="n">
        <v>2.5</v>
      </c>
      <c r="F124" s="38" t="s">
        <v>546</v>
      </c>
      <c r="G124" s="37" t="n">
        <v>0</v>
      </c>
      <c r="H124" s="58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46480</v>
      </c>
      <c r="O124" s="45" t="n">
        <v>46493</v>
      </c>
      <c r="P124" s="46" t="s">
        <v>105</v>
      </c>
      <c r="Q124" s="37" t="n">
        <v>160</v>
      </c>
      <c r="R124" s="39"/>
      <c r="S124" s="39" t="n">
        <v>1</v>
      </c>
      <c r="T124" s="39" t="s">
        <v>106</v>
      </c>
      <c r="U124" s="57" t="n">
        <v>46480.0124</v>
      </c>
      <c r="V124" s="47" t="n">
        <v>0</v>
      </c>
      <c r="W124" s="38" t="s">
        <v>80</v>
      </c>
      <c r="X124" s="39" t="s">
        <v>547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548</v>
      </c>
      <c r="B125" s="50" t="s">
        <v>549</v>
      </c>
      <c r="C125" s="50" t="s">
        <v>550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551</v>
      </c>
      <c r="N125" s="55" t="n">
        <v>46480</v>
      </c>
      <c r="O125" s="55" t="n">
        <v>46484</v>
      </c>
      <c r="P125" s="50" t="s">
        <v>105</v>
      </c>
      <c r="Q125" s="52" t="n">
        <v>160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552</v>
      </c>
      <c r="B126" s="50" t="s">
        <v>553</v>
      </c>
      <c r="C126" s="52" t="s">
        <v>554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555</v>
      </c>
      <c r="N126" s="55" t="n">
        <v>46483</v>
      </c>
      <c r="O126" s="55" t="n">
        <v>46490</v>
      </c>
      <c r="P126" s="50" t="s">
        <v>105</v>
      </c>
      <c r="Q126" s="52" t="n">
        <v>160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556</v>
      </c>
      <c r="B127" s="52" t="s">
        <v>557</v>
      </c>
      <c r="C127" s="52" t="s">
        <v>558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559</v>
      </c>
      <c r="N127" s="55" t="n">
        <v>46490</v>
      </c>
      <c r="O127" s="55" t="n">
        <v>46493</v>
      </c>
      <c r="P127" s="50" t="s">
        <v>105</v>
      </c>
      <c r="Q127" s="52" t="n">
        <v>160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560</v>
      </c>
      <c r="B128" s="39" t="s">
        <v>561</v>
      </c>
      <c r="C128" s="39"/>
      <c r="D128" s="39" t="s">
        <v>300</v>
      </c>
      <c r="E128" s="40" t="n">
        <v>0</v>
      </c>
      <c r="F128" s="38" t="s">
        <v>247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/>
      <c r="M128" s="43"/>
      <c r="N128" s="44" t="n">
        <v>46441</v>
      </c>
      <c r="O128" s="45" t="n">
        <v>46441</v>
      </c>
      <c r="P128" s="46" t="s">
        <v>105</v>
      </c>
      <c r="Q128" s="37" t="n">
        <v>158</v>
      </c>
      <c r="R128" s="39"/>
      <c r="S128" s="39" t="n">
        <v>1</v>
      </c>
      <c r="T128" s="39" t="s">
        <v>106</v>
      </c>
      <c r="U128" s="57" t="n">
        <v>46441.0128</v>
      </c>
      <c r="V128" s="47" t="n">
        <v>0</v>
      </c>
      <c r="W128" s="39" t="s">
        <v>86</v>
      </c>
      <c r="X128" s="39"/>
      <c r="Y128" s="38" t="s">
        <v>562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563</v>
      </c>
      <c r="B129" s="38" t="s">
        <v>564</v>
      </c>
      <c r="C129" s="39"/>
      <c r="D129" s="39" t="s">
        <v>114</v>
      </c>
      <c r="E129" s="40" t="n">
        <v>0</v>
      </c>
      <c r="F129" s="38" t="s">
        <v>560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46442</v>
      </c>
      <c r="O129" s="45" t="n">
        <v>46442</v>
      </c>
      <c r="P129" s="46" t="s">
        <v>105</v>
      </c>
      <c r="Q129" s="37" t="n">
        <v>159</v>
      </c>
      <c r="R129" s="39"/>
      <c r="S129" s="39" t="n">
        <v>1</v>
      </c>
      <c r="T129" s="39" t="s">
        <v>106</v>
      </c>
      <c r="U129" s="57" t="n">
        <v>46442.0129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565</v>
      </c>
      <c r="B130" s="38" t="s">
        <v>566</v>
      </c>
      <c r="C130" s="39"/>
      <c r="D130" s="39" t="s">
        <v>114</v>
      </c>
      <c r="E130" s="40" t="n">
        <v>0</v>
      </c>
      <c r="F130" s="38" t="s">
        <v>560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46442</v>
      </c>
      <c r="O130" s="45" t="n">
        <v>46447</v>
      </c>
      <c r="P130" s="46" t="s">
        <v>105</v>
      </c>
      <c r="Q130" s="37" t="n">
        <v>164</v>
      </c>
      <c r="R130" s="39"/>
      <c r="S130" s="39" t="n">
        <v>1</v>
      </c>
      <c r="T130" s="39" t="s">
        <v>106</v>
      </c>
      <c r="U130" s="57" t="n">
        <v>46442.013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567</v>
      </c>
      <c r="B131" s="39" t="s">
        <v>568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8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46477</v>
      </c>
      <c r="O131" s="45" t="n">
        <v>46479</v>
      </c>
      <c r="P131" s="46" t="s">
        <v>105</v>
      </c>
      <c r="Q131" s="37" t="n">
        <v>160</v>
      </c>
      <c r="R131" s="39"/>
      <c r="S131" s="39" t="n">
        <v>1</v>
      </c>
      <c r="T131" s="39" t="s">
        <v>106</v>
      </c>
      <c r="U131" s="57" t="n">
        <v>46477.0131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569</v>
      </c>
      <c r="D134" s="6" t="s">
        <v>570</v>
      </c>
    </row>
    <row r="135" customFormat="false" ht="15" hidden="false" customHeight="true" outlineLevel="0" collapsed="false">
      <c r="B135" s="63" t="s">
        <v>571</v>
      </c>
      <c r="D135" s="63" t="s">
        <v>572</v>
      </c>
      <c r="E135" s="63" t="s">
        <v>573</v>
      </c>
      <c r="I135" s="64" t="s">
        <v>574</v>
      </c>
      <c r="J135" s="64" t="s">
        <v>575</v>
      </c>
      <c r="K135" s="64" t="s">
        <v>576</v>
      </c>
      <c r="L135" s="64" t="s">
        <v>577</v>
      </c>
      <c r="O135" s="63" t="s">
        <v>578</v>
      </c>
      <c r="P135" s="63" t="s">
        <v>579</v>
      </c>
    </row>
    <row r="136" customFormat="false" ht="15" hidden="false" customHeight="true" outlineLevel="0" collapsed="false">
      <c r="B136" s="65" t="s">
        <v>580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581</v>
      </c>
    </row>
    <row r="137" customFormat="false" ht="15" hidden="false" customHeight="true" outlineLevel="0" collapsed="false">
      <c r="B137" s="65" t="s">
        <v>582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583</v>
      </c>
    </row>
    <row r="138" customFormat="false" ht="15" hidden="false" customHeight="true" outlineLevel="0" collapsed="false">
      <c r="B138" s="65" t="s">
        <v>584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585</v>
      </c>
    </row>
    <row r="139" customFormat="false" ht="15" hidden="false" customHeight="true" outlineLevel="0" collapsed="false">
      <c r="B139" s="65" t="s">
        <v>586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587</v>
      </c>
    </row>
    <row r="140" customFormat="false" ht="15" hidden="false" customHeight="true" outlineLevel="0" collapsed="false">
      <c r="B140" s="65" t="s">
        <v>588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589</v>
      </c>
    </row>
    <row r="141" customFormat="false" ht="15" hidden="false" customHeight="true" outlineLevel="0" collapsed="false">
      <c r="B141" s="70" t="s">
        <v>590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591</v>
      </c>
    </row>
    <row r="142" customFormat="false" ht="15" hidden="false" customHeight="true" outlineLevel="0" collapsed="false">
      <c r="B142" s="72" t="s">
        <v>592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593</v>
      </c>
    </row>
    <row r="145" customFormat="false" ht="15.75" hidden="false" customHeight="true" outlineLevel="0" collapsed="false">
      <c r="A145" s="77" t="s">
        <v>594</v>
      </c>
    </row>
    <row r="146" customFormat="false" ht="15" hidden="false" customHeight="true" outlineLevel="0" collapsed="false">
      <c r="B146" s="17" t="s">
        <v>595</v>
      </c>
      <c r="D146" s="78" t="s">
        <v>596</v>
      </c>
      <c r="E146" s="78"/>
      <c r="F146" s="78"/>
      <c r="G146" s="78"/>
      <c r="H146" s="78"/>
      <c r="I146" s="78"/>
      <c r="J146" s="78"/>
      <c r="K146" s="19" t="s">
        <v>597</v>
      </c>
    </row>
    <row r="147" customFormat="false" ht="15" hidden="false" customHeight="true" outlineLevel="0" collapsed="false">
      <c r="B147" s="79" t="s">
        <v>598</v>
      </c>
      <c r="E147" s="80" t="s">
        <v>599</v>
      </c>
      <c r="I147" s="79" t="s">
        <v>600</v>
      </c>
    </row>
    <row r="148" customFormat="false" ht="24" hidden="false" customHeight="true" outlineLevel="0" collapsed="false">
      <c r="A148" s="81" t="s">
        <v>601</v>
      </c>
      <c r="B148" s="82" t="s">
        <v>602</v>
      </c>
      <c r="E148" s="83" t="n">
        <v>5</v>
      </c>
      <c r="I148" s="61"/>
    </row>
    <row r="149" customFormat="false" ht="24" hidden="false" customHeight="true" outlineLevel="0" collapsed="false">
      <c r="A149" s="81" t="s">
        <v>603</v>
      </c>
      <c r="B149" s="82" t="s">
        <v>604</v>
      </c>
      <c r="E149" s="83" t="n">
        <v>20</v>
      </c>
      <c r="I149" s="61"/>
    </row>
    <row r="150" customFormat="false" ht="24" hidden="false" customHeight="true" outlineLevel="0" collapsed="false">
      <c r="A150" s="81" t="s">
        <v>605</v>
      </c>
      <c r="B150" s="82" t="s">
        <v>606</v>
      </c>
      <c r="E150" s="83" t="n">
        <v>30</v>
      </c>
      <c r="I150" s="61"/>
    </row>
    <row r="151" customFormat="false" ht="24" hidden="false" customHeight="true" outlineLevel="0" collapsed="false">
      <c r="A151" s="81" t="s">
        <v>607</v>
      </c>
      <c r="B151" s="82" t="s">
        <v>608</v>
      </c>
      <c r="E151" s="83" t="n">
        <v>25</v>
      </c>
      <c r="I151" s="61"/>
    </row>
    <row r="152" customFormat="false" ht="24" hidden="false" customHeight="true" outlineLevel="0" collapsed="false">
      <c r="A152" s="81" t="s">
        <v>609</v>
      </c>
      <c r="B152" s="82" t="s">
        <v>610</v>
      </c>
      <c r="E152" s="83" t="n">
        <v>10</v>
      </c>
      <c r="I152" s="61"/>
    </row>
    <row r="153" customFormat="false" ht="24" hidden="false" customHeight="true" outlineLevel="0" collapsed="false">
      <c r="A153" s="81" t="s">
        <v>611</v>
      </c>
      <c r="B153" s="82" t="s">
        <v>612</v>
      </c>
      <c r="E153" s="83" t="n">
        <v>10</v>
      </c>
      <c r="I153" s="61"/>
    </row>
    <row r="154" customFormat="false" ht="15" hidden="false" customHeight="true" outlineLevel="0" collapsed="false">
      <c r="B154" s="84" t="s">
        <v>613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614</v>
      </c>
    </row>
    <row r="2" customFormat="false" ht="15" hidden="false" customHeight="false" outlineLevel="0" collapsed="false">
      <c r="B2" s="87" t="s">
        <v>615</v>
      </c>
      <c r="C2" s="88" t="s">
        <v>616</v>
      </c>
    </row>
    <row r="3" customFormat="false" ht="15" hidden="false" customHeight="false" outlineLevel="0" collapsed="false">
      <c r="B3" s="87" t="s">
        <v>617</v>
      </c>
      <c r="C3" s="88" t="s">
        <v>618</v>
      </c>
    </row>
    <row r="4" customFormat="false" ht="15" hidden="false" customHeight="false" outlineLevel="0" collapsed="false">
      <c r="B4" s="89" t="s">
        <v>619</v>
      </c>
      <c r="C4" s="88" t="s">
        <v>620</v>
      </c>
    </row>
    <row r="5" customFormat="false" ht="15" hidden="false" customHeight="false" outlineLevel="0" collapsed="false">
      <c r="H5" s="90" t="s">
        <v>621</v>
      </c>
      <c r="I5" s="90"/>
      <c r="J5" s="90" t="s">
        <v>622</v>
      </c>
      <c r="K5" s="90"/>
      <c r="L5" s="90"/>
      <c r="M5" s="90"/>
      <c r="N5" s="90"/>
      <c r="O5" s="90" t="s">
        <v>623</v>
      </c>
      <c r="P5" s="90"/>
      <c r="Q5" s="90"/>
      <c r="R5" s="90"/>
      <c r="S5" s="90" t="s">
        <v>624</v>
      </c>
      <c r="T5" s="90"/>
      <c r="U5" s="90"/>
      <c r="V5" s="90"/>
      <c r="W5" s="90"/>
      <c r="X5" s="90" t="s">
        <v>625</v>
      </c>
      <c r="Y5" s="90"/>
      <c r="Z5" s="90"/>
      <c r="AA5" s="90"/>
      <c r="AB5" s="90" t="s">
        <v>626</v>
      </c>
      <c r="AC5" s="90"/>
      <c r="AD5" s="90"/>
      <c r="AE5" s="90"/>
      <c r="AF5" s="90" t="s">
        <v>627</v>
      </c>
      <c r="AG5" s="90"/>
      <c r="AH5" s="90"/>
      <c r="AI5" s="90"/>
      <c r="AJ5" s="90"/>
      <c r="AK5" s="90" t="s">
        <v>628</v>
      </c>
      <c r="AL5" s="90"/>
      <c r="AM5" s="90"/>
      <c r="AN5" s="90"/>
      <c r="AO5" s="90" t="s">
        <v>629</v>
      </c>
      <c r="AP5" s="90"/>
      <c r="AQ5" s="90"/>
      <c r="AR5" s="90"/>
      <c r="AS5" s="90" t="s">
        <v>630</v>
      </c>
      <c r="AT5" s="90"/>
      <c r="AU5" s="90"/>
      <c r="AV5" s="90"/>
      <c r="AW5" s="90" t="s">
        <v>631</v>
      </c>
      <c r="AX5" s="90"/>
      <c r="AY5" s="90"/>
      <c r="AZ5" s="90"/>
      <c r="BA5" s="90"/>
      <c r="BB5" s="90" t="s">
        <v>632</v>
      </c>
      <c r="BC5" s="90"/>
      <c r="BD5" s="90"/>
      <c r="BE5" s="90"/>
      <c r="BF5" s="90" t="s">
        <v>633</v>
      </c>
      <c r="BG5" s="90"/>
      <c r="BH5" s="90"/>
      <c r="BI5" s="90"/>
      <c r="BJ5" s="90"/>
      <c r="BK5" s="90" t="s">
        <v>634</v>
      </c>
      <c r="BL5" s="90"/>
      <c r="BM5" s="90"/>
      <c r="BN5" s="90"/>
      <c r="BO5" s="90" t="s">
        <v>635</v>
      </c>
      <c r="BP5" s="90"/>
      <c r="BQ5" s="90"/>
      <c r="BR5" s="90"/>
      <c r="BS5" s="90" t="s">
        <v>636</v>
      </c>
      <c r="BT5" s="90"/>
      <c r="BU5" s="90"/>
      <c r="BV5" s="90"/>
      <c r="BW5" s="90"/>
      <c r="BX5" s="90" t="s">
        <v>637</v>
      </c>
      <c r="BY5" s="90"/>
    </row>
    <row r="6" customFormat="false" ht="43.5" hidden="false" customHeight="true" outlineLevel="0" collapsed="false">
      <c r="A6" s="91" t="s">
        <v>638</v>
      </c>
      <c r="B6" s="91" t="s">
        <v>639</v>
      </c>
      <c r="C6" s="91" t="s">
        <v>640</v>
      </c>
      <c r="D6" s="91" t="s">
        <v>641</v>
      </c>
      <c r="E6" s="91" t="s">
        <v>642</v>
      </c>
      <c r="F6" s="91" t="s">
        <v>643</v>
      </c>
      <c r="G6" s="91" t="s">
        <v>644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645</v>
      </c>
      <c r="C8" s="95" t="s">
        <v>646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647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648</v>
      </c>
      <c r="C10" s="95" t="s">
        <v>646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647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649</v>
      </c>
      <c r="C12" s="95" t="s">
        <v>646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647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650</v>
      </c>
      <c r="C14" s="95" t="s">
        <v>646</v>
      </c>
      <c r="D14" s="96" t="n">
        <v>1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0.0714285714285714</v>
      </c>
      <c r="P14" s="98" t="n">
        <f aca="false">IF($E14="",0,IF(P$6+6&lt;$E14,0,IF(P$6&gt;$F14,0,$D14*(IF(P$6+6&lt;$F14,P$6+6,$F14)-IF(P$6&gt;$E14,P$6,$E14)+1)/($F14-$E14+1))))</f>
        <v>0.5</v>
      </c>
      <c r="Q14" s="98" t="n">
        <f aca="false">IF($E14="",0,IF(Q$6+6&lt;$E14,0,IF(Q$6&gt;$F14,0,$D14*(IF(Q$6+6&lt;$F14,Q$6+6,$F14)-IF(Q$6&gt;$E14,Q$6,$E14)+1)/($F14-$E14+1))))</f>
        <v>0.428571428571429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647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0.3333</v>
      </c>
      <c r="P15" s="101" t="n">
        <v>0.3333</v>
      </c>
      <c r="Q15" s="101" t="n">
        <v>0.3333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245</v>
      </c>
      <c r="B16" s="95" t="s">
        <v>651</v>
      </c>
      <c r="C16" s="95" t="s">
        <v>646</v>
      </c>
      <c r="D16" s="96" t="n">
        <v>1</v>
      </c>
      <c r="E16" s="97" t="n">
        <v>46271</v>
      </c>
      <c r="F16" s="97" t="n">
        <v>46271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1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647</v>
      </c>
      <c r="D17" s="96"/>
      <c r="E17" s="99" t="n">
        <v>46293</v>
      </c>
      <c r="F17" s="99" t="n">
        <v>46293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 t="n">
        <v>1</v>
      </c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265</v>
      </c>
      <c r="B18" s="95" t="s">
        <v>652</v>
      </c>
      <c r="C18" s="95" t="s">
        <v>646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647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653</v>
      </c>
      <c r="B20" s="95" t="s">
        <v>654</v>
      </c>
      <c r="C20" s="95" t="s">
        <v>646</v>
      </c>
      <c r="D20" s="96" t="n">
        <v>1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0.0217391304347826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0.0652173913043478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647</v>
      </c>
      <c r="D21" s="96"/>
      <c r="E21" s="99" t="n">
        <v>46307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0.5</v>
      </c>
      <c r="AD21" s="101" t="n">
        <v>0.5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655</v>
      </c>
      <c r="C23" s="95" t="s">
        <v>646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647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656</v>
      </c>
      <c r="C25" s="95" t="s">
        <v>646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647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657</v>
      </c>
      <c r="C27" s="95" t="s">
        <v>646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647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658</v>
      </c>
      <c r="C29" s="95" t="s">
        <v>646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647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659</v>
      </c>
      <c r="C31" s="95" t="s">
        <v>646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647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660</v>
      </c>
      <c r="C33" s="95" t="s">
        <v>646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647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437</v>
      </c>
      <c r="B35" s="95" t="s">
        <v>661</v>
      </c>
      <c r="C35" s="95" t="s">
        <v>646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647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452</v>
      </c>
      <c r="B37" s="95" t="s">
        <v>662</v>
      </c>
      <c r="C37" s="95" t="s">
        <v>646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647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480</v>
      </c>
      <c r="B39" s="95" t="s">
        <v>663</v>
      </c>
      <c r="C39" s="95" t="s">
        <v>646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647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664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509</v>
      </c>
      <c r="B42" s="95" t="s">
        <v>665</v>
      </c>
      <c r="C42" s="95" t="s">
        <v>646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647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544</v>
      </c>
      <c r="B44" s="95" t="s">
        <v>666</v>
      </c>
      <c r="C44" s="95" t="s">
        <v>646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647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667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0.171428571428571</v>
      </c>
      <c r="P47" s="103" t="n">
        <f aca="false">SUMIF($C$7:$C$45,"Plan",P$7:P$45)</f>
        <v>1.2</v>
      </c>
      <c r="Q47" s="103" t="n">
        <f aca="false">SUMIF($C$7:$C$45,"Plan",Q$7:Q$45)</f>
        <v>0.628571428571429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28.7895962732919</v>
      </c>
      <c r="X47" s="103" t="n">
        <f aca="false">SUMIF($C$7:$C$45,"Plan",X$7:X$45)</f>
        <v>1.81884057971015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0.243788819875776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668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0.3333</v>
      </c>
      <c r="P48" s="103" t="n">
        <f aca="false">SUMIF($C$7:$C$45,"Actual",P$7:P$45)</f>
        <v>0.3333</v>
      </c>
      <c r="Q48" s="103" t="n">
        <f aca="false">SUMIF($C$7:$C$45,"Actual",Q$7:Q$45)</f>
        <v>0.3333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1</v>
      </c>
      <c r="AB48" s="103" t="n">
        <f aca="false">SUMIF($C$7:$C$45,"Actual",AB$7:AB$45)</f>
        <v>0</v>
      </c>
      <c r="AC48" s="103" t="n">
        <f aca="false">SUMIF($C$7:$C$45,"Actual",AC$7:AC$45)</f>
        <v>0.5</v>
      </c>
      <c r="AD48" s="103" t="n">
        <f aca="false">SUMIF($C$7:$C$45,"Actual",AD$7:AD$45)</f>
        <v>0.5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669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0.671428571428572</v>
      </c>
      <c r="P49" s="105" t="n">
        <f aca="false">O49+P47</f>
        <v>1.87142857142857</v>
      </c>
      <c r="Q49" s="105" t="n">
        <f aca="false">P49+Q47</f>
        <v>2.5</v>
      </c>
      <c r="R49" s="105" t="n">
        <f aca="false">Q49+R47</f>
        <v>2.5</v>
      </c>
      <c r="S49" s="105" t="n">
        <f aca="false">R49+S47</f>
        <v>6.33333333333333</v>
      </c>
      <c r="T49" s="105" t="n">
        <f aca="false">S49+T47</f>
        <v>14.1111111111111</v>
      </c>
      <c r="U49" s="105" t="n">
        <f aca="false">T49+U47</f>
        <v>21.8888888888889</v>
      </c>
      <c r="V49" s="105" t="n">
        <f aca="false">U49+V47</f>
        <v>66.0654761904762</v>
      </c>
      <c r="W49" s="105" t="n">
        <f aca="false">V49+W47</f>
        <v>94.8550724637681</v>
      </c>
      <c r="X49" s="105" t="n">
        <f aca="false">W49+X47</f>
        <v>96.6739130434783</v>
      </c>
      <c r="Y49" s="105" t="n">
        <f aca="false">X49+Y47</f>
        <v>96.8260869565218</v>
      </c>
      <c r="Z49" s="105" t="n">
        <f aca="false">Y49+Z47</f>
        <v>96.9782608695652</v>
      </c>
      <c r="AA49" s="105" t="n">
        <f aca="false">Z49+AA47</f>
        <v>97.1304347826087</v>
      </c>
      <c r="AB49" s="105" t="n">
        <f aca="false">AA49+AB47</f>
        <v>97.2826086956522</v>
      </c>
      <c r="AC49" s="105" t="n">
        <f aca="false">AB49+AC47</f>
        <v>97.4347826086957</v>
      </c>
      <c r="AD49" s="105" t="n">
        <f aca="false">AC49+AD47</f>
        <v>97.6785714285715</v>
      </c>
      <c r="AE49" s="105" t="n">
        <f aca="false">AD49+AE47</f>
        <v>98.9285714285715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670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0.3333</v>
      </c>
      <c r="P50" s="105" t="n">
        <f aca="false">IF(P$6&gt;46314,"",O50+P48)</f>
        <v>0.6666</v>
      </c>
      <c r="Q50" s="105" t="n">
        <f aca="false">IF(Q$6&gt;46314,"",P50+Q48)</f>
        <v>0.9999</v>
      </c>
      <c r="R50" s="105" t="n">
        <f aca="false">IF(R$6&gt;46314,"",Q50+R48)</f>
        <v>0.9999</v>
      </c>
      <c r="S50" s="105" t="n">
        <f aca="false">IF(S$6&gt;46314,"",R50+S48)</f>
        <v>0.9999</v>
      </c>
      <c r="T50" s="105" t="n">
        <f aca="false">IF(T$6&gt;46314,"",S50+T48)</f>
        <v>0.9999</v>
      </c>
      <c r="U50" s="105" t="n">
        <f aca="false">IF(U$6&gt;46314,"",T50+U48)</f>
        <v>0.9999</v>
      </c>
      <c r="V50" s="105" t="n">
        <f aca="false">IF(V$6&gt;46314,"",U50+V48)</f>
        <v>0.9999</v>
      </c>
      <c r="W50" s="105" t="n">
        <f aca="false">IF(W$6&gt;46314,"",V50+W48)</f>
        <v>0.9999</v>
      </c>
      <c r="X50" s="105" t="n">
        <f aca="false">IF(X$6&gt;46314,"",W50+X48)</f>
        <v>0.9999</v>
      </c>
      <c r="Y50" s="105" t="n">
        <f aca="false">IF(Y$6&gt;46314,"",X50+Y48)</f>
        <v>0.9999</v>
      </c>
      <c r="Z50" s="105" t="n">
        <f aca="false">IF(Z$6&gt;46314,"",Y50+Z48)</f>
        <v>0.9999</v>
      </c>
      <c r="AA50" s="105" t="n">
        <f aca="false">IF(AA$6&gt;46314,"",Z50+AA48)</f>
        <v>1.9999</v>
      </c>
      <c r="AB50" s="105" t="n">
        <f aca="false">IF(AB$6&gt;46314,"",AA50+AB48)</f>
        <v>1.9999</v>
      </c>
      <c r="AC50" s="105" t="n">
        <f aca="false">IF(AC$6&gt;46314,"",AB50+AC48)</f>
        <v>2.4999</v>
      </c>
      <c r="AD50" s="105" t="n">
        <f aca="false">IF(AD$6&gt;46314,"",AC50+AD48)</f>
        <v>2.9999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2026-10-26T04:44:59Z</dcterms:created>
  <dc:creator>openpyxl</dc:creator>
  <dc:description/>
  <dc:language>en-US</dc:language>
  <cp:lastModifiedBy/>
  <dcterms:modified xsi:type="dcterms:W3CDTF">2026-10-26T11:47:49Z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