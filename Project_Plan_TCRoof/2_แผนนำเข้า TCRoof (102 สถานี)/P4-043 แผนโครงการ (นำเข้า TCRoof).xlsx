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<sst xmlns="http://schemas.openxmlformats.org/spreadsheetml/2006/main" count="1298" uniqueCount="672">
  <si>
    <t xml:space="preserve">แผนโครงการ P4-043 – สถานีจ่ายน้ำบ้านแหลม 291.27 kWp</t>
  </si>
  <si>
    <t xml:space="preserve">กปภ.สาขาเพชรบุรี, ภาคใต้, กฟภ. เขต ต.1, Inverter 265 kW (ต้องยื่น พค.2), Zero export LV, คำขอ PPIM1A506F39, วิศวกร นีโน่, Admin ลูกแก้ว, ผรม. B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</si>
  <si>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</si>
  <si>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</si>
  <si>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</si>
  <si>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</si>
  <si>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</si>
  <si>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</si>
  <si>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</si>
  <si>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</si>
  <si>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</si>
  <si>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</si>
  <si>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</si>
  <si>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</si>
  <si>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</si>
  <si>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</si>
  <si>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</si>
  <si>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</si>
  <si>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</si>
  <si>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</si>
  <si>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</si>
  <si>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</si>
  <si>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</si>
  <si>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</si>
  <si>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</si>
  <si>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</si>
  <si>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</si>
  <si>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</si>
  <si>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</si>
  <si>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</si>
  <si>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</si>
  <si>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</si>
  <si>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</si>
  <si>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</si>
  <si>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</si>
  <si>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</si>
  <si>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</si>
  <si>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</si>
  <si>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</si>
  <si>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</si>
  <si>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</si>
  <si>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</si>
  <si>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</si>
  <si>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</si>
  <si>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</si>
  <si>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</si>
  <si>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</si>
  <si>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</si>
  <si>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</si>
  <si>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</si>
  <si>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</si>
  <si>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</si>
  <si>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</si>
  <si>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</si>
  <si>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</si>
  <si>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</si>
  <si>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</si>
  <si>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</si>
  <si>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</si>
  <si>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</si>
  <si>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</si>
  <si>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</si>
  <si>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</si>
  <si>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</si>
  <si>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</si>
  <si>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</si>
  <si>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</si>
  <si>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</si>
  <si>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</si>
  <si>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</si>
  <si>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</si>
  <si>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</si>
  <si>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</si>
  <si>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</si>
  <si>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</si>
  <si>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</si>
  <si>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</si>
  <si>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</si>
  <si>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</si>
  <si>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</si>
  <si>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</si>
  <si>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</si>
  <si>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</si>
  <si>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</si>
  <si>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</si>
  <si>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</si>
  <si>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</si>
  <si>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</si>
  <si>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</si>
  <si>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</si>
  <si>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</si>
  <si>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</si>
  <si>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</si>
  <si>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</si>
  <si>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</si>
  <si>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</si>
  <si>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</si>
  <si>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</si>
  <si>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</si>
  <si>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</si>
  <si>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</si>
  <si>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</si>
  <si>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</si>
  <si>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</si>
  <si>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</si>
  <si>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</si>
  <si>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</si>
  <si>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</si>
  <si>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</si>
  <si>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</si>
  <si>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</si>
  <si>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</si>
  <si>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</si>
  <si>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</si>
  <si>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</si>
  <si>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</si>
  <si>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</si>
  <si>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</si>
  <si>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</si>
  <si>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</si>
  <si>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</si>
  <si>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</si>
  <si>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</si>
  <si>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</si>
  <si>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</si>
  <si>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</si>
  <si>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</si>
  <si>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</si>
  <si>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</si>
  <si>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</si>
  <si>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</si>
  <si>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</si>
  <si>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</si>
  <si>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</si>
  <si>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</si>
  <si>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</si>
  <si>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</si>
  <si>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</si>
  <si>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</si>
  <si>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</si>
  <si>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</si>
  <si>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</si>
  <si>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</si>
  <si>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</si>
  <si>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WBS'!L7952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</si>
  <si>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</si>
  <si>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</si>
  <si>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</si>
  <si>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</si>
  <si>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</si>
  <si>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</si>
  <si>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</si>
  <si>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</si>
  <si>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WBS'!L7953</t>
    </r>
  </si>
  <si>
    <t xml:space="preserve">0.3</t>
  </si>
  <si>
    <t xml:space="preserve">หนังสือแจ้งขอดับไฟ</t>
  </si>
  <si>
    <t xml:space="preserve">TC-PML-2026-460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</si>
  <si>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</si>
  <si>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</si>
  <si>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</si>
  <si>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</si>
  <si>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</si>
  <si>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</si>
  <si>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</si>
  <si>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</si>
  <si>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</si>
  <si>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</si>
  <si>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</si>
  <si>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</si>
  <si>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</si>
  <si>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</si>
  <si>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</si>
  <si>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</si>
  <si>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</si>
  <si>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</si>
  <si>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</si>
  <si>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</si>
  <si>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</si>
  <si>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</si>
  <si>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</si>
  <si>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</si>
  <si>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</si>
  <si>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</si>
  <si>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</si>
  <si>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</si>
  <si>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</si>
  <si>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</si>
  <si>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</si>
  <si>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</si>
  <si>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</si>
  <si>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</si>
  <si>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</si>
  <si>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</si>
  <si>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</si>
  <si>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</si>
  <si>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</si>
  <si>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</si>
  <si>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</si>
  <si>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</si>
  <si>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</si>
  <si>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</si>
  <si>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</si>
  <si>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</si>
  <si>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</si>
  <si>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</si>
  <si>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</si>
  <si>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</si>
  <si>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</si>
  <si>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</si>
  <si>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</si>
  <si>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</si>
  <si>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</si>
  <si>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</si>
  <si>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</si>
  <si>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</si>
  <si>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</si>
  <si>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</si>
  <si>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</si>
  <si>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</si>
  <si>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</si>
  <si>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</si>
  <si>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</si>
  <si>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</si>
  <si>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</si>
  <si>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</si>
  <si>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</si>
  <si>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</si>
  <si>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</si>
  <si>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</si>
  <si>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</si>
  <si>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</si>
  <si>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</si>
  <si>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</si>
  <si>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</si>
  <si>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</si>
  <si>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</si>
  <si>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</si>
  <si>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</si>
  <si>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</si>
  <si>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</si>
  <si>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</si>
  <si>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</si>
  <si>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</si>
  <si>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</si>
  <si>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</si>
  <si>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</si>
  <si>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</si>
  <si>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</si>
  <si>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</si>
  <si>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</si>
  <si>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</si>
  <si>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</si>
  <si>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</si>
  <si>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</si>
  <si>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</si>
  <si>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</si>
  <si>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WBS'!L7971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</si>
  <si>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</si>
  <si>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</si>
  <si>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</si>
  <si>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</si>
  <si>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</si>
  <si>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</si>
  <si>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</si>
  <si>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</si>
  <si>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</si>
  <si>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</si>
  <si>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</si>
  <si>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</si>
  <si>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</si>
  <si>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</si>
  <si>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</si>
  <si>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</si>
  <si>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</si>
  <si>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</si>
  <si>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WBS'!L7974</t>
    </r>
  </si>
  <si>
    <t xml:space="preserve">1.7.1</t>
  </si>
  <si>
    <t xml:space="preserve">คำขอขนานไฟ PPIM (ชุด 11 ไฟล์)</t>
  </si>
  <si>
    <t xml:space="preserve">PPIM1A506F39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</si>
  <si>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</si>
  <si>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</si>
  <si>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</si>
  <si>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</si>
  <si>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</si>
  <si>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</si>
  <si>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</si>
  <si>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</si>
  <si>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</si>
  <si>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16/10/69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</si>
  <si>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</si>
  <si>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</si>
  <si>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</si>
  <si>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</si>
  <si>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</si>
  <si>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</si>
  <si>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</si>
  <si>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</si>
  <si>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</si>
  <si>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</si>
  <si>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</si>
  <si>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</si>
  <si>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</si>
  <si>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</si>
  <si>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</si>
  <si>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</si>
  <si>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</si>
  <si>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</si>
  <si>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</si>
  <si>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</si>
  <si>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</si>
  <si>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</si>
  <si>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</si>
  <si>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</si>
  <si>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</si>
  <si>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</si>
  <si>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</si>
  <si>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</si>
  <si>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</si>
  <si>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</si>
  <si>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</si>
  <si>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</si>
  <si>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</si>
  <si>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</si>
  <si>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</si>
  <si>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</si>
  <si>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</si>
  <si>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</si>
  <si>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</si>
  <si>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</si>
  <si>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</si>
  <si>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</si>
  <si>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</si>
  <si>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</si>
  <si>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</si>
  <si>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</si>
  <si>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</si>
  <si>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</si>
  <si>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</si>
  <si>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</si>
  <si>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</si>
  <si>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</si>
  <si>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</si>
  <si>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</si>
  <si>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</si>
  <si>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</si>
  <si>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</si>
  <si>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</si>
  <si>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</si>
  <si>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</si>
  <si>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</si>
  <si>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</si>
  <si>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</si>
  <si>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</si>
  <si>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</si>
  <si>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</si>
  <si>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</si>
  <si>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</si>
  <si>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</si>
  <si>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</si>
  <si>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</si>
  <si>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</si>
  <si>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</si>
  <si>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</si>
  <si>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</si>
  <si>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</si>
  <si>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</si>
  <si>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</si>
  <si>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</si>
  <si>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</si>
  <si>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</si>
  <si>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</si>
  <si>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</si>
  <si>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</si>
  <si>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</si>
  <si>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</si>
  <si>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</si>
  <si>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</si>
  <si>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</si>
  <si>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</si>
  <si>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</si>
  <si>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</si>
  <si>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</si>
  <si>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</si>
  <si>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</si>
  <si>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</si>
  <si>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</si>
  <si>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</si>
  <si>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</si>
  <si>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</si>
  <si>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</si>
  <si>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</si>
  <si>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</si>
  <si>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</si>
  <si>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</si>
  <si>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WBS'!L7993</t>
    </r>
  </si>
  <si>
    <t xml:space="preserve">2.5</t>
  </si>
  <si>
    <t xml:space="preserve">ติดตั้ง Inverter</t>
  </si>
  <si>
    <t xml:space="preserve">Inverter 265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</si>
  <si>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</si>
  <si>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</si>
  <si>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</si>
  <si>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</si>
  <si>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</si>
  <si>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</si>
  <si>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</si>
  <si>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</si>
  <si>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</si>
  <si>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</si>
  <si>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</si>
  <si>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</si>
  <si>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</si>
  <si>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</si>
  <si>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</si>
  <si>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</si>
  <si>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</si>
  <si>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</si>
  <si>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</si>
  <si>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</si>
  <si>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</si>
  <si>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</si>
  <si>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</si>
  <si>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</si>
  <si>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</si>
  <si>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</si>
  <si>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</si>
  <si>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</si>
  <si>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</si>
  <si>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</si>
  <si>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</si>
  <si>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</si>
  <si>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</si>
  <si>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</si>
  <si>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</si>
  <si>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</si>
  <si>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</si>
  <si>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</si>
  <si>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</si>
  <si>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</si>
  <si>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</si>
  <si>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</si>
  <si>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</si>
  <si>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</si>
  <si>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</si>
  <si>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</si>
  <si>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</si>
  <si>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</si>
  <si>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</si>
  <si>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</si>
  <si>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</si>
  <si>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</si>
  <si>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</si>
  <si>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</si>
  <si>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</si>
  <si>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</si>
  <si>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</si>
  <si>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</si>
  <si>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</si>
  <si>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</si>
  <si>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</si>
  <si>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</si>
  <si>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</si>
  <si>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</si>
  <si>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</si>
  <si>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</si>
  <si>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</si>
  <si>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</si>
  <si>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</si>
  <si>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</si>
  <si>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</si>
  <si>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</si>
  <si>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</si>
  <si>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</si>
  <si>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</si>
  <si>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</si>
  <si>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</si>
  <si>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</si>
  <si>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</si>
  <si>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</si>
  <si>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</si>
  <si>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</si>
  <si>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</si>
  <si>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</si>
  <si>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</si>
  <si>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</si>
  <si>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</si>
  <si>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</si>
  <si>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</si>
  <si>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</si>
  <si>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</si>
  <si>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</si>
  <si>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</si>
  <si>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</si>
  <si>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</si>
  <si>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</si>
  <si>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WBS'!L8012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</si>
  <si>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</si>
  <si>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</si>
  <si>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12/8/69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</si>
  <si>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</si>
  <si>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</si>
  <si>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</si>
  <si>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</si>
  <si>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</si>
  <si>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</si>
  <si>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</si>
  <si>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</si>
  <si>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</si>
  <si>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</si>
  <si>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</si>
  <si>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</si>
  <si>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</si>
  <si>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</si>
  <si>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</si>
  <si>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</si>
  <si>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</si>
  <si>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</si>
  <si>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</si>
  <si>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</si>
  <si>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</si>
  <si>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</si>
  <si>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</si>
  <si>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</si>
  <si>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</si>
  <si>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</si>
  <si>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</si>
  <si>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</si>
  <si>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</si>
  <si>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</si>
  <si>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</si>
  <si>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</si>
  <si>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</si>
  <si>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</si>
  <si>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</si>
  <si>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</si>
  <si>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</si>
  <si>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</si>
  <si>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</si>
  <si>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</si>
  <si>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</si>
  <si>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</si>
  <si>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</si>
  <si>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</si>
  <si>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</si>
  <si>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</si>
  <si>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</si>
  <si>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</si>
  <si>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</si>
  <si>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</si>
  <si>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</si>
  <si>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</si>
  <si>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</si>
  <si>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</si>
  <si>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</si>
  <si>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</si>
  <si>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</si>
  <si>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</si>
  <si>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</si>
  <si>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</si>
  <si>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</si>
  <si>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</si>
  <si>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</si>
  <si>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</si>
  <si>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</si>
  <si>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</si>
  <si>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</si>
  <si>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</si>
  <si>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</si>
  <si>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</si>
  <si>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</si>
  <si>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</si>
  <si>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</si>
  <si>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</si>
  <si>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</si>
  <si>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</si>
  <si>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</si>
  <si>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</si>
  <si>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</si>
  <si>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</si>
  <si>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</si>
  <si>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</si>
  <si>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</si>
  <si>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</si>
  <si>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</si>
  <si>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</si>
  <si>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</si>
  <si>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</si>
  <si>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</si>
  <si>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</si>
  <si>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</si>
  <si>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</si>
  <si>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</si>
  <si>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</si>
  <si>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</si>
  <si>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</si>
  <si>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</si>
  <si>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</si>
  <si>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</si>
  <si>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</si>
  <si>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125+80+60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</si>
  <si>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</si>
  <si>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</si>
  <si>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</si>
  <si>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</si>
  <si>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</si>
  <si>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</si>
  <si>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</si>
  <si>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</si>
  <si>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</si>
  <si>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</si>
  <si>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</si>
  <si>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</si>
  <si>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</si>
  <si>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</si>
  <si>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</si>
  <si>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</si>
  <si>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</si>
  <si>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</si>
  <si>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สถานีจ่ายน้ำบ้านแหลม การประปาส่วนภูมิภาคสาขาเพชรบุรี ขนาดกำลังผลิต </t>
    </r>
    <r>
      <rPr>
        <sz val="10"/>
        <rFont val="Tahoma"/>
        <family val="0"/>
        <charset val="1"/>
      </rPr>
      <t xml:space="preserve">291.27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</si>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</sst>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0.842857142857143</c:v>
                </c:pt>
                <c:pt idx="9">
                  <c:v>2.04285714285714</c:v>
                </c:pt>
                <c:pt idx="10">
                  <c:v>2.5</c:v>
                </c:pt>
                <c:pt idx="11">
                  <c:v>2.5</c:v>
                </c:pt>
                <c:pt idx="12">
                  <c:v>7.44444444444445</c:v>
                </c:pt>
                <c:pt idx="13">
                  <c:v>15.2222222222222</c:v>
                </c:pt>
                <c:pt idx="14">
                  <c:v>25.6666666666667</c:v>
                </c:pt>
                <c:pt idx="15">
                  <c:v>74.4047619047619</c:v>
                </c:pt>
                <c:pt idx="16">
                  <c:v>95.7101449275362</c:v>
                </c:pt>
                <c:pt idx="17">
                  <c:v>96.695652173913</c:v>
                </c:pt>
                <c:pt idx="18">
                  <c:v>96.8478260869565</c:v>
                </c:pt>
                <c:pt idx="19">
                  <c:v>97</c:v>
                </c:pt>
                <c:pt idx="20">
                  <c:v>97.1521739130435</c:v>
                </c:pt>
                <c:pt idx="21">
                  <c:v>97.304347826087</c:v>
                </c:pt>
                <c:pt idx="22">
                  <c:v>97.4565217391305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1.3333</c:v>
                </c:pt>
                <c:pt idx="5">
                  <c:v>2.1666</c:v>
                </c:pt>
                <c:pt idx="6">
                  <c:v>6.4999</c:v>
                </c:pt>
                <c:pt idx="7">
                  <c:v>10.9999</c:v>
                </c:pt>
                <c:pt idx="8">
                  <c:v>14.9999</c:v>
                </c:pt>
                <c:pt idx="9">
                  <c:v>18.9999</c:v>
                </c:pt>
                <c:pt idx="10">
                  <c:v>29.6666</c:v>
                </c:pt>
                <c:pt idx="11">
                  <c:v>72.5833</c:v>
                </c:pt>
                <c:pt idx="12">
                  <c:v>93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93.1429</c:v>
                </c:pt>
                <c:pt idx="17">
                  <c:v>94.2858</c:v>
                </c:pt>
                <c:pt idx="18">
                  <c:v>94.4287</c:v>
                </c:pt>
                <c:pt idx="19">
                  <c:v>94.5716</c:v>
                </c:pt>
                <c:pt idx="20">
                  <c:v>94.7145</c:v>
                </c:pt>
                <c:pt idx="21">
                  <c:v>94.8574</c:v>
                </c:pt>
                <c:pt idx="22">
                  <c:v>95.0003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774887"/>
        <c:axId val="59102275"/>
      </c:lineChart>
      <c:catAx>
        <c:axId val="8277488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02275"/>
        <c:crosses val="autoZero"/>
        <c:auto val="1"/>
        <c:lblAlgn val="ctr"/>
        <c:lblOffset val="100"/>
        <c:noMultiLvlLbl val="0"/>
      </c:catAx>
      <c:valAx>
        <c:axId val="59102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748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33</v>
      </c>
      <c r="M4" s="12"/>
      <c r="N4" s="12" t="n">
        <v>35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46186</v>
      </c>
      <c r="O8" s="33" t="n">
        <v>46374</v>
      </c>
      <c r="P8" s="34" t="s">
        <v>75</v>
      </c>
      <c r="Q8" s="31" t="n">
        <v>35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46186</v>
      </c>
      <c r="O9" s="45" t="n">
        <v>46374</v>
      </c>
      <c r="P9" s="46" t="s">
        <v>75</v>
      </c>
      <c r="Q9" s="37" t="n">
        <v>35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46186</v>
      </c>
      <c r="O10" s="55" t="n">
        <v>46205</v>
      </c>
      <c r="P10" s="50" t="s">
        <v>75</v>
      </c>
      <c r="Q10" s="52" t="n">
        <v>-21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46186</v>
      </c>
      <c r="O11" s="55" t="n">
        <v>46205</v>
      </c>
      <c r="P11" s="50" t="s">
        <v>75</v>
      </c>
      <c r="Q11" s="52" t="n">
        <v>-21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46186</v>
      </c>
      <c r="O12" s="55" t="n">
        <v>46205</v>
      </c>
      <c r="P12" s="50" t="s">
        <v>75</v>
      </c>
      <c r="Q12" s="52" t="n">
        <v>-21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46186</v>
      </c>
      <c r="O13" s="55" t="n">
        <v>46214</v>
      </c>
      <c r="P13" s="50" t="s">
        <v>75</v>
      </c>
      <c r="Q13" s="52" t="n">
        <v>-19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46205</v>
      </c>
      <c r="O14" s="55" t="n">
        <v>46374</v>
      </c>
      <c r="P14" s="50" t="s">
        <v>75</v>
      </c>
      <c r="Q14" s="52" t="n">
        <v>35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46205</v>
      </c>
      <c r="O15" s="55" t="n">
        <v>46374</v>
      </c>
      <c r="P15" s="50" t="s">
        <v>75</v>
      </c>
      <c r="Q15" s="52" t="n">
        <v>35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46212</v>
      </c>
      <c r="O16" s="45" t="n">
        <v>46221</v>
      </c>
      <c r="P16" s="46" t="s">
        <v>115</v>
      </c>
      <c r="Q16" s="37" t="n">
        <v>-23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46212</v>
      </c>
      <c r="O17" s="55" t="n">
        <v>46214</v>
      </c>
      <c r="P17" s="50" t="s">
        <v>124</v>
      </c>
      <c r="Q17" s="52" t="n">
        <v>-21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46213</v>
      </c>
      <c r="O18" s="55" t="n">
        <v>46216</v>
      </c>
      <c r="P18" s="50" t="s">
        <v>124</v>
      </c>
      <c r="Q18" s="52" t="n">
        <v>-21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46215</v>
      </c>
      <c r="O19" s="55" t="n">
        <v>46218</v>
      </c>
      <c r="P19" s="50" t="s">
        <v>124</v>
      </c>
      <c r="Q19" s="52" t="n">
        <v>-23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46215</v>
      </c>
      <c r="O20" s="55" t="n">
        <v>46218</v>
      </c>
      <c r="P20" s="50" t="s">
        <v>124</v>
      </c>
      <c r="Q20" s="52" t="n">
        <v>-23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46216</v>
      </c>
      <c r="O21" s="55" t="n">
        <v>46219</v>
      </c>
      <c r="P21" s="50" t="s">
        <v>124</v>
      </c>
      <c r="Q21" s="52" t="n">
        <v>-23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46217</v>
      </c>
      <c r="O22" s="55" t="n">
        <v>46220</v>
      </c>
      <c r="P22" s="50" t="s">
        <v>124</v>
      </c>
      <c r="Q22" s="52" t="n">
        <v>-23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46217</v>
      </c>
      <c r="O24" s="55" t="n">
        <v>46221</v>
      </c>
      <c r="P24" s="50" t="s">
        <v>124</v>
      </c>
      <c r="Q24" s="52" t="n">
        <v>-23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46234</v>
      </c>
      <c r="M25" s="43"/>
      <c r="N25" s="44" t="n">
        <v>46234</v>
      </c>
      <c r="O25" s="45" t="n">
        <v>46234</v>
      </c>
      <c r="P25" s="46" t="s">
        <v>60</v>
      </c>
      <c r="Q25" s="37" t="n">
        <v>-4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164</v>
      </c>
      <c r="N26" s="55" t="n">
        <v>46234</v>
      </c>
      <c r="O26" s="55" t="n">
        <v>46234</v>
      </c>
      <c r="P26" s="50" t="s">
        <v>124</v>
      </c>
      <c r="Q26" s="52" t="n">
        <v>-4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46234</v>
      </c>
      <c r="O27" s="55" t="n">
        <v>46234</v>
      </c>
      <c r="P27" s="50" t="s">
        <v>124</v>
      </c>
      <c r="Q27" s="52" t="n">
        <v>-4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46234</v>
      </c>
      <c r="O28" s="55" t="n">
        <v>46234</v>
      </c>
      <c r="P28" s="50" t="s">
        <v>124</v>
      </c>
      <c r="Q28" s="52" t="n">
        <v>-4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46186</v>
      </c>
      <c r="O29" s="33" t="n">
        <v>46357</v>
      </c>
      <c r="P29" s="34" t="s">
        <v>75</v>
      </c>
      <c r="Q29" s="31" t="n">
        <v>35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46186</v>
      </c>
      <c r="O30" s="45" t="n">
        <v>46186</v>
      </c>
      <c r="P30" s="46" t="s">
        <v>115</v>
      </c>
      <c r="Q30" s="37" t="n">
        <v>-28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46186</v>
      </c>
      <c r="O31" s="55" t="n">
        <v>46186</v>
      </c>
      <c r="P31" s="50" t="s">
        <v>124</v>
      </c>
      <c r="Q31" s="52" t="n">
        <v>-28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46186</v>
      </c>
      <c r="O32" s="55" t="n">
        <v>46186</v>
      </c>
      <c r="P32" s="50" t="s">
        <v>124</v>
      </c>
      <c r="Q32" s="52" t="n">
        <v>-28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46186</v>
      </c>
      <c r="O33" s="55" t="n">
        <v>46186</v>
      </c>
      <c r="P33" s="50" t="s">
        <v>124</v>
      </c>
      <c r="Q33" s="52" t="n">
        <v>-28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46192</v>
      </c>
      <c r="O34" s="45" t="n">
        <v>46201</v>
      </c>
      <c r="P34" s="46" t="s">
        <v>115</v>
      </c>
      <c r="Q34" s="37" t="n">
        <v>-29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46192</v>
      </c>
      <c r="O35" s="55" t="n">
        <v>46197</v>
      </c>
      <c r="P35" s="50" t="s">
        <v>124</v>
      </c>
      <c r="Q35" s="52" t="n">
        <v>-28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46192</v>
      </c>
      <c r="O36" s="55" t="n">
        <v>46197</v>
      </c>
      <c r="P36" s="50" t="s">
        <v>124</v>
      </c>
      <c r="Q36" s="52" t="n">
        <v>-29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46195</v>
      </c>
      <c r="O37" s="55" t="n">
        <v>46198</v>
      </c>
      <c r="P37" s="50" t="s">
        <v>124</v>
      </c>
      <c r="Q37" s="52" t="n">
        <v>-29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46197</v>
      </c>
      <c r="O38" s="55" t="n">
        <v>46201</v>
      </c>
      <c r="P38" s="50" t="s">
        <v>124</v>
      </c>
      <c r="Q38" s="52" t="n">
        <v>-29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46211</v>
      </c>
      <c r="O39" s="45" t="n">
        <v>46211</v>
      </c>
      <c r="P39" s="46" t="s">
        <v>115</v>
      </c>
      <c r="Q39" s="37" t="n">
        <v>-33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46211</v>
      </c>
      <c r="O40" s="55" t="n">
        <v>46211</v>
      </c>
      <c r="P40" s="50" t="s">
        <v>124</v>
      </c>
      <c r="Q40" s="52" t="n">
        <v>-33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46211</v>
      </c>
      <c r="O41" s="55" t="n">
        <v>46211</v>
      </c>
      <c r="P41" s="50" t="s">
        <v>124</v>
      </c>
      <c r="Q41" s="52" t="n">
        <v>-33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46211</v>
      </c>
      <c r="O42" s="55" t="n">
        <v>46211</v>
      </c>
      <c r="P42" s="50" t="s">
        <v>124</v>
      </c>
      <c r="Q42" s="52" t="n">
        <v>-33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46193</v>
      </c>
      <c r="O43" s="45" t="n">
        <v>46206</v>
      </c>
      <c r="P43" s="46" t="s">
        <v>115</v>
      </c>
      <c r="Q43" s="37" t="n">
        <v>-28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46193</v>
      </c>
      <c r="O44" s="55" t="n">
        <v>46196</v>
      </c>
      <c r="P44" s="50" t="s">
        <v>124</v>
      </c>
      <c r="Q44" s="52" t="n">
        <v>-28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46194</v>
      </c>
      <c r="O45" s="55" t="n">
        <v>46200</v>
      </c>
      <c r="P45" s="50" t="s">
        <v>124</v>
      </c>
      <c r="Q45" s="52" t="n">
        <v>-27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46200</v>
      </c>
      <c r="O46" s="55" t="n">
        <v>46206</v>
      </c>
      <c r="P46" s="50" t="s">
        <v>124</v>
      </c>
      <c r="Q46" s="52" t="n">
        <v>-28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46277</v>
      </c>
      <c r="J47" s="41" t="n">
        <v>46277</v>
      </c>
      <c r="K47" s="42"/>
      <c r="L47" s="42" t="n">
        <v>46280</v>
      </c>
      <c r="M47" s="43"/>
      <c r="N47" s="44" t="n">
        <v>46280</v>
      </c>
      <c r="O47" s="45" t="n">
        <v>46280</v>
      </c>
      <c r="P47" s="46" t="s">
        <v>60</v>
      </c>
      <c r="Q47" s="37" t="n">
        <v>3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46277</v>
      </c>
      <c r="J48" s="53" t="n">
        <v>46277</v>
      </c>
      <c r="K48" s="52"/>
      <c r="L48" s="52"/>
      <c r="M48" s="54" t="s">
        <v>252</v>
      </c>
      <c r="N48" s="55" t="n">
        <v>46280</v>
      </c>
      <c r="O48" s="55" t="n">
        <v>46280</v>
      </c>
      <c r="P48" s="50" t="s">
        <v>124</v>
      </c>
      <c r="Q48" s="52" t="n">
        <v>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46277</v>
      </c>
      <c r="J49" s="53" t="n">
        <v>46277</v>
      </c>
      <c r="K49" s="52"/>
      <c r="L49" s="52"/>
      <c r="M49" s="54" t="s">
        <v>256</v>
      </c>
      <c r="N49" s="55" t="n">
        <v>46280</v>
      </c>
      <c r="O49" s="55" t="n">
        <v>46280</v>
      </c>
      <c r="P49" s="50" t="s">
        <v>124</v>
      </c>
      <c r="Q49" s="52" t="n">
        <v>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28</v>
      </c>
      <c r="C50" s="39"/>
      <c r="D50" s="39" t="s">
        <v>258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46278</v>
      </c>
      <c r="J50" s="41" t="n">
        <v>46307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36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46277</v>
      </c>
      <c r="J51" s="53" t="n">
        <v>46277</v>
      </c>
      <c r="K51" s="52"/>
      <c r="L51" s="52"/>
      <c r="M51" s="54" t="s">
        <v>262</v>
      </c>
      <c r="N51" s="55" t="n">
        <v>46280</v>
      </c>
      <c r="O51" s="55" t="n">
        <v>46280</v>
      </c>
      <c r="P51" s="50" t="s">
        <v>124</v>
      </c>
      <c r="Q51" s="52" t="n">
        <v>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46274</v>
      </c>
      <c r="M55" s="43"/>
      <c r="N55" s="44" t="n">
        <v>46274</v>
      </c>
      <c r="O55" s="45" t="n">
        <v>46274</v>
      </c>
      <c r="P55" s="46" t="s">
        <v>60</v>
      </c>
      <c r="Q55" s="37" t="n">
        <v>-3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 t="s">
        <v>284</v>
      </c>
      <c r="D57" s="39" t="s">
        <v>285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 t="n">
        <v>46274</v>
      </c>
      <c r="L57" s="42"/>
      <c r="M57" s="43" t="s">
        <v>114</v>
      </c>
      <c r="N57" s="44" t="n">
        <v>46274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8" t="s">
        <v>288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 t="s">
        <v>292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46316</v>
      </c>
      <c r="O60" s="60" t="n">
        <v>46357</v>
      </c>
      <c r="P60" s="46" t="s">
        <v>296</v>
      </c>
      <c r="Q60" s="37" t="n">
        <v>35</v>
      </c>
      <c r="R60" s="39"/>
      <c r="S60" s="39" t="n">
        <v>1</v>
      </c>
      <c r="T60" s="39" t="s">
        <v>297</v>
      </c>
      <c r="U60" s="58" t="n">
        <v>46316.006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298</v>
      </c>
      <c r="B61" s="31" t="s">
        <v>299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46204</v>
      </c>
      <c r="O61" s="33" t="n">
        <v>46246</v>
      </c>
      <c r="P61" s="34" t="s">
        <v>60</v>
      </c>
      <c r="Q61" s="31" t="n">
        <v>-30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300</v>
      </c>
      <c r="B62" s="39" t="s">
        <v>301</v>
      </c>
      <c r="C62" s="39" t="s">
        <v>302</v>
      </c>
      <c r="D62" s="39" t="s">
        <v>303</v>
      </c>
      <c r="E62" s="40" t="n">
        <v>20</v>
      </c>
      <c r="F62" s="39" t="s">
        <v>304</v>
      </c>
      <c r="G62" s="37"/>
      <c r="H62" s="37" t="n">
        <v>29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46204</v>
      </c>
      <c r="O62" s="45" t="n">
        <v>46232</v>
      </c>
      <c r="P62" s="46" t="s">
        <v>115</v>
      </c>
      <c r="Q62" s="37" t="n">
        <v>-32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305</v>
      </c>
      <c r="Y62" s="38" t="s">
        <v>306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307</v>
      </c>
      <c r="B63" s="50" t="s">
        <v>308</v>
      </c>
      <c r="C63" s="50" t="s">
        <v>309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310</v>
      </c>
      <c r="N63" s="55" t="n">
        <v>46204</v>
      </c>
      <c r="O63" s="55" t="n">
        <v>46207</v>
      </c>
      <c r="P63" s="50" t="s">
        <v>124</v>
      </c>
      <c r="Q63" s="52" t="n">
        <v>-42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306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311</v>
      </c>
      <c r="B64" s="50" t="s">
        <v>312</v>
      </c>
      <c r="C64" s="50" t="s">
        <v>313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314</v>
      </c>
      <c r="N64" s="55" t="n">
        <v>46204</v>
      </c>
      <c r="O64" s="55" t="n">
        <v>46210</v>
      </c>
      <c r="P64" s="50" t="s">
        <v>124</v>
      </c>
      <c r="Q64" s="52" t="n">
        <v>-40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306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315</v>
      </c>
      <c r="B65" s="50" t="s">
        <v>316</v>
      </c>
      <c r="C65" s="50" t="s">
        <v>317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318</v>
      </c>
      <c r="N65" s="55" t="n">
        <v>46207</v>
      </c>
      <c r="O65" s="55" t="n">
        <v>46218</v>
      </c>
      <c r="P65" s="50" t="s">
        <v>124</v>
      </c>
      <c r="Q65" s="52" t="n">
        <v>-37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306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319</v>
      </c>
      <c r="B66" s="50" t="s">
        <v>320</v>
      </c>
      <c r="C66" s="52" t="s">
        <v>321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322</v>
      </c>
      <c r="N66" s="55" t="n">
        <v>46215</v>
      </c>
      <c r="O66" s="55" t="n">
        <v>46228</v>
      </c>
      <c r="P66" s="50" t="s">
        <v>124</v>
      </c>
      <c r="Q66" s="52" t="n">
        <v>-33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306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323</v>
      </c>
      <c r="B67" s="52" t="s">
        <v>324</v>
      </c>
      <c r="C67" s="52" t="s">
        <v>325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326</v>
      </c>
      <c r="N67" s="55" t="n">
        <v>46221</v>
      </c>
      <c r="O67" s="55" t="n">
        <v>46231</v>
      </c>
      <c r="P67" s="50" t="s">
        <v>124</v>
      </c>
      <c r="Q67" s="52" t="n">
        <v>-32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306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327</v>
      </c>
      <c r="B68" s="50" t="s">
        <v>328</v>
      </c>
      <c r="C68" s="50" t="s">
        <v>329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330</v>
      </c>
      <c r="N68" s="55" t="n">
        <v>46226</v>
      </c>
      <c r="O68" s="55" t="n">
        <v>46232</v>
      </c>
      <c r="P68" s="50" t="s">
        <v>124</v>
      </c>
      <c r="Q68" s="52" t="n">
        <v>-32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306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331</v>
      </c>
      <c r="B69" s="52" t="s">
        <v>332</v>
      </c>
      <c r="C69" s="50" t="s">
        <v>333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334</v>
      </c>
      <c r="N69" s="55" t="n">
        <v>46231</v>
      </c>
      <c r="O69" s="55" t="n">
        <v>46232</v>
      </c>
      <c r="P69" s="50" t="s">
        <v>124</v>
      </c>
      <c r="Q69" s="52" t="n">
        <v>-32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306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335</v>
      </c>
      <c r="B70" s="39" t="s">
        <v>336</v>
      </c>
      <c r="C70" s="39" t="s">
        <v>302</v>
      </c>
      <c r="D70" s="39" t="s">
        <v>303</v>
      </c>
      <c r="E70" s="40" t="n">
        <v>10</v>
      </c>
      <c r="F70" s="39" t="s">
        <v>337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46240</v>
      </c>
      <c r="O70" s="45" t="n">
        <v>46243</v>
      </c>
      <c r="P70" s="46" t="s">
        <v>115</v>
      </c>
      <c r="Q70" s="37" t="n">
        <v>-31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338</v>
      </c>
      <c r="Y70" s="38" t="s">
        <v>306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339</v>
      </c>
      <c r="B71" s="50" t="s">
        <v>340</v>
      </c>
      <c r="C71" s="52" t="s">
        <v>341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342</v>
      </c>
      <c r="N71" s="55" t="n">
        <v>46240</v>
      </c>
      <c r="O71" s="55" t="n">
        <v>46241</v>
      </c>
      <c r="P71" s="50" t="s">
        <v>124</v>
      </c>
      <c r="Q71" s="52" t="n">
        <v>-28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306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343</v>
      </c>
      <c r="B72" s="50" t="s">
        <v>344</v>
      </c>
      <c r="C72" s="50" t="s">
        <v>345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346</v>
      </c>
      <c r="N72" s="55" t="n">
        <v>46241</v>
      </c>
      <c r="O72" s="55" t="n">
        <v>46242</v>
      </c>
      <c r="P72" s="50" t="s">
        <v>124</v>
      </c>
      <c r="Q72" s="52" t="n">
        <v>-30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306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347</v>
      </c>
      <c r="B73" s="50" t="s">
        <v>348</v>
      </c>
      <c r="C73" s="50" t="s">
        <v>349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350</v>
      </c>
      <c r="N73" s="55" t="n">
        <v>46241</v>
      </c>
      <c r="O73" s="55" t="n">
        <v>46242</v>
      </c>
      <c r="P73" s="50" t="s">
        <v>124</v>
      </c>
      <c r="Q73" s="52" t="n">
        <v>-30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306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351</v>
      </c>
      <c r="B74" s="50" t="s">
        <v>352</v>
      </c>
      <c r="C74" s="52" t="s">
        <v>353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354</v>
      </c>
      <c r="N74" s="55" t="n">
        <v>46242</v>
      </c>
      <c r="O74" s="55" t="n">
        <v>46243</v>
      </c>
      <c r="P74" s="50" t="s">
        <v>124</v>
      </c>
      <c r="Q74" s="52" t="n">
        <v>-31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306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355</v>
      </c>
      <c r="B75" s="52" t="s">
        <v>356</v>
      </c>
      <c r="C75" s="50" t="s">
        <v>357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358</v>
      </c>
      <c r="N75" s="55" t="n">
        <v>46242</v>
      </c>
      <c r="O75" s="55" t="n">
        <v>46243</v>
      </c>
      <c r="P75" s="50" t="s">
        <v>124</v>
      </c>
      <c r="Q75" s="52" t="n">
        <v>-31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306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359</v>
      </c>
      <c r="B76" s="39" t="s">
        <v>360</v>
      </c>
      <c r="C76" s="39" t="s">
        <v>302</v>
      </c>
      <c r="D76" s="39" t="s">
        <v>303</v>
      </c>
      <c r="E76" s="40" t="n">
        <v>20</v>
      </c>
      <c r="F76" s="39" t="s">
        <v>361</v>
      </c>
      <c r="G76" s="37"/>
      <c r="H76" s="37" t="n">
        <v>12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46233</v>
      </c>
      <c r="O76" s="45" t="n">
        <v>46244</v>
      </c>
      <c r="P76" s="46" t="s">
        <v>115</v>
      </c>
      <c r="Q76" s="37" t="n">
        <v>-30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362</v>
      </c>
      <c r="Y76" s="38" t="s">
        <v>306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363</v>
      </c>
      <c r="B77" s="50" t="s">
        <v>364</v>
      </c>
      <c r="C77" s="50" t="s">
        <v>365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366</v>
      </c>
      <c r="N77" s="55" t="n">
        <v>46233</v>
      </c>
      <c r="O77" s="55" t="n">
        <v>46236</v>
      </c>
      <c r="P77" s="50" t="s">
        <v>124</v>
      </c>
      <c r="Q77" s="52" t="n">
        <v>-32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306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367</v>
      </c>
      <c r="B78" s="50" t="s">
        <v>368</v>
      </c>
      <c r="C78" s="50" t="s">
        <v>369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370</v>
      </c>
      <c r="N78" s="55" t="n">
        <v>46234</v>
      </c>
      <c r="O78" s="55" t="n">
        <v>46242</v>
      </c>
      <c r="P78" s="50" t="s">
        <v>124</v>
      </c>
      <c r="Q78" s="52" t="n">
        <v>-31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306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371</v>
      </c>
      <c r="B79" s="52" t="s">
        <v>372</v>
      </c>
      <c r="C79" s="50" t="s">
        <v>373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374</v>
      </c>
      <c r="N79" s="55" t="n">
        <v>46237</v>
      </c>
      <c r="O79" s="55" t="n">
        <v>46243</v>
      </c>
      <c r="P79" s="50" t="s">
        <v>124</v>
      </c>
      <c r="Q79" s="52" t="n">
        <v>-31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306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375</v>
      </c>
      <c r="B80" s="52" t="s">
        <v>376</v>
      </c>
      <c r="C80" s="50" t="s">
        <v>377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378</v>
      </c>
      <c r="N80" s="55" t="n">
        <v>46242</v>
      </c>
      <c r="O80" s="55" t="n">
        <v>46244</v>
      </c>
      <c r="P80" s="50" t="s">
        <v>124</v>
      </c>
      <c r="Q80" s="52" t="n">
        <v>-30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306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379</v>
      </c>
      <c r="B81" s="52" t="s">
        <v>380</v>
      </c>
      <c r="C81" s="50" t="s">
        <v>381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382</v>
      </c>
      <c r="N81" s="55" t="n">
        <v>46243</v>
      </c>
      <c r="O81" s="55" t="n">
        <v>46244</v>
      </c>
      <c r="P81" s="50" t="s">
        <v>124</v>
      </c>
      <c r="Q81" s="52" t="n">
        <v>-30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306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383</v>
      </c>
      <c r="B82" s="39" t="s">
        <v>384</v>
      </c>
      <c r="C82" s="39" t="s">
        <v>385</v>
      </c>
      <c r="D82" s="39" t="s">
        <v>303</v>
      </c>
      <c r="E82" s="40" t="n">
        <v>2.5</v>
      </c>
      <c r="F82" s="39" t="s">
        <v>361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46242</v>
      </c>
      <c r="O82" s="45" t="n">
        <v>46244</v>
      </c>
      <c r="P82" s="46" t="s">
        <v>115</v>
      </c>
      <c r="Q82" s="37" t="n">
        <v>-27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386</v>
      </c>
      <c r="Y82" s="38" t="s">
        <v>306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387</v>
      </c>
      <c r="B83" s="50" t="s">
        <v>388</v>
      </c>
      <c r="C83" s="50" t="s">
        <v>389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390</v>
      </c>
      <c r="N83" s="55" t="n">
        <v>46242</v>
      </c>
      <c r="O83" s="55" t="n">
        <v>46243</v>
      </c>
      <c r="P83" s="50" t="s">
        <v>124</v>
      </c>
      <c r="Q83" s="52" t="n">
        <v>-27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306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391</v>
      </c>
      <c r="B84" s="50" t="s">
        <v>392</v>
      </c>
      <c r="C84" s="50" t="s">
        <v>393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394</v>
      </c>
      <c r="N84" s="55" t="n">
        <v>46243</v>
      </c>
      <c r="O84" s="55" t="n">
        <v>46244</v>
      </c>
      <c r="P84" s="50" t="s">
        <v>124</v>
      </c>
      <c r="Q84" s="52" t="n">
        <v>-27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306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395</v>
      </c>
      <c r="B85" s="39" t="s">
        <v>396</v>
      </c>
      <c r="C85" s="38" t="s">
        <v>397</v>
      </c>
      <c r="D85" s="39" t="s">
        <v>303</v>
      </c>
      <c r="E85" s="40" t="n">
        <v>15</v>
      </c>
      <c r="F85" s="39" t="s">
        <v>337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46240</v>
      </c>
      <c r="O85" s="45" t="n">
        <v>46243</v>
      </c>
      <c r="P85" s="46" t="s">
        <v>115</v>
      </c>
      <c r="Q85" s="37" t="n">
        <v>-29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398</v>
      </c>
      <c r="Y85" s="38" t="s">
        <v>306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399</v>
      </c>
      <c r="B86" s="52" t="s">
        <v>400</v>
      </c>
      <c r="C86" s="52" t="s">
        <v>401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402</v>
      </c>
      <c r="N86" s="55" t="n">
        <v>46240</v>
      </c>
      <c r="O86" s="55" t="n">
        <v>46242</v>
      </c>
      <c r="P86" s="50" t="s">
        <v>124</v>
      </c>
      <c r="Q86" s="52" t="n">
        <v>-26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306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403</v>
      </c>
      <c r="B87" s="52" t="s">
        <v>404</v>
      </c>
      <c r="C87" s="52" t="s">
        <v>405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406</v>
      </c>
      <c r="N87" s="55" t="n">
        <v>46241</v>
      </c>
      <c r="O87" s="55" t="n">
        <v>46243</v>
      </c>
      <c r="P87" s="50" t="s">
        <v>124</v>
      </c>
      <c r="Q87" s="52" t="n">
        <v>-28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306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407</v>
      </c>
      <c r="B88" s="50" t="s">
        <v>408</v>
      </c>
      <c r="C88" s="50" t="s">
        <v>409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410</v>
      </c>
      <c r="N88" s="55" t="n">
        <v>46242</v>
      </c>
      <c r="O88" s="55" t="n">
        <v>46243</v>
      </c>
      <c r="P88" s="50" t="s">
        <v>124</v>
      </c>
      <c r="Q88" s="52" t="n">
        <v>-29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306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411</v>
      </c>
      <c r="B89" s="52" t="s">
        <v>412</v>
      </c>
      <c r="C89" s="50" t="s">
        <v>413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414</v>
      </c>
      <c r="N89" s="55" t="n">
        <v>46243</v>
      </c>
      <c r="O89" s="55" t="n">
        <v>46243</v>
      </c>
      <c r="P89" s="50" t="s">
        <v>124</v>
      </c>
      <c r="Q89" s="52" t="n">
        <v>-29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306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415</v>
      </c>
      <c r="B90" s="39" t="s">
        <v>416</v>
      </c>
      <c r="C90" s="39" t="s">
        <v>417</v>
      </c>
      <c r="D90" s="39" t="s">
        <v>303</v>
      </c>
      <c r="E90" s="40" t="n">
        <v>10</v>
      </c>
      <c r="F90" s="39" t="s">
        <v>361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46241</v>
      </c>
      <c r="O90" s="45" t="n">
        <v>46244</v>
      </c>
      <c r="P90" s="46" t="s">
        <v>115</v>
      </c>
      <c r="Q90" s="37" t="n">
        <v>-29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418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422</v>
      </c>
      <c r="N91" s="55" t="n">
        <v>46241</v>
      </c>
      <c r="O91" s="55" t="n">
        <v>46243</v>
      </c>
      <c r="P91" s="50" t="s">
        <v>124</v>
      </c>
      <c r="Q91" s="52" t="n">
        <v>-26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426</v>
      </c>
      <c r="N92" s="55" t="n">
        <v>46243</v>
      </c>
      <c r="O92" s="55" t="n">
        <v>46244</v>
      </c>
      <c r="P92" s="50" t="s">
        <v>124</v>
      </c>
      <c r="Q92" s="52" t="n">
        <v>-29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430</v>
      </c>
      <c r="N93" s="55" t="n">
        <v>46241</v>
      </c>
      <c r="O93" s="55" t="n">
        <v>46243</v>
      </c>
      <c r="P93" s="50" t="s">
        <v>124</v>
      </c>
      <c r="Q93" s="52" t="n">
        <v>-25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434</v>
      </c>
      <c r="N94" s="55" t="n">
        <v>46243</v>
      </c>
      <c r="O94" s="55" t="n">
        <v>46244</v>
      </c>
      <c r="P94" s="50" t="s">
        <v>124</v>
      </c>
      <c r="Q94" s="52" t="n">
        <v>-29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438</v>
      </c>
      <c r="N95" s="55" t="n">
        <v>46244</v>
      </c>
      <c r="O95" s="55" t="n">
        <v>46244</v>
      </c>
      <c r="P95" s="50" t="s">
        <v>124</v>
      </c>
      <c r="Q95" s="52" t="n">
        <v>-29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303</v>
      </c>
      <c r="E96" s="40" t="n">
        <v>5</v>
      </c>
      <c r="F96" s="39" t="s">
        <v>361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46242</v>
      </c>
      <c r="O96" s="45" t="n">
        <v>46244</v>
      </c>
      <c r="P96" s="46" t="s">
        <v>115</v>
      </c>
      <c r="Q96" s="37" t="n">
        <v>-29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445</v>
      </c>
      <c r="N97" s="55" t="n">
        <v>46242</v>
      </c>
      <c r="O97" s="55" t="n">
        <v>46244</v>
      </c>
      <c r="P97" s="50" t="s">
        <v>124</v>
      </c>
      <c r="Q97" s="52" t="n">
        <v>-28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449</v>
      </c>
      <c r="N98" s="55" t="n">
        <v>46243</v>
      </c>
      <c r="O98" s="55" t="n">
        <v>46244</v>
      </c>
      <c r="P98" s="50" t="s">
        <v>124</v>
      </c>
      <c r="Q98" s="52" t="n">
        <v>-29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453</v>
      </c>
      <c r="N99" s="55" t="n">
        <v>46244</v>
      </c>
      <c r="O99" s="55" t="n">
        <v>46244</v>
      </c>
      <c r="P99" s="50" t="s">
        <v>124</v>
      </c>
      <c r="Q99" s="52" t="n">
        <v>-29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303</v>
      </c>
      <c r="E100" s="40" t="n">
        <v>5</v>
      </c>
      <c r="F100" s="39" t="s">
        <v>457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46243</v>
      </c>
      <c r="O100" s="45" t="n">
        <v>46245</v>
      </c>
      <c r="P100" s="46" t="s">
        <v>115</v>
      </c>
      <c r="Q100" s="37" t="n">
        <v>-29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467</v>
      </c>
      <c r="N103" s="55" t="n">
        <v>46243</v>
      </c>
      <c r="O103" s="55" t="n">
        <v>46244</v>
      </c>
      <c r="P103" s="50" t="s">
        <v>124</v>
      </c>
      <c r="Q103" s="52" t="n">
        <v>-29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471</v>
      </c>
      <c r="N104" s="55" t="n">
        <v>46244</v>
      </c>
      <c r="O104" s="55" t="n">
        <v>46245</v>
      </c>
      <c r="P104" s="50" t="s">
        <v>124</v>
      </c>
      <c r="Q104" s="52" t="n">
        <v>-28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475</v>
      </c>
      <c r="N105" s="55" t="n">
        <v>46244</v>
      </c>
      <c r="O105" s="55" t="n">
        <v>46245</v>
      </c>
      <c r="P105" s="50" t="s">
        <v>124</v>
      </c>
      <c r="Q105" s="52" t="n">
        <v>-29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479</v>
      </c>
      <c r="N106" s="55" t="n">
        <v>46245</v>
      </c>
      <c r="O106" s="55" t="n">
        <v>46245</v>
      </c>
      <c r="P106" s="50" t="s">
        <v>124</v>
      </c>
      <c r="Q106" s="52" t="n">
        <v>-29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303</v>
      </c>
      <c r="E107" s="40" t="n">
        <v>2.5</v>
      </c>
      <c r="F107" s="39" t="s">
        <v>457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-30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486</v>
      </c>
      <c r="N108" s="55" t="n">
        <v>46244</v>
      </c>
      <c r="O108" s="55" t="n">
        <v>46245</v>
      </c>
      <c r="P108" s="50" t="s">
        <v>124</v>
      </c>
      <c r="Q108" s="52" t="n">
        <v>-29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490</v>
      </c>
      <c r="N109" s="55" t="n">
        <v>46245</v>
      </c>
      <c r="O109" s="55" t="n">
        <v>46245</v>
      </c>
      <c r="P109" s="50" t="s">
        <v>124</v>
      </c>
      <c r="Q109" s="52" t="n">
        <v>-30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494</v>
      </c>
      <c r="N110" s="55" t="n">
        <v>46244</v>
      </c>
      <c r="O110" s="55" t="n">
        <v>46245</v>
      </c>
      <c r="P110" s="50" t="s">
        <v>124</v>
      </c>
      <c r="Q110" s="52" t="n">
        <v>-29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 t="s">
        <v>497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46246</v>
      </c>
      <c r="M111" s="43"/>
      <c r="N111" s="44" t="n">
        <v>46246</v>
      </c>
      <c r="O111" s="45" t="n">
        <v>46246</v>
      </c>
      <c r="P111" s="46" t="s">
        <v>60</v>
      </c>
      <c r="Q111" s="37" t="n">
        <v>-30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503</v>
      </c>
      <c r="N112" s="55" t="n">
        <v>46246</v>
      </c>
      <c r="O112" s="55" t="n">
        <v>46246</v>
      </c>
      <c r="P112" s="50" t="s">
        <v>124</v>
      </c>
      <c r="Q112" s="52" t="n">
        <v>-30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507</v>
      </c>
      <c r="N113" s="55" t="n">
        <v>46246</v>
      </c>
      <c r="O113" s="55" t="n">
        <v>46246</v>
      </c>
      <c r="P113" s="50" t="s">
        <v>124</v>
      </c>
      <c r="Q113" s="52" t="n">
        <v>-30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35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303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46315</v>
      </c>
      <c r="O115" s="45" t="n">
        <v>46315</v>
      </c>
      <c r="P115" s="46" t="s">
        <v>296</v>
      </c>
      <c r="Q115" s="37" t="n">
        <v>36</v>
      </c>
      <c r="R115" s="39"/>
      <c r="S115" s="39" t="n">
        <v>1</v>
      </c>
      <c r="T115" s="39" t="s">
        <v>297</v>
      </c>
      <c r="U115" s="58" t="n">
        <v>46315.0115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517</v>
      </c>
      <c r="N116" s="55" t="n">
        <v>46315</v>
      </c>
      <c r="O116" s="55" t="n">
        <v>46315</v>
      </c>
      <c r="P116" s="50" t="s">
        <v>296</v>
      </c>
      <c r="Q116" s="52" t="n">
        <v>38</v>
      </c>
      <c r="R116" s="52"/>
      <c r="S116" s="52" t="n">
        <v>2</v>
      </c>
      <c r="T116" s="52" t="s">
        <v>297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521</v>
      </c>
      <c r="N117" s="55" t="n">
        <v>46315</v>
      </c>
      <c r="O117" s="55" t="n">
        <v>46315</v>
      </c>
      <c r="P117" s="50" t="s">
        <v>296</v>
      </c>
      <c r="Q117" s="52" t="n">
        <v>37</v>
      </c>
      <c r="R117" s="52"/>
      <c r="S117" s="52" t="n">
        <v>2</v>
      </c>
      <c r="T117" s="52" t="s">
        <v>297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525</v>
      </c>
      <c r="N118" s="55" t="n">
        <v>46315</v>
      </c>
      <c r="O118" s="55" t="n">
        <v>46315</v>
      </c>
      <c r="P118" s="50" t="s">
        <v>296</v>
      </c>
      <c r="Q118" s="52" t="n">
        <v>37</v>
      </c>
      <c r="R118" s="52"/>
      <c r="S118" s="52" t="n">
        <v>2</v>
      </c>
      <c r="T118" s="52" t="s">
        <v>297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529</v>
      </c>
      <c r="N119" s="55" t="n">
        <v>46315</v>
      </c>
      <c r="O119" s="55" t="n">
        <v>46315</v>
      </c>
      <c r="P119" s="50" t="s">
        <v>296</v>
      </c>
      <c r="Q119" s="52" t="n">
        <v>37</v>
      </c>
      <c r="R119" s="52"/>
      <c r="S119" s="52" t="n">
        <v>2</v>
      </c>
      <c r="T119" s="52" t="s">
        <v>297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533</v>
      </c>
      <c r="N120" s="55" t="n">
        <v>46315</v>
      </c>
      <c r="O120" s="55" t="n">
        <v>46315</v>
      </c>
      <c r="P120" s="50" t="s">
        <v>296</v>
      </c>
      <c r="Q120" s="52" t="n">
        <v>36</v>
      </c>
      <c r="R120" s="52"/>
      <c r="S120" s="52" t="n">
        <v>2</v>
      </c>
      <c r="T120" s="52" t="s">
        <v>297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537</v>
      </c>
      <c r="N121" s="55" t="n">
        <v>46315</v>
      </c>
      <c r="O121" s="55" t="n">
        <v>46315</v>
      </c>
      <c r="P121" s="50" t="s">
        <v>296</v>
      </c>
      <c r="Q121" s="52" t="n">
        <v>36</v>
      </c>
      <c r="R121" s="52"/>
      <c r="S121" s="52" t="n">
        <v>2</v>
      </c>
      <c r="T121" s="52" t="s">
        <v>297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 t="n">
        <v>46288</v>
      </c>
      <c r="M122" s="43"/>
      <c r="N122" s="44" t="n">
        <v>46288</v>
      </c>
      <c r="O122" s="45" t="n">
        <v>46288</v>
      </c>
      <c r="P122" s="46" t="s">
        <v>60</v>
      </c>
      <c r="Q122" s="37" t="n">
        <v>9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-27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46361</v>
      </c>
      <c r="O124" s="45" t="n">
        <v>46374</v>
      </c>
      <c r="P124" s="46" t="s">
        <v>296</v>
      </c>
      <c r="Q124" s="37" t="n">
        <v>35</v>
      </c>
      <c r="R124" s="39"/>
      <c r="S124" s="39" t="n">
        <v>1</v>
      </c>
      <c r="T124" s="39" t="s">
        <v>297</v>
      </c>
      <c r="U124" s="58" t="n">
        <v>46361.0124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552</v>
      </c>
      <c r="N125" s="55" t="n">
        <v>46361</v>
      </c>
      <c r="O125" s="55" t="n">
        <v>46365</v>
      </c>
      <c r="P125" s="50" t="s">
        <v>296</v>
      </c>
      <c r="Q125" s="52" t="n">
        <v>35</v>
      </c>
      <c r="R125" s="52"/>
      <c r="S125" s="52" t="n">
        <v>2</v>
      </c>
      <c r="T125" s="52" t="s">
        <v>297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556</v>
      </c>
      <c r="N126" s="55" t="n">
        <v>46364</v>
      </c>
      <c r="O126" s="55" t="n">
        <v>46371</v>
      </c>
      <c r="P126" s="50" t="s">
        <v>296</v>
      </c>
      <c r="Q126" s="52" t="n">
        <v>35</v>
      </c>
      <c r="R126" s="52"/>
      <c r="S126" s="52" t="n">
        <v>2</v>
      </c>
      <c r="T126" s="52" t="s">
        <v>297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560</v>
      </c>
      <c r="N127" s="55" t="n">
        <v>46371</v>
      </c>
      <c r="O127" s="55" t="n">
        <v>46374</v>
      </c>
      <c r="P127" s="50" t="s">
        <v>296</v>
      </c>
      <c r="Q127" s="52" t="n">
        <v>35</v>
      </c>
      <c r="R127" s="52"/>
      <c r="S127" s="52" t="n">
        <v>2</v>
      </c>
      <c r="T127" s="52" t="s">
        <v>297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303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46322</v>
      </c>
      <c r="O128" s="45" t="n">
        <v>46322</v>
      </c>
      <c r="P128" s="46" t="s">
        <v>296</v>
      </c>
      <c r="Q128" s="37" t="n">
        <v>33</v>
      </c>
      <c r="R128" s="39"/>
      <c r="S128" s="39" t="n">
        <v>1</v>
      </c>
      <c r="T128" s="39" t="s">
        <v>297</v>
      </c>
      <c r="U128" s="58" t="n">
        <v>46322.0128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/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46323</v>
      </c>
      <c r="O129" s="45" t="n">
        <v>46323</v>
      </c>
      <c r="P129" s="46" t="s">
        <v>296</v>
      </c>
      <c r="Q129" s="37" t="n">
        <v>34</v>
      </c>
      <c r="R129" s="39"/>
      <c r="S129" s="39" t="n">
        <v>1</v>
      </c>
      <c r="T129" s="39" t="s">
        <v>297</v>
      </c>
      <c r="U129" s="58" t="n">
        <v>46323.0129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46323</v>
      </c>
      <c r="O130" s="45" t="n">
        <v>46328</v>
      </c>
      <c r="P130" s="46" t="s">
        <v>296</v>
      </c>
      <c r="Q130" s="37" t="n">
        <v>39</v>
      </c>
      <c r="R130" s="39"/>
      <c r="S130" s="39" t="n">
        <v>1</v>
      </c>
      <c r="T130" s="39" t="s">
        <v>297</v>
      </c>
      <c r="U130" s="58" t="n">
        <v>46323.013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46358</v>
      </c>
      <c r="O131" s="45" t="n">
        <v>46360</v>
      </c>
      <c r="P131" s="46" t="s">
        <v>296</v>
      </c>
      <c r="Q131" s="37" t="n">
        <v>35</v>
      </c>
      <c r="R131" s="39"/>
      <c r="S131" s="39" t="n">
        <v>1</v>
      </c>
      <c r="T131" s="39" t="s">
        <v>297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570</v>
      </c>
      <c r="D134" s="6" t="s">
        <v>571</v>
      </c>
    </row>
    <row r="135" customFormat="false" ht="15" hidden="false" customHeight="true" outlineLevel="0" collapsed="false">
      <c r="B135" s="62" t="s">
        <v>572</v>
      </c>
      <c r="D135" s="62" t="s">
        <v>573</v>
      </c>
      <c r="E135" s="62" t="s">
        <v>574</v>
      </c>
      <c r="I135" s="63" t="s">
        <v>575</v>
      </c>
      <c r="J135" s="63" t="s">
        <v>576</v>
      </c>
      <c r="K135" s="63" t="s">
        <v>577</v>
      </c>
      <c r="L135" s="63" t="s">
        <v>578</v>
      </c>
      <c r="O135" s="62" t="s">
        <v>579</v>
      </c>
      <c r="P135" s="62" t="s">
        <v>580</v>
      </c>
    </row>
    <row r="136" customFormat="false" ht="15" hidden="false" customHeight="true" outlineLevel="0" collapsed="false">
      <c r="B136" s="64" t="s">
        <v>581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582</v>
      </c>
    </row>
    <row r="137" customFormat="false" ht="15" hidden="false" customHeight="true" outlineLevel="0" collapsed="false">
      <c r="B137" s="64" t="s">
        <v>583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584</v>
      </c>
    </row>
    <row r="138" customFormat="false" ht="15" hidden="false" customHeight="true" outlineLevel="0" collapsed="false">
      <c r="B138" s="64" t="s">
        <v>585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586</v>
      </c>
    </row>
    <row r="139" customFormat="false" ht="15" hidden="false" customHeight="true" outlineLevel="0" collapsed="false">
      <c r="B139" s="64" t="s">
        <v>587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588</v>
      </c>
    </row>
    <row r="140" customFormat="false" ht="15" hidden="false" customHeight="true" outlineLevel="0" collapsed="false">
      <c r="B140" s="64" t="s">
        <v>589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590</v>
      </c>
    </row>
    <row r="141" customFormat="false" ht="15" hidden="false" customHeight="true" outlineLevel="0" collapsed="false">
      <c r="B141" s="69" t="s">
        <v>591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592</v>
      </c>
    </row>
    <row r="142" customFormat="false" ht="15" hidden="false" customHeight="true" outlineLevel="0" collapsed="false">
      <c r="B142" s="71" t="s">
        <v>593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6" t="s">
        <v>595</v>
      </c>
    </row>
    <row r="146" customFormat="false" ht="15" hidden="false" customHeight="true" outlineLevel="0" collapsed="false">
      <c r="B146" s="17" t="s">
        <v>596</v>
      </c>
      <c r="D146" s="77" t="s">
        <v>597</v>
      </c>
      <c r="E146" s="77"/>
      <c r="F146" s="77"/>
      <c r="G146" s="77"/>
      <c r="H146" s="77"/>
      <c r="I146" s="77"/>
      <c r="J146" s="77"/>
      <c r="K146" s="19" t="s">
        <v>598</v>
      </c>
    </row>
    <row r="147" customFormat="false" ht="15" hidden="false" customHeight="true" outlineLevel="0" collapsed="false">
      <c r="B147" s="78" t="s">
        <v>599</v>
      </c>
      <c r="E147" s="79" t="s">
        <v>600</v>
      </c>
      <c r="I147" s="78" t="s">
        <v>601</v>
      </c>
    </row>
    <row r="148" customFormat="false" ht="24" hidden="false" customHeight="true" outlineLevel="0" collapsed="false">
      <c r="A148" s="80" t="s">
        <v>602</v>
      </c>
      <c r="B148" s="81" t="s">
        <v>603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604</v>
      </c>
      <c r="B149" s="81" t="s">
        <v>605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606</v>
      </c>
      <c r="B150" s="81" t="s">
        <v>607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608</v>
      </c>
      <c r="B151" s="81" t="s">
        <v>609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610</v>
      </c>
      <c r="B152" s="81" t="s">
        <v>611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612</v>
      </c>
      <c r="B153" s="81" t="s">
        <v>613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646</v>
      </c>
      <c r="C8" s="95" t="s">
        <v>647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46186</v>
      </c>
      <c r="F9" s="99" t="n">
        <v>46186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649</v>
      </c>
      <c r="C10" s="95" t="s">
        <v>647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46192</v>
      </c>
      <c r="F11" s="99" t="n">
        <v>46201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650</v>
      </c>
      <c r="C12" s="95" t="s">
        <v>647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46211</v>
      </c>
      <c r="F13" s="99" t="n">
        <v>46211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651</v>
      </c>
      <c r="C14" s="95" t="s">
        <v>647</v>
      </c>
      <c r="D14" s="96" t="n">
        <v>1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0.5</v>
      </c>
      <c r="R14" s="98" t="n">
        <f aca="false">IF($E14="",0,IF(R$6+6&lt;$E14,0,IF(R$6&gt;$F14,0,$D14*(IF(R$6+6&lt;$F14,R$6+6,$F14)-IF(R$6&gt;$E14,R$6,$E14)+1)/($F14-$E14+1))))</f>
        <v>0.357142857142857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46193</v>
      </c>
      <c r="F15" s="99" t="n">
        <v>46206</v>
      </c>
      <c r="G15" s="100"/>
      <c r="H15" s="101"/>
      <c r="I15" s="101"/>
      <c r="J15" s="101"/>
      <c r="K15" s="101"/>
      <c r="L15" s="101" t="n">
        <v>0.3333</v>
      </c>
      <c r="M15" s="101" t="n">
        <v>0.3333</v>
      </c>
      <c r="N15" s="101" t="n">
        <v>0.3333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652</v>
      </c>
      <c r="C16" s="95" t="s">
        <v>647</v>
      </c>
      <c r="D16" s="96" t="n">
        <v>1</v>
      </c>
      <c r="E16" s="97" t="n">
        <v>46277</v>
      </c>
      <c r="F16" s="97" t="n">
        <v>46277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1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46280</v>
      </c>
      <c r="F17" s="99" t="n">
        <v>46280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0.0434782608695652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0.152173913043478</v>
      </c>
      <c r="AE20" s="98" t="n">
        <f aca="false">IF($E20="",0,IF(AE$6+6&lt;$E20,0,IF(AE$6&gt;$F20,0,$D20*(IF(AE$6+6&lt;$F20,AE$6+6,$F20)-IF(AE$6&gt;$E20,AE$6,$E20)+1)/($F20-$E20+1))))</f>
        <v>0.0434782608695652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46274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299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300</v>
      </c>
      <c r="B23" s="95" t="s">
        <v>656</v>
      </c>
      <c r="C23" s="95" t="s">
        <v>647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46204</v>
      </c>
      <c r="F24" s="99" t="n">
        <v>46232</v>
      </c>
      <c r="G24" s="100"/>
      <c r="H24" s="101"/>
      <c r="I24" s="101"/>
      <c r="J24" s="101"/>
      <c r="K24" s="101"/>
      <c r="L24" s="101"/>
      <c r="M24" s="101"/>
      <c r="N24" s="101" t="n">
        <v>4</v>
      </c>
      <c r="O24" s="101" t="n">
        <v>4</v>
      </c>
      <c r="P24" s="101" t="n">
        <v>4</v>
      </c>
      <c r="Q24" s="101" t="n">
        <v>4</v>
      </c>
      <c r="R24" s="101" t="n">
        <v>4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335</v>
      </c>
      <c r="B25" s="95" t="s">
        <v>657</v>
      </c>
      <c r="C25" s="95" t="s">
        <v>647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46240</v>
      </c>
      <c r="F26" s="99" t="n">
        <v>46243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359</v>
      </c>
      <c r="B27" s="95" t="s">
        <v>658</v>
      </c>
      <c r="C27" s="95" t="s">
        <v>647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46233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6.6667</v>
      </c>
      <c r="S28" s="101" t="n">
        <v>6.6667</v>
      </c>
      <c r="T28" s="101" t="n">
        <v>6.6667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383</v>
      </c>
      <c r="B29" s="95" t="s">
        <v>659</v>
      </c>
      <c r="C29" s="95" t="s">
        <v>647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46242</v>
      </c>
      <c r="F30" s="99" t="n">
        <v>46244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1.25</v>
      </c>
      <c r="T30" s="101" t="n">
        <v>1.25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395</v>
      </c>
      <c r="B31" s="95" t="s">
        <v>660</v>
      </c>
      <c r="C31" s="95" t="s">
        <v>647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46240</v>
      </c>
      <c r="F32" s="99" t="n">
        <v>46243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415</v>
      </c>
      <c r="B33" s="95" t="s">
        <v>661</v>
      </c>
      <c r="C33" s="95" t="s">
        <v>647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46241</v>
      </c>
      <c r="F34" s="99" t="n">
        <v>46244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5</v>
      </c>
      <c r="T34" s="101" t="n">
        <v>5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662</v>
      </c>
      <c r="C35" s="95" t="s">
        <v>647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46242</v>
      </c>
      <c r="F36" s="99" t="n">
        <v>46244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2.5</v>
      </c>
      <c r="T36" s="101" t="n">
        <v>2.5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663</v>
      </c>
      <c r="C37" s="95" t="s">
        <v>647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46243</v>
      </c>
      <c r="F38" s="99" t="n">
        <v>46245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664</v>
      </c>
      <c r="C39" s="95" t="s">
        <v>647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666</v>
      </c>
      <c r="C42" s="95" t="s">
        <v>647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667</v>
      </c>
      <c r="C44" s="95" t="s">
        <v>647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0.342857142857143</v>
      </c>
      <c r="Q47" s="103" t="n">
        <f aca="false">SUMIF($C$7:$C$45,"Plan",Q$7:Q$45)</f>
        <v>1.2</v>
      </c>
      <c r="R47" s="103" t="n">
        <f aca="false">SUMIF($C$7:$C$45,"Plan",R$7:R$45)</f>
        <v>0.457142857142857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21.3053830227743</v>
      </c>
      <c r="Y47" s="103" t="n">
        <f aca="false">SUMIF($C$7:$C$45,"Plan",Y$7:Y$45)</f>
        <v>0.985507246376812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0.152173913043478</v>
      </c>
      <c r="AE47" s="103" t="n">
        <f aca="false">SUMIF($C$7:$C$45,"Plan",AE$7:AE$45)</f>
        <v>0.400621118012422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0.8333</v>
      </c>
      <c r="M48" s="103" t="n">
        <f aca="false">SUMIF($C$7:$C$45,"Actual",M$7:M$45)</f>
        <v>0.8333</v>
      </c>
      <c r="N48" s="103" t="n">
        <f aca="false">SUMIF($C$7:$C$45,"Actual",N$7:N$45)</f>
        <v>4.3333</v>
      </c>
      <c r="O48" s="103" t="n">
        <f aca="false">SUMIF($C$7:$C$45,"Actual",O$7:O$45)</f>
        <v>4.5</v>
      </c>
      <c r="P48" s="103" t="n">
        <f aca="false">SUMIF($C$7:$C$45,"Actual",P$7:P$45)</f>
        <v>4</v>
      </c>
      <c r="Q48" s="103" t="n">
        <f aca="false">SUMIF($C$7:$C$45,"Actual",Q$7:Q$45)</f>
        <v>4</v>
      </c>
      <c r="R48" s="103" t="n">
        <f aca="false">SUMIF($C$7:$C$45,"Actual",R$7:R$45)</f>
        <v>10.6667</v>
      </c>
      <c r="S48" s="103" t="n">
        <f aca="false">SUMIF($C$7:$C$45,"Actual",S$7:S$45)</f>
        <v>42.9167</v>
      </c>
      <c r="T48" s="103" t="n">
        <f aca="false">SUMIF($C$7:$C$45,"Actual",T$7:T$45)</f>
        <v>20.4167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0.842857142857143</v>
      </c>
      <c r="Q49" s="105" t="n">
        <f aca="false">P49+Q47</f>
        <v>2.04285714285714</v>
      </c>
      <c r="R49" s="105" t="n">
        <f aca="false">Q49+R47</f>
        <v>2.5</v>
      </c>
      <c r="S49" s="105" t="n">
        <f aca="false">R49+S47</f>
        <v>2.5</v>
      </c>
      <c r="T49" s="105" t="n">
        <f aca="false">S49+T47</f>
        <v>7.44444444444445</v>
      </c>
      <c r="U49" s="105" t="n">
        <f aca="false">T49+U47</f>
        <v>15.2222222222222</v>
      </c>
      <c r="V49" s="105" t="n">
        <f aca="false">U49+V47</f>
        <v>25.6666666666667</v>
      </c>
      <c r="W49" s="105" t="n">
        <f aca="false">V49+W47</f>
        <v>74.4047619047619</v>
      </c>
      <c r="X49" s="105" t="n">
        <f aca="false">W49+X47</f>
        <v>95.7101449275362</v>
      </c>
      <c r="Y49" s="105" t="n">
        <f aca="false">X49+Y47</f>
        <v>96.695652173913</v>
      </c>
      <c r="Z49" s="105" t="n">
        <f aca="false">Y49+Z47</f>
        <v>96.8478260869565</v>
      </c>
      <c r="AA49" s="105" t="n">
        <f aca="false">Z49+AA47</f>
        <v>97</v>
      </c>
      <c r="AB49" s="105" t="n">
        <f aca="false">AA49+AB47</f>
        <v>97.1521739130435</v>
      </c>
      <c r="AC49" s="105" t="n">
        <f aca="false">AB49+AC47</f>
        <v>97.304347826087</v>
      </c>
      <c r="AD49" s="105" t="n">
        <f aca="false">AC49+AD47</f>
        <v>97.4565217391305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1.3333</v>
      </c>
      <c r="M50" s="105" t="n">
        <f aca="false">IF(M$6&gt;46314,"",L50+M48)</f>
        <v>2.1666</v>
      </c>
      <c r="N50" s="105" t="n">
        <f aca="false">IF(N$6&gt;46314,"",M50+N48)</f>
        <v>6.4999</v>
      </c>
      <c r="O50" s="105" t="n">
        <f aca="false">IF(O$6&gt;46314,"",N50+O48)</f>
        <v>10.9999</v>
      </c>
      <c r="P50" s="105" t="n">
        <f aca="false">IF(P$6&gt;46314,"",O50+P48)</f>
        <v>14.9999</v>
      </c>
      <c r="Q50" s="105" t="n">
        <f aca="false">IF(Q$6&gt;46314,"",P50+Q48)</f>
        <v>18.9999</v>
      </c>
      <c r="R50" s="105" t="n">
        <f aca="false">IF(R$6&gt;46314,"",Q50+R48)</f>
        <v>29.6666</v>
      </c>
      <c r="S50" s="105" t="n">
        <f aca="false">IF(S$6&gt;46314,"",R50+S48)</f>
        <v>72.5833</v>
      </c>
      <c r="T50" s="105" t="n">
        <f aca="false">IF(T$6&gt;46314,"",S50+T48)</f>
        <v>93</v>
      </c>
      <c r="U50" s="105" t="n">
        <f aca="false">IF(U$6&gt;46314,"",T50+U48)</f>
        <v>93</v>
      </c>
      <c r="V50" s="105" t="n">
        <f aca="false">IF(V$6&gt;46314,"",U50+V48)</f>
        <v>93</v>
      </c>
      <c r="W50" s="105" t="n">
        <f aca="false">IF(W$6&gt;46314,"",V50+W48)</f>
        <v>93</v>
      </c>
      <c r="X50" s="105" t="n">
        <f aca="false">IF(X$6&gt;46314,"",W50+X48)</f>
        <v>93.1429</v>
      </c>
      <c r="Y50" s="105" t="n">
        <f aca="false">IF(Y$6&gt;46314,"",X50+Y48)</f>
        <v>94.2858</v>
      </c>
      <c r="Z50" s="105" t="n">
        <f aca="false">IF(Z$6&gt;46314,"",Y50+Z48)</f>
        <v>94.4287</v>
      </c>
      <c r="AA50" s="105" t="n">
        <f aca="false">IF(AA$6&gt;46314,"",Z50+AA48)</f>
        <v>94.5716</v>
      </c>
      <c r="AB50" s="105" t="n">
        <f aca="false">IF(AB$6&gt;46314,"",AA50+AB48)</f>
        <v>94.7145</v>
      </c>
      <c r="AC50" s="105" t="n">
        <f aca="false">IF(AC$6&gt;46314,"",AB50+AC48)</f>
        <v>94.8574</v>
      </c>
      <c r="AD50" s="105" t="n">
        <f aca="false">IF(AD$6&gt;46314,"",AC50+AD48)</f>
        <v>95.0003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2026-10-26T04:44:26Z</dcterms:created>
  <dc:creator>openpyxl</dc:creator>
  <dc:description/>
  <dc:language>en-US</dc:language>
  <cp:lastModifiedBy/>
  <dcterms:modified xsi:type="dcterms:W3CDTF">2026-10-26T11:47:32Z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