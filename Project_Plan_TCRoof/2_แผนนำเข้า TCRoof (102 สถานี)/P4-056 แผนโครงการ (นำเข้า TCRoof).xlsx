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<sst xmlns="http://schemas.openxmlformats.org/spreadsheetml/2006/main" count="1304" uniqueCount="667">
  <si>
    <t xml:space="preserve">แผนโครงการ P4-056 – สถานีจ่ายน้ำบ้านท่านางหอม 151.62 kWp</t>
  </si>
  <si>
    <t xml:space="preserve">กปภ.สาขาสงขลา, ภาคใต้, กฟภ. เขต ต.3, Inverter 140 kW (ไม่ต้อง พค.2), Zero export LV, คำขอ PPIM1A506A0B, วิศวกร โดม, Admin ลูกแก้ว, ผรม. S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</si>
  <si>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</si>
  <si>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</si>
  <si>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</si>
  <si>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</si>
  <si>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</si>
  <si>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</si>
  <si>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</si>
  <si>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</si>
  <si>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</si>
  <si>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</si>
  <si>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</si>
  <si>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</si>
  <si>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</si>
  <si>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</si>
  <si>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</si>
  <si>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</si>
  <si>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</si>
  <si>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</si>
  <si>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</si>
  <si>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</si>
  <si>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</si>
  <si>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(1)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</si>
  <si>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</si>
  <si>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</si>
  <si>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</si>
  <si>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</si>
  <si>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แบบ As-built + รายการคำนวณ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</si>
  <si>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P4-056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</si>
  <si>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</si>
  <si>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</si>
  <si>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</si>
  <si>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</si>
  <si>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</si>
  <si>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</si>
  <si>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</si>
  <si>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</si>
  <si>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</si>
  <si>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</si>
  <si>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</si>
  <si>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</si>
  <si>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</si>
  <si>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</si>
  <si>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</si>
  <si>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</si>
  <si>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</si>
  <si>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</si>
  <si>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</si>
  <si>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</si>
  <si>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</si>
  <si>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</si>
  <si>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</si>
  <si>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</si>
  <si>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</si>
  <si>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</si>
  <si>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</si>
  <si>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</si>
  <si>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</si>
  <si>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</si>
  <si>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</si>
  <si>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</si>
  <si>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</si>
  <si>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</si>
  <si>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</si>
  <si>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</si>
  <si>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</si>
  <si>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</si>
  <si>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</si>
  <si>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</si>
  <si>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</si>
  <si>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</si>
  <si>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</si>
  <si>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</si>
  <si>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</si>
  <si>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</si>
  <si>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</si>
  <si>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</si>
  <si>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</si>
  <si>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</si>
  <si>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</si>
  <si>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</si>
  <si>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</si>
  <si>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</si>
  <si>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</si>
  <si>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</si>
  <si>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</si>
  <si>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</si>
  <si>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</si>
  <si>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</si>
  <si>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</si>
  <si>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</si>
  <si>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</si>
  <si>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</si>
  <si>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</si>
  <si>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</si>
  <si>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</si>
  <si>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</si>
  <si>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</si>
  <si>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</si>
  <si>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</si>
  <si>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</si>
  <si>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</si>
  <si>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</si>
  <si>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WBS'!L2452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</si>
  <si>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</si>
  <si>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</si>
  <si>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</si>
  <si>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WBS'!L2453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</si>
  <si>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</si>
  <si>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</si>
  <si>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</si>
  <si>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</si>
  <si>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</si>
  <si>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</si>
  <si>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</si>
  <si>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</si>
  <si>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</si>
  <si>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</si>
  <si>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</si>
  <si>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</si>
  <si>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</si>
  <si>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</si>
  <si>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WBS'!L2454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</si>
  <si>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</si>
  <si>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</si>
  <si>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</si>
  <si>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</si>
  <si>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</si>
  <si>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</si>
  <si>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</si>
  <si>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</si>
  <si>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</si>
  <si>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</si>
  <si>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</si>
  <si>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</si>
  <si>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</si>
  <si>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</si>
  <si>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</si>
  <si>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</si>
  <si>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</si>
  <si>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</si>
  <si>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</si>
  <si>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</si>
  <si>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WBS'!L2459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</si>
  <si>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</si>
  <si>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</si>
  <si>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</si>
  <si>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</si>
  <si>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</si>
  <si>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</si>
  <si>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</si>
  <si>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</si>
  <si>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WBS'!L2460</t>
    </r>
  </si>
  <si>
    <t xml:space="preserve">0.3</t>
  </si>
  <si>
    <t xml:space="preserve">หนังสือแจ้งขอดับไฟ</t>
  </si>
  <si>
    <t xml:space="preserve">TC-PML-2026-485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</si>
  <si>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</si>
  <si>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</si>
  <si>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</si>
  <si>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</si>
  <si>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</si>
  <si>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</si>
  <si>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</si>
  <si>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</si>
  <si>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</si>
  <si>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</si>
  <si>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</si>
  <si>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</si>
  <si>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</si>
  <si>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</si>
  <si>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</si>
  <si>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</si>
  <si>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</si>
  <si>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</si>
  <si>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</si>
  <si>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</si>
  <si>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</si>
  <si>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</si>
  <si>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</si>
  <si>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</si>
  <si>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</si>
  <si>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</si>
  <si>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</si>
  <si>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</si>
  <si>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</si>
  <si>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</si>
  <si>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</si>
  <si>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</si>
  <si>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</si>
  <si>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</si>
  <si>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</si>
  <si>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</si>
  <si>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</si>
  <si>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</si>
  <si>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</si>
  <si>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</si>
  <si>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</si>
  <si>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</si>
  <si>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</si>
  <si>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</si>
  <si>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</si>
  <si>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</si>
  <si>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</si>
  <si>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</si>
  <si>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</si>
  <si>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</si>
  <si>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</si>
  <si>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</si>
  <si>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</si>
  <si>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</si>
  <si>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</si>
  <si>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</si>
  <si>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</si>
  <si>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</si>
  <si>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</si>
  <si>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</si>
  <si>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</si>
  <si>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</si>
  <si>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</si>
  <si>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</si>
  <si>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</si>
  <si>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</si>
  <si>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</si>
  <si>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</si>
  <si>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</si>
  <si>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</si>
  <si>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</si>
  <si>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</si>
  <si>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</si>
  <si>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</si>
  <si>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</si>
  <si>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</si>
  <si>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</si>
  <si>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</si>
  <si>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</si>
  <si>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</si>
  <si>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</si>
  <si>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</si>
  <si>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</si>
  <si>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</si>
  <si>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</si>
  <si>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</si>
  <si>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WBS'!L2476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</si>
  <si>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</si>
  <si>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</si>
  <si>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</si>
  <si>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</si>
  <si>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</si>
  <si>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</si>
  <si>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</si>
  <si>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</si>
  <si>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</si>
  <si>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</si>
  <si>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</si>
  <si>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</si>
  <si>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</si>
  <si>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</si>
  <si>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</si>
  <si>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</si>
  <si>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</si>
  <si>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</si>
  <si>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</si>
  <si>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</si>
  <si>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</si>
  <si>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</si>
  <si>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</si>
  <si>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</si>
  <si>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</si>
  <si>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</si>
  <si>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</si>
  <si>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</si>
  <si>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WBS'!L2478</t>
    </r>
  </si>
  <si>
    <t xml:space="preserve">1.7.1</t>
  </si>
  <si>
    <t xml:space="preserve">คำขอขนานไฟ PPIM (ชุด 11 ไฟล์)</t>
  </si>
  <si>
    <t xml:space="preserve">PPIM1A506A0B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</si>
  <si>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</si>
  <si>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</si>
  <si>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</si>
  <si>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</si>
  <si>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</si>
  <si>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รอผู้ยื่นคำขอแก้ไขข้อมูล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</si>
  <si>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</si>
  <si>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</si>
  <si>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</si>
  <si>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</si>
  <si>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</si>
  <si>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</si>
  <si>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</si>
  <si>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</si>
  <si>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</si>
  <si>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</si>
  <si>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</si>
  <si>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</si>
  <si>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</si>
  <si>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</si>
  <si>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</si>
  <si>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</si>
  <si>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</si>
  <si>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</si>
  <si>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</si>
  <si>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</si>
  <si>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</si>
  <si>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</si>
  <si>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</si>
  <si>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</si>
  <si>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</si>
  <si>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</si>
  <si>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</si>
  <si>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</si>
  <si>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</si>
  <si>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</si>
  <si>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</si>
  <si>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</si>
  <si>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</si>
  <si>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</si>
  <si>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</si>
  <si>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</si>
  <si>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</si>
  <si>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</si>
  <si>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</si>
  <si>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</si>
  <si>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</si>
  <si>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</si>
  <si>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</si>
  <si>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</si>
  <si>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</si>
  <si>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</si>
  <si>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</si>
  <si>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</si>
  <si>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</si>
  <si>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</si>
  <si>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</si>
  <si>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</si>
  <si>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</si>
  <si>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</si>
  <si>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</si>
  <si>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</si>
  <si>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</si>
  <si>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</si>
  <si>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</si>
  <si>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</si>
  <si>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</si>
  <si>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</si>
  <si>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</si>
  <si>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</si>
  <si>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</si>
  <si>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</si>
  <si>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</si>
  <si>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</si>
  <si>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</si>
  <si>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</si>
  <si>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</si>
  <si>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</si>
  <si>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</si>
  <si>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</si>
  <si>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</si>
  <si>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</si>
  <si>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</si>
  <si>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</si>
  <si>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</si>
  <si>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</si>
  <si>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</si>
  <si>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</si>
  <si>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</si>
  <si>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</si>
  <si>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</si>
  <si>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</si>
  <si>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</si>
  <si>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</si>
  <si>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</si>
  <si>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</si>
  <si>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</si>
  <si>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</si>
  <si>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</si>
  <si>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</si>
  <si>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</si>
  <si>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</si>
  <si>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</si>
  <si>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</si>
  <si>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</si>
  <si>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</si>
  <si>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</si>
  <si>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</si>
  <si>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</si>
  <si>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</si>
  <si>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</si>
  <si>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</si>
  <si>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</si>
  <si>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WBS'!L2497</t>
    </r>
  </si>
  <si>
    <t xml:space="preserve">2.5</t>
  </si>
  <si>
    <t xml:space="preserve">ติดตั้ง Inverter</t>
  </si>
  <si>
    <t xml:space="preserve">Inverter 140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</si>
  <si>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</si>
  <si>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</si>
  <si>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</si>
  <si>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</si>
  <si>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</si>
  <si>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</si>
  <si>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</si>
  <si>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</si>
  <si>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</si>
  <si>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</si>
  <si>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</si>
  <si>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</si>
  <si>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</si>
  <si>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</si>
  <si>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</si>
  <si>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</si>
  <si>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WBS'!L2501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</si>
  <si>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</si>
  <si>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</si>
  <si>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</si>
  <si>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</si>
  <si>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</si>
  <si>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</si>
  <si>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</si>
  <si>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</si>
  <si>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</si>
  <si>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</si>
  <si>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</si>
  <si>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</si>
  <si>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</si>
  <si>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</si>
  <si>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</si>
  <si>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</si>
  <si>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</si>
  <si>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</si>
  <si>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</si>
  <si>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</si>
  <si>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</si>
  <si>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</si>
  <si>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</si>
  <si>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</si>
  <si>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</si>
  <si>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</si>
  <si>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</si>
  <si>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</si>
  <si>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</si>
  <si>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</si>
  <si>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</si>
  <si>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</si>
  <si>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</si>
  <si>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</si>
  <si>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</si>
  <si>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</si>
  <si>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</si>
  <si>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</si>
  <si>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</si>
  <si>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WBS'!L2509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</si>
  <si>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</si>
  <si>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</si>
  <si>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</si>
  <si>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</si>
  <si>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</si>
  <si>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</si>
  <si>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</si>
  <si>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</si>
  <si>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</si>
  <si>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</si>
  <si>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</si>
  <si>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</si>
  <si>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</si>
  <si>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WBS'!L2510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</si>
  <si>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</si>
  <si>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</si>
  <si>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</si>
  <si>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</si>
  <si>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</si>
  <si>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</si>
  <si>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</si>
  <si>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</si>
  <si>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</si>
  <si>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</si>
  <si>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</si>
  <si>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</si>
  <si>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</si>
  <si>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</si>
  <si>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</si>
  <si>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</si>
  <si>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</si>
  <si>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</si>
  <si>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</si>
  <si>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</si>
  <si>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</si>
  <si>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</si>
  <si>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</si>
  <si>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</si>
  <si>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</si>
  <si>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</si>
  <si>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WBS'!L2516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</si>
  <si>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</si>
  <si>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</si>
  <si>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18/8/69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</si>
  <si>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</si>
  <si>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</si>
  <si>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</si>
  <si>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</si>
  <si>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</si>
  <si>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</si>
  <si>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</si>
  <si>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</si>
  <si>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</si>
  <si>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</si>
  <si>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</si>
  <si>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</si>
  <si>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</si>
  <si>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</si>
  <si>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</si>
  <si>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</si>
  <si>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</si>
  <si>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</si>
  <si>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</si>
  <si>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</si>
  <si>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</si>
  <si>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</si>
  <si>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</si>
  <si>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</si>
  <si>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</si>
  <si>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</si>
  <si>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</si>
  <si>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</si>
  <si>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</si>
  <si>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</si>
  <si>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</si>
  <si>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</si>
  <si>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</si>
  <si>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</si>
  <si>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</si>
  <si>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</si>
  <si>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</si>
  <si>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</si>
  <si>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</si>
  <si>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</si>
  <si>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</si>
  <si>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</si>
  <si>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</si>
  <si>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</si>
  <si>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</si>
  <si>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</si>
  <si>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</si>
  <si>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</si>
  <si>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</si>
  <si>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</si>
  <si>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</si>
  <si>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</si>
  <si>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</si>
  <si>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</si>
  <si>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</si>
  <si>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</si>
  <si>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</si>
  <si>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</si>
  <si>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</si>
  <si>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</si>
  <si>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</si>
  <si>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</si>
  <si>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</si>
  <si>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</si>
  <si>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</si>
  <si>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</si>
  <si>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</si>
  <si>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</si>
  <si>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</si>
  <si>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</si>
  <si>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</si>
  <si>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</si>
  <si>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</si>
  <si>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</si>
  <si>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</si>
  <si>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</si>
  <si>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</si>
  <si>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</si>
  <si>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</si>
  <si>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</si>
  <si>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</si>
  <si>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</si>
  <si>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</si>
  <si>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</si>
  <si>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</si>
  <si>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</si>
  <si>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</si>
  <si>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</si>
  <si>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</si>
  <si>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</si>
  <si>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</si>
  <si>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</si>
  <si>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</si>
  <si>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</si>
  <si>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</si>
  <si>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</si>
  <si>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</si>
  <si>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</si>
  <si>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</si>
  <si>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</si>
  <si>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</si>
  <si>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</si>
  <si>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</si>
  <si>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</si>
  <si>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</si>
  <si>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</si>
  <si>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</si>
  <si>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</si>
  <si>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</si>
  <si>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</si>
  <si>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</si>
  <si>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</si>
  <si>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</si>
  <si>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</si>
  <si>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</si>
  <si>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</si>
  <si>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</si>
  <si>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</si>
  <si>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สถานีจ่ายน้ำบ้านท่านางหอม การประปาส่วนภูมิภาคสาขาสงขลา ขนาดกำลังผลิต </t>
    </r>
    <r>
      <rPr>
        <sz val="10"/>
        <rFont val="Tahoma"/>
        <family val="0"/>
        <charset val="1"/>
      </rPr>
      <t xml:space="preserve">151.62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</si>
  <si>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</si>
  <si>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</si>
  <si>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</si>
  <si>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P4-056,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</si>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</sst>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10.1667</c:v>
                </c:pt>
                <c:pt idx="9">
                  <c:v>16.8334</c:v>
                </c:pt>
                <c:pt idx="10">
                  <c:v>23.5001</c:v>
                </c:pt>
                <c:pt idx="11">
                  <c:v>73.5001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93.5001</c:v>
                </c:pt>
                <c:pt idx="15">
                  <c:v>93.6876</c:v>
                </c:pt>
                <c:pt idx="16">
                  <c:v>93.8751</c:v>
                </c:pt>
                <c:pt idx="17">
                  <c:v>94.0626</c:v>
                </c:pt>
                <c:pt idx="18">
                  <c:v>94.2501</c:v>
                </c:pt>
                <c:pt idx="19">
                  <c:v>94.4376</c:v>
                </c:pt>
                <c:pt idx="20">
                  <c:v>94.6251</c:v>
                </c:pt>
                <c:pt idx="21">
                  <c:v>94.8126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932368"/>
        <c:axId val="69810025"/>
      </c:lineChart>
      <c:catAx>
        <c:axId val="1393236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10025"/>
        <c:crosses val="autoZero"/>
        <c:auto val="1"/>
        <c:lblAlgn val="ctr"/>
        <c:lblOffset val="100"/>
        <c:noMultiLvlLbl val="0"/>
      </c:catAx>
      <c:valAx>
        <c:axId val="69810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323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46409</v>
      </c>
      <c r="G4" s="10"/>
      <c r="H4" s="10"/>
      <c r="J4" s="11" t="n">
        <v>0.95</v>
      </c>
      <c r="K4" s="11"/>
      <c r="L4" s="12" t="n">
        <v>111</v>
      </c>
      <c r="M4" s="12"/>
      <c r="N4" s="12" t="n">
        <v>117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46426</v>
      </c>
      <c r="P8" s="34" t="s">
        <v>75</v>
      </c>
      <c r="Q8" s="31" t="n">
        <v>117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46426</v>
      </c>
      <c r="P9" s="46" t="s">
        <v>75</v>
      </c>
      <c r="Q9" s="37" t="n">
        <v>117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46208</v>
      </c>
      <c r="P10" s="50" t="s">
        <v>75</v>
      </c>
      <c r="Q10" s="52" t="n">
        <v>12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46208</v>
      </c>
      <c r="P11" s="50" t="s">
        <v>75</v>
      </c>
      <c r="Q11" s="52" t="n">
        <v>12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46208</v>
      </c>
      <c r="P12" s="50" t="s">
        <v>75</v>
      </c>
      <c r="Q12" s="52" t="n">
        <v>12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46220</v>
      </c>
      <c r="P13" s="50" t="s">
        <v>75</v>
      </c>
      <c r="Q13" s="52" t="n">
        <v>17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46208</v>
      </c>
      <c r="O14" s="55" t="n">
        <v>46426</v>
      </c>
      <c r="P14" s="50" t="s">
        <v>75</v>
      </c>
      <c r="Q14" s="52" t="n">
        <v>117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46208</v>
      </c>
      <c r="O15" s="55" t="n">
        <v>46426</v>
      </c>
      <c r="P15" s="50" t="s">
        <v>75</v>
      </c>
      <c r="Q15" s="52" t="n">
        <v>117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153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46239</v>
      </c>
      <c r="M25" s="43"/>
      <c r="N25" s="44" t="n">
        <v>46239</v>
      </c>
      <c r="O25" s="45" t="n">
        <v>46239</v>
      </c>
      <c r="P25" s="46" t="s">
        <v>60</v>
      </c>
      <c r="Q25" s="37" t="n">
        <v>31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164</v>
      </c>
      <c r="N26" s="55" t="n">
        <v>46239</v>
      </c>
      <c r="O26" s="55" t="n">
        <v>46239</v>
      </c>
      <c r="P26" s="50" t="s">
        <v>124</v>
      </c>
      <c r="Q26" s="52" t="n">
        <v>31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168</v>
      </c>
      <c r="N27" s="55" t="n">
        <v>46239</v>
      </c>
      <c r="O27" s="55" t="n">
        <v>46239</v>
      </c>
      <c r="P27" s="50" t="s">
        <v>124</v>
      </c>
      <c r="Q27" s="52" t="n">
        <v>31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172</v>
      </c>
      <c r="N28" s="55" t="n">
        <v>46239</v>
      </c>
      <c r="O28" s="55" t="n">
        <v>46239</v>
      </c>
      <c r="P28" s="50" t="s">
        <v>124</v>
      </c>
      <c r="Q28" s="52" t="n">
        <v>31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46409</v>
      </c>
      <c r="P29" s="34" t="s">
        <v>75</v>
      </c>
      <c r="Q29" s="31" t="n">
        <v>117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182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186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190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46191</v>
      </c>
      <c r="O34" s="45" t="n">
        <v>46200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198</v>
      </c>
      <c r="N35" s="55" t="n">
        <v>46191</v>
      </c>
      <c r="O35" s="55" t="n">
        <v>46196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202</v>
      </c>
      <c r="N36" s="55" t="n">
        <v>46191</v>
      </c>
      <c r="O36" s="55" t="n">
        <v>46196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206</v>
      </c>
      <c r="N37" s="55" t="n">
        <v>46194</v>
      </c>
      <c r="O37" s="55" t="n">
        <v>46197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210</v>
      </c>
      <c r="N38" s="55" t="n">
        <v>46196</v>
      </c>
      <c r="O38" s="55" t="n">
        <v>46200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46214</v>
      </c>
      <c r="O39" s="45" t="n">
        <v>46214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218</v>
      </c>
      <c r="N40" s="55" t="n">
        <v>46214</v>
      </c>
      <c r="O40" s="55" t="n">
        <v>46214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222</v>
      </c>
      <c r="N41" s="55" t="n">
        <v>46214</v>
      </c>
      <c r="O41" s="55" t="n">
        <v>46214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226</v>
      </c>
      <c r="N42" s="55" t="n">
        <v>46214</v>
      </c>
      <c r="O42" s="55" t="n">
        <v>46214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235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239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243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46266</v>
      </c>
      <c r="M55" s="43"/>
      <c r="N55" s="44" t="n">
        <v>46266</v>
      </c>
      <c r="O55" s="45" t="n">
        <v>46266</v>
      </c>
      <c r="P55" s="46" t="s">
        <v>60</v>
      </c>
      <c r="Q55" s="37" t="n">
        <v>19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46248</v>
      </c>
      <c r="J57" s="41" t="n">
        <v>46268</v>
      </c>
      <c r="K57" s="42" t="n">
        <v>46266</v>
      </c>
      <c r="L57" s="42"/>
      <c r="M57" s="43"/>
      <c r="N57" s="44" t="n">
        <v>46266</v>
      </c>
      <c r="O57" s="45" t="n">
        <v>46315</v>
      </c>
      <c r="P57" s="46" t="s">
        <v>75</v>
      </c>
      <c r="Q57" s="37" t="n">
        <v>47</v>
      </c>
      <c r="R57" s="39"/>
      <c r="S57" s="39" t="n">
        <v>1</v>
      </c>
      <c r="T57" s="39" t="s">
        <v>76</v>
      </c>
      <c r="U57" s="58" t="n">
        <v>46266.0057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46316</v>
      </c>
      <c r="O58" s="45" t="n">
        <v>46322</v>
      </c>
      <c r="P58" s="46" t="s">
        <v>285</v>
      </c>
      <c r="Q58" s="37" t="n">
        <v>47</v>
      </c>
      <c r="R58" s="39"/>
      <c r="S58" s="39" t="n">
        <v>1</v>
      </c>
      <c r="T58" s="39" t="s">
        <v>286</v>
      </c>
      <c r="U58" s="58" t="n">
        <v>46316.0058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46364</v>
      </c>
      <c r="O59" s="45" t="n">
        <v>46364</v>
      </c>
      <c r="P59" s="46" t="s">
        <v>285</v>
      </c>
      <c r="Q59" s="37" t="n">
        <v>88</v>
      </c>
      <c r="R59" s="39"/>
      <c r="S59" s="39" t="n">
        <v>1</v>
      </c>
      <c r="T59" s="39" t="s">
        <v>286</v>
      </c>
      <c r="U59" s="58" t="n">
        <v>46364.0059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46368</v>
      </c>
      <c r="O60" s="60" t="n">
        <v>46409</v>
      </c>
      <c r="P60" s="46" t="s">
        <v>285</v>
      </c>
      <c r="Q60" s="37" t="n">
        <v>117</v>
      </c>
      <c r="R60" s="39"/>
      <c r="S60" s="39" t="n">
        <v>1</v>
      </c>
      <c r="T60" s="39" t="s">
        <v>286</v>
      </c>
      <c r="U60" s="58" t="n">
        <v>46368.006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46220</v>
      </c>
      <c r="O61" s="33" t="n">
        <v>46252</v>
      </c>
      <c r="P61" s="34" t="s">
        <v>60</v>
      </c>
      <c r="Q61" s="31" t="n">
        <v>6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15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46220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305</v>
      </c>
      <c r="N63" s="55" t="n">
        <v>46220</v>
      </c>
      <c r="O63" s="55" t="n">
        <v>46221</v>
      </c>
      <c r="P63" s="50" t="s">
        <v>124</v>
      </c>
      <c r="Q63" s="52" t="n">
        <v>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309</v>
      </c>
      <c r="N64" s="55" t="n">
        <v>46220</v>
      </c>
      <c r="O64" s="55" t="n">
        <v>46223</v>
      </c>
      <c r="P64" s="50" t="s">
        <v>124</v>
      </c>
      <c r="Q64" s="52" t="n">
        <v>3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313</v>
      </c>
      <c r="N65" s="55" t="n">
        <v>46221</v>
      </c>
      <c r="O65" s="55" t="n">
        <v>46227</v>
      </c>
      <c r="P65" s="50" t="s">
        <v>124</v>
      </c>
      <c r="Q65" s="52" t="n">
        <v>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317</v>
      </c>
      <c r="N66" s="55" t="n">
        <v>46226</v>
      </c>
      <c r="O66" s="55" t="n">
        <v>46232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321</v>
      </c>
      <c r="N67" s="55" t="n">
        <v>46228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325</v>
      </c>
      <c r="N68" s="55" t="n">
        <v>46231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329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46241</v>
      </c>
      <c r="O70" s="45" t="n">
        <v>46244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337</v>
      </c>
      <c r="N71" s="55" t="n">
        <v>46241</v>
      </c>
      <c r="O71" s="55" t="n">
        <v>46242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341</v>
      </c>
      <c r="N72" s="55" t="n">
        <v>46242</v>
      </c>
      <c r="O72" s="55" t="n">
        <v>46243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345</v>
      </c>
      <c r="N73" s="55" t="n">
        <v>46242</v>
      </c>
      <c r="O73" s="55" t="n">
        <v>46243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349</v>
      </c>
      <c r="N74" s="55" t="n">
        <v>46243</v>
      </c>
      <c r="O74" s="55" t="n">
        <v>46244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353</v>
      </c>
      <c r="N75" s="55" t="n">
        <v>46243</v>
      </c>
      <c r="O75" s="55" t="n">
        <v>46244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6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46239</v>
      </c>
      <c r="O76" s="45" t="n">
        <v>46244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361</v>
      </c>
      <c r="N77" s="55" t="n">
        <v>46239</v>
      </c>
      <c r="O77" s="55" t="n">
        <v>46241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365</v>
      </c>
      <c r="N78" s="55" t="n">
        <v>46240</v>
      </c>
      <c r="O78" s="55" t="n">
        <v>46243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369</v>
      </c>
      <c r="N79" s="55" t="n">
        <v>46241</v>
      </c>
      <c r="O79" s="55" t="n">
        <v>46244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373</v>
      </c>
      <c r="N80" s="55" t="n">
        <v>46243</v>
      </c>
      <c r="O80" s="55" t="n">
        <v>46244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377</v>
      </c>
      <c r="N81" s="55" t="n">
        <v>46244</v>
      </c>
      <c r="O81" s="55" t="n">
        <v>46244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385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389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46239</v>
      </c>
      <c r="O85" s="45" t="n">
        <v>46242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397</v>
      </c>
      <c r="N86" s="55" t="n">
        <v>46239</v>
      </c>
      <c r="O86" s="55" t="n">
        <v>46241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401</v>
      </c>
      <c r="N87" s="55" t="n">
        <v>46240</v>
      </c>
      <c r="O87" s="55" t="n">
        <v>46242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405</v>
      </c>
      <c r="N88" s="55" t="n">
        <v>46241</v>
      </c>
      <c r="O88" s="55" t="n">
        <v>46242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409</v>
      </c>
      <c r="N89" s="55" t="n">
        <v>46242</v>
      </c>
      <c r="O89" s="55" t="n">
        <v>46242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46240</v>
      </c>
      <c r="O90" s="45" t="n">
        <v>46243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418</v>
      </c>
      <c r="N91" s="55" t="n">
        <v>46240</v>
      </c>
      <c r="O91" s="55" t="n">
        <v>46242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422</v>
      </c>
      <c r="N92" s="55" t="n">
        <v>46242</v>
      </c>
      <c r="O92" s="55" t="n">
        <v>46243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426</v>
      </c>
      <c r="N93" s="55" t="n">
        <v>46240</v>
      </c>
      <c r="O93" s="55" t="n">
        <v>46242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430</v>
      </c>
      <c r="N94" s="55" t="n">
        <v>46242</v>
      </c>
      <c r="O94" s="55" t="n">
        <v>46243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434</v>
      </c>
      <c r="N95" s="55" t="n">
        <v>46243</v>
      </c>
      <c r="O95" s="55" t="n">
        <v>46243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46241</v>
      </c>
      <c r="O96" s="45" t="n">
        <v>46243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441</v>
      </c>
      <c r="N97" s="55" t="n">
        <v>46241</v>
      </c>
      <c r="O97" s="55" t="n">
        <v>46243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445</v>
      </c>
      <c r="N98" s="55" t="n">
        <v>46242</v>
      </c>
      <c r="O98" s="55" t="n">
        <v>46243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449</v>
      </c>
      <c r="N99" s="55" t="n">
        <v>46243</v>
      </c>
      <c r="O99" s="55" t="n">
        <v>46243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46242</v>
      </c>
      <c r="O100" s="45" t="n">
        <v>46244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46240</v>
      </c>
      <c r="J103" s="53" t="n">
        <v>46243</v>
      </c>
      <c r="K103" s="52"/>
      <c r="L103" s="52"/>
      <c r="M103" s="54" t="s">
        <v>463</v>
      </c>
      <c r="N103" s="55" t="n">
        <v>46242</v>
      </c>
      <c r="O103" s="55" t="n">
        <v>46243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414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467</v>
      </c>
      <c r="N104" s="55" t="n">
        <v>46243</v>
      </c>
      <c r="O104" s="55" t="n">
        <v>46244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471</v>
      </c>
      <c r="N105" s="55" t="n">
        <v>46243</v>
      </c>
      <c r="O105" s="55" t="n">
        <v>46244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475</v>
      </c>
      <c r="N106" s="55" t="n">
        <v>46244</v>
      </c>
      <c r="O106" s="55" t="n">
        <v>46244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46244</v>
      </c>
      <c r="O107" s="45" t="n">
        <v>46245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482</v>
      </c>
      <c r="N108" s="55" t="n">
        <v>46244</v>
      </c>
      <c r="O108" s="55" t="n">
        <v>46245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486</v>
      </c>
      <c r="N109" s="55" t="n">
        <v>46245</v>
      </c>
      <c r="O109" s="55" t="n">
        <v>46245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490</v>
      </c>
      <c r="N110" s="55" t="n">
        <v>46244</v>
      </c>
      <c r="O110" s="55" t="n">
        <v>46245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46252</v>
      </c>
      <c r="M111" s="43"/>
      <c r="N111" s="44" t="n">
        <v>46252</v>
      </c>
      <c r="O111" s="45" t="n">
        <v>46252</v>
      </c>
      <c r="P111" s="46" t="s">
        <v>60</v>
      </c>
      <c r="Q111" s="37" t="n">
        <v>6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499</v>
      </c>
      <c r="N112" s="55" t="n">
        <v>46252</v>
      </c>
      <c r="O112" s="55" t="n">
        <v>46252</v>
      </c>
      <c r="P112" s="50" t="s">
        <v>124</v>
      </c>
      <c r="Q112" s="52" t="n">
        <v>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503</v>
      </c>
      <c r="N113" s="55" t="n">
        <v>46252</v>
      </c>
      <c r="O113" s="55" t="n">
        <v>46252</v>
      </c>
      <c r="P113" s="50" t="s">
        <v>124</v>
      </c>
      <c r="Q113" s="52" t="n">
        <v>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46426</v>
      </c>
      <c r="P114" s="34" t="s">
        <v>75</v>
      </c>
      <c r="Q114" s="31" t="n">
        <v>117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46359</v>
      </c>
      <c r="O115" s="45" t="n">
        <v>46359</v>
      </c>
      <c r="P115" s="46" t="s">
        <v>285</v>
      </c>
      <c r="Q115" s="37" t="n">
        <v>110</v>
      </c>
      <c r="R115" s="39"/>
      <c r="S115" s="39" t="n">
        <v>1</v>
      </c>
      <c r="T115" s="39" t="s">
        <v>286</v>
      </c>
      <c r="U115" s="58" t="n">
        <v>46359.0115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513</v>
      </c>
      <c r="N116" s="55" t="n">
        <v>46359</v>
      </c>
      <c r="O116" s="55" t="n">
        <v>46359</v>
      </c>
      <c r="P116" s="50" t="s">
        <v>285</v>
      </c>
      <c r="Q116" s="52" t="n">
        <v>112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517</v>
      </c>
      <c r="N117" s="55" t="n">
        <v>46359</v>
      </c>
      <c r="O117" s="55" t="n">
        <v>46359</v>
      </c>
      <c r="P117" s="50" t="s">
        <v>285</v>
      </c>
      <c r="Q117" s="52" t="n">
        <v>111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521</v>
      </c>
      <c r="N118" s="55" t="n">
        <v>46359</v>
      </c>
      <c r="O118" s="55" t="n">
        <v>46359</v>
      </c>
      <c r="P118" s="50" t="s">
        <v>285</v>
      </c>
      <c r="Q118" s="52" t="n">
        <v>111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525</v>
      </c>
      <c r="N119" s="55" t="n">
        <v>46359</v>
      </c>
      <c r="O119" s="55" t="n">
        <v>46359</v>
      </c>
      <c r="P119" s="50" t="s">
        <v>285</v>
      </c>
      <c r="Q119" s="52" t="n">
        <v>111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529</v>
      </c>
      <c r="N120" s="55" t="n">
        <v>46359</v>
      </c>
      <c r="O120" s="55" t="n">
        <v>46359</v>
      </c>
      <c r="P120" s="50" t="s">
        <v>285</v>
      </c>
      <c r="Q120" s="52" t="n">
        <v>110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533</v>
      </c>
      <c r="N121" s="55" t="n">
        <v>46359</v>
      </c>
      <c r="O121" s="55" t="n">
        <v>46359</v>
      </c>
      <c r="P121" s="50" t="s">
        <v>285</v>
      </c>
      <c r="Q121" s="52" t="n">
        <v>110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46328</v>
      </c>
      <c r="O122" s="45" t="n">
        <v>46328</v>
      </c>
      <c r="P122" s="46" t="s">
        <v>285</v>
      </c>
      <c r="Q122" s="37" t="n">
        <v>79</v>
      </c>
      <c r="R122" s="39"/>
      <c r="S122" s="39" t="n">
        <v>1</v>
      </c>
      <c r="T122" s="39" t="s">
        <v>286</v>
      </c>
      <c r="U122" s="58" t="n">
        <v>46328.0122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28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/>
      <c r="M123" s="43"/>
      <c r="N123" s="44" t="n">
        <v>46239</v>
      </c>
      <c r="O123" s="45" t="n">
        <v>46314</v>
      </c>
      <c r="P123" s="46" t="s">
        <v>75</v>
      </c>
      <c r="Q123" s="37" t="n">
        <v>63</v>
      </c>
      <c r="R123" s="39"/>
      <c r="S123" s="39" t="n">
        <v>1</v>
      </c>
      <c r="T123" s="39" t="s">
        <v>76</v>
      </c>
      <c r="U123" s="58" t="n">
        <v>46239.0123</v>
      </c>
      <c r="V123" s="47" t="n">
        <v>0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46413</v>
      </c>
      <c r="O124" s="45" t="n">
        <v>46426</v>
      </c>
      <c r="P124" s="46" t="s">
        <v>285</v>
      </c>
      <c r="Q124" s="37" t="n">
        <v>117</v>
      </c>
      <c r="R124" s="39"/>
      <c r="S124" s="39" t="n">
        <v>1</v>
      </c>
      <c r="T124" s="39" t="s">
        <v>286</v>
      </c>
      <c r="U124" s="58" t="n">
        <v>46413.0124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547</v>
      </c>
      <c r="N125" s="55" t="n">
        <v>46413</v>
      </c>
      <c r="O125" s="55" t="n">
        <v>46417</v>
      </c>
      <c r="P125" s="50" t="s">
        <v>285</v>
      </c>
      <c r="Q125" s="52" t="n">
        <v>117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551</v>
      </c>
      <c r="N126" s="55" t="n">
        <v>46416</v>
      </c>
      <c r="O126" s="55" t="n">
        <v>46423</v>
      </c>
      <c r="P126" s="50" t="s">
        <v>285</v>
      </c>
      <c r="Q126" s="52" t="n">
        <v>117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555</v>
      </c>
      <c r="N127" s="55" t="n">
        <v>46423</v>
      </c>
      <c r="O127" s="55" t="n">
        <v>46426</v>
      </c>
      <c r="P127" s="50" t="s">
        <v>285</v>
      </c>
      <c r="Q127" s="52" t="n">
        <v>117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46370</v>
      </c>
      <c r="O128" s="45" t="n">
        <v>46370</v>
      </c>
      <c r="P128" s="46" t="s">
        <v>285</v>
      </c>
      <c r="Q128" s="37" t="n">
        <v>111</v>
      </c>
      <c r="R128" s="39"/>
      <c r="S128" s="39" t="n">
        <v>1</v>
      </c>
      <c r="T128" s="39" t="s">
        <v>286</v>
      </c>
      <c r="U128" s="58" t="n">
        <v>46370.0128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46371</v>
      </c>
      <c r="O129" s="45" t="n">
        <v>46371</v>
      </c>
      <c r="P129" s="46" t="s">
        <v>285</v>
      </c>
      <c r="Q129" s="37" t="n">
        <v>112</v>
      </c>
      <c r="R129" s="39"/>
      <c r="S129" s="39" t="n">
        <v>1</v>
      </c>
      <c r="T129" s="39" t="s">
        <v>286</v>
      </c>
      <c r="U129" s="58" t="n">
        <v>46371.0129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46371</v>
      </c>
      <c r="O130" s="45" t="n">
        <v>46377</v>
      </c>
      <c r="P130" s="46" t="s">
        <v>285</v>
      </c>
      <c r="Q130" s="37" t="n">
        <v>118</v>
      </c>
      <c r="R130" s="39"/>
      <c r="S130" s="39" t="n">
        <v>1</v>
      </c>
      <c r="T130" s="39" t="s">
        <v>286</v>
      </c>
      <c r="U130" s="58" t="n">
        <v>46371.013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46410</v>
      </c>
      <c r="O131" s="45" t="n">
        <v>46412</v>
      </c>
      <c r="P131" s="46" t="s">
        <v>285</v>
      </c>
      <c r="Q131" s="37" t="n">
        <v>117</v>
      </c>
      <c r="R131" s="39"/>
      <c r="S131" s="39" t="n">
        <v>1</v>
      </c>
      <c r="T131" s="39" t="s">
        <v>286</v>
      </c>
      <c r="U131" s="58" t="n">
        <v>46410.0131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46191</v>
      </c>
      <c r="F11" s="99" t="n">
        <v>46200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46214</v>
      </c>
      <c r="F13" s="99" t="n">
        <v>46214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46266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 t="n">
        <v>0.1875</v>
      </c>
      <c r="X21" s="101" t="n">
        <v>0.1875</v>
      </c>
      <c r="Y21" s="101" t="n">
        <v>0.1875</v>
      </c>
      <c r="Z21" s="101" t="n">
        <v>0.1875</v>
      </c>
      <c r="AA21" s="101" t="n">
        <v>0.1875</v>
      </c>
      <c r="AB21" s="101" t="n">
        <v>0.1875</v>
      </c>
      <c r="AC21" s="101" t="n">
        <v>0.1875</v>
      </c>
      <c r="AD21" s="101" t="n">
        <v>0.1875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651</v>
      </c>
      <c r="C23" s="95" t="s">
        <v>642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46220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6.6667</v>
      </c>
      <c r="Q24" s="101" t="n">
        <v>6.6667</v>
      </c>
      <c r="R24" s="101" t="n">
        <v>6.6667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652</v>
      </c>
      <c r="C25" s="95" t="s">
        <v>642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46241</v>
      </c>
      <c r="F26" s="99" t="n">
        <v>46244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5</v>
      </c>
      <c r="T26" s="101" t="n">
        <v>5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653</v>
      </c>
      <c r="C27" s="95" t="s">
        <v>642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46239</v>
      </c>
      <c r="F28" s="99" t="n">
        <v>46244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654</v>
      </c>
      <c r="C29" s="95" t="s">
        <v>642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655</v>
      </c>
      <c r="C31" s="95" t="s">
        <v>642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46239</v>
      </c>
      <c r="F32" s="99" t="n">
        <v>46242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656</v>
      </c>
      <c r="C33" s="95" t="s">
        <v>642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46240</v>
      </c>
      <c r="F34" s="99" t="n">
        <v>46243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657</v>
      </c>
      <c r="C35" s="95" t="s">
        <v>642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46241</v>
      </c>
      <c r="F36" s="99" t="n">
        <v>46243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658</v>
      </c>
      <c r="C37" s="95" t="s">
        <v>642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46242</v>
      </c>
      <c r="F38" s="99" t="n">
        <v>46244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659</v>
      </c>
      <c r="C39" s="95" t="s">
        <v>642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46244</v>
      </c>
      <c r="F40" s="99" t="n">
        <v>46245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661</v>
      </c>
      <c r="C42" s="95" t="s">
        <v>642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6.6667</v>
      </c>
      <c r="Q48" s="103" t="n">
        <f aca="false">SUMIF($C$7:$C$45,"Actual",Q$7:Q$45)</f>
        <v>6.6667</v>
      </c>
      <c r="R48" s="103" t="n">
        <f aca="false">SUMIF($C$7:$C$45,"Actual",R$7:R$45)</f>
        <v>6.6667</v>
      </c>
      <c r="S48" s="103" t="n">
        <f aca="false">SUMIF($C$7:$C$45,"Actual",S$7:S$45)</f>
        <v>50</v>
      </c>
      <c r="T48" s="103" t="n">
        <f aca="false">SUMIF($C$7:$C$45,"Actual",T$7:T$45)</f>
        <v>20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0.1875</v>
      </c>
      <c r="X48" s="103" t="n">
        <f aca="false">SUMIF($C$7:$C$45,"Actual",X$7:X$45)</f>
        <v>0.1875</v>
      </c>
      <c r="Y48" s="103" t="n">
        <f aca="false">SUMIF($C$7:$C$45,"Actual",Y$7:Y$45)</f>
        <v>0.1875</v>
      </c>
      <c r="Z48" s="103" t="n">
        <f aca="false">SUMIF($C$7:$C$45,"Actual",Z$7:Z$45)</f>
        <v>0.1875</v>
      </c>
      <c r="AA48" s="103" t="n">
        <f aca="false">SUMIF($C$7:$C$45,"Actual",AA$7:AA$45)</f>
        <v>0.1875</v>
      </c>
      <c r="AB48" s="103" t="n">
        <f aca="false">SUMIF($C$7:$C$45,"Actual",AB$7:AB$45)</f>
        <v>0.1875</v>
      </c>
      <c r="AC48" s="103" t="n">
        <f aca="false">SUMIF($C$7:$C$45,"Actual",AC$7:AC$45)</f>
        <v>0.1875</v>
      </c>
      <c r="AD48" s="103" t="n">
        <f aca="false">SUMIF($C$7:$C$45,"Actual",AD$7:AD$45)</f>
        <v>0.1875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10.1667</v>
      </c>
      <c r="Q50" s="105" t="n">
        <f aca="false">IF(Q$6&gt;46314,"",P50+Q48)</f>
        <v>16.8334</v>
      </c>
      <c r="R50" s="105" t="n">
        <f aca="false">IF(R$6&gt;46314,"",Q50+R48)</f>
        <v>23.5001</v>
      </c>
      <c r="S50" s="105" t="n">
        <f aca="false">IF(S$6&gt;46314,"",R50+S48)</f>
        <v>73.5001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93.5001</v>
      </c>
      <c r="W50" s="105" t="n">
        <f aca="false">IF(W$6&gt;46314,"",V50+W48)</f>
        <v>93.6876</v>
      </c>
      <c r="X50" s="105" t="n">
        <f aca="false">IF(X$6&gt;46314,"",W50+X48)</f>
        <v>93.8751</v>
      </c>
      <c r="Y50" s="105" t="n">
        <f aca="false">IF(Y$6&gt;46314,"",X50+Y48)</f>
        <v>94.0626</v>
      </c>
      <c r="Z50" s="105" t="n">
        <f aca="false">IF(Z$6&gt;46314,"",Y50+Z48)</f>
        <v>94.2501</v>
      </c>
      <c r="AA50" s="105" t="n">
        <f aca="false">IF(AA$6&gt;46314,"",Z50+AA48)</f>
        <v>94.4376</v>
      </c>
      <c r="AB50" s="105" t="n">
        <f aca="false">IF(AB$6&gt;46314,"",AA50+AB48)</f>
        <v>94.6251</v>
      </c>
      <c r="AC50" s="105" t="n">
        <f aca="false">IF(AC$6&gt;46314,"",AB50+AC48)</f>
        <v>94.8126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2026-10-26T04:45:05Z</dcterms:created>
  <dc:creator>openpyxl</dc:creator>
  <dc:description/>
  <dc:language>en-US</dc:language>
  <cp:lastModifiedBy/>
  <dcterms:modified xsi:type="dcterms:W3CDTF">2026-10-26T11:47:52Z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