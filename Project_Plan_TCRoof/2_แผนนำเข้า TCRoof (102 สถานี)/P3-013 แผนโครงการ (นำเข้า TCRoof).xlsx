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46314</definedName>
    <definedName function="false" hidden="false" name="GANTT_START" vbProcedure="false">46160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<sst xmlns="http://schemas.openxmlformats.org/spreadsheetml/2006/main" count="1278" uniqueCount="674">
  <si>
    <t xml:space="preserve">แผนโครงการ P3-013 – โรงกรองน้ำมาบข่า 556.32 kWp</t>
  </si>
  <si>
    <t xml:space="preserve">กปภ.สาขาบ้านฉาง, ภาคเหนือ-กลาง, กฟภ. เขต ก.2, Inverter 500 kW (ต้องยื่น พค.2), Zero export HV, คำขอ PPIM1A5079FF, วิศวกร ต้า, Admin กิ่ง, ผรม. C</t>
  </si>
  <si>
    <t xml:space="preserve">สรุป</t>
  </si>
  <si>
    <t xml:space="preserve">กำหนดส่งมอบ รอบ 4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</si>
  <si>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</si>
  <si>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</si>
  <si>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</si>
  <si>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</si>
  <si>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</si>
  <si>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</si>
  <si>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</si>
  <si>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</si>
  <si>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</si>
  <si>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</si>
  <si>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</si>
  <si>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</si>
  <si>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</si>
  <si>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</si>
  <si>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</si>
  <si>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2 / 8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</si>
  <si>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</si>
  <si>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</si>
  <si>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</si>
  <si>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</si>
  <si>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1 / 12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</si>
  <si>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ประมาณการ</t>
    </r>
    <r>
      <rPr>
        <b val="true"/>
        <sz val="10"/>
        <color rgb="FF7030A0"/>
        <rFont val="Tahoma"/>
        <family val="0"/>
        <charset val="1"/>
      </rPr>
      <t xml:space="preserve">, </t>
    </r>
    <r>
      <rPr>
        <b val="true"/>
        <sz val="10"/>
        <color rgb="FF7030A0"/>
        <rFont val="FreeSans"/>
        <family val="2"/>
      </rPr>
      <t xml:space="preserve">รอสำรวจ</t>
    </r>
  </si>
  <si>
    <t xml:space="preserve">ยังไม่ระบุจุด</t>
  </si>
  <si>
    <t xml:space="preserve">ถัดไป:</t>
  </si>
  <si>
    <t xml:space="preserve">◆ ผลพิจารณาแบบ กฟภ. (≤ 15 วันทำการ)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</si>
  <si>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P3-013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</si>
  <si>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</si>
  <si>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</si>
  <si>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</si>
  <si>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</si>
  <si>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</si>
  <si>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</si>
  <si>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</si>
  <si>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</si>
  <si>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</si>
  <si>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</si>
  <si>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พ.ค. 69</t>
  </si>
  <si>
    <t xml:space="preserve">มิ.ย. 69</t>
  </si>
  <si>
    <t xml:space="preserve">ก.ค. 69</t>
  </si>
  <si>
    <t xml:space="preserve">ส.ค. 69</t>
  </si>
  <si>
    <t xml:space="preserve">ก.ย. 69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</si>
  <si>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</si>
  <si>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</si>
  <si>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</si>
  <si>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</si>
  <si>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</si>
  <si>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</si>
  <si>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</si>
  <si>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</si>
  <si>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</si>
  <si>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</si>
  <si>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</si>
  <si>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</si>
  <si>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</si>
  <si>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</si>
  <si>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</si>
  <si>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</si>
  <si>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</si>
  <si>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</si>
  <si>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</si>
  <si>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</si>
  <si>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</si>
  <si>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</si>
  <si>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</si>
  <si>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</si>
  <si>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</si>
  <si>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</si>
  <si>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</si>
  <si>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</si>
  <si>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</si>
  <si>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</si>
  <si>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</si>
  <si>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</si>
  <si>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</si>
  <si>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</si>
  <si>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ต้า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</si>
  <si>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</si>
  <si>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</si>
  <si>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</si>
  <si>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</si>
  <si>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</si>
  <si>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</si>
  <si>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</si>
  <si>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WBS'!L4832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</si>
  <si>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</si>
  <si>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</si>
  <si>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</si>
  <si>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</si>
  <si>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WBS'!L4833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</si>
  <si>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</si>
  <si>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</si>
  <si>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</si>
  <si>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WBS'!L4834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</si>
  <si>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</si>
  <si>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</si>
  <si>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</si>
  <si>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WBS'!L4835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</si>
  <si>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</si>
  <si>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</si>
  <si>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</si>
  <si>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WBS'!L4836</t>
    </r>
  </si>
  <si>
    <t xml:space="preserve">ยังไม่เริ่ม</t>
  </si>
  <si>
    <t xml:space="preserve">NS</t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</si>
  <si>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</si>
  <si>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</si>
  <si>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</si>
  <si>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WBS'!L4837</t>
    </r>
  </si>
  <si>
    <t xml:space="preserve">0.2</t>
  </si>
  <si>
    <t xml:space="preserve">จัดหาและรับอุปกรณ์ (หนังสือส่งแผง + ตรวจรับของ)</t>
  </si>
  <si>
    <r>
      <rPr>
        <sz val="9"/>
        <rFont val="Tahoma"/>
        <family val="0"/>
        <charset val="1"/>
      </rPr>
      <t xml:space="preserve">TC-PML-2026-511, </t>
    </r>
    <r>
      <rPr>
        <sz val="9"/>
        <rFont val="FreeSans"/>
        <family val="2"/>
      </rPr>
      <t xml:space="preserve">ทำหนังสือออกแล้ว</t>
    </r>
  </si>
  <si>
    <t xml:space="preserve">กิ่ง</t>
  </si>
  <si>
    <t xml:space="preserve">ย้อนจาก 2.10 (25 วัน)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</si>
  <si>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</si>
  <si>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</si>
  <si>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</si>
  <si>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</si>
  <si>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</si>
  <si>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t xml:space="preserve">Admin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</si>
  <si>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WBS'!L4838</t>
    </r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</si>
  <si>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</si>
  <si>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</si>
  <si>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</si>
  <si>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WBS'!L4839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</si>
  <si>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</si>
  <si>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</si>
  <si>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</si>
  <si>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WBS'!L4840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</si>
  <si>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</si>
  <si>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</si>
  <si>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</si>
  <si>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WBS'!L4841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</si>
  <si>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</si>
  <si>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</si>
  <si>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</si>
  <si>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WBS'!L4842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</si>
  <si>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</si>
  <si>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</si>
  <si>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</si>
  <si>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WBS'!L4843</t>
    </r>
  </si>
  <si>
    <t xml:space="preserve">0.2.7</t>
  </si>
  <si>
    <t xml:space="preserve">    อุปกรณ์ 22 kV ถึงหน้างาน (VT / CT ผ่านทดสอบ กฟภ.)</t>
  </si>
  <si>
    <t xml:space="preserve">มีผลทดสอบ CT/VT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</si>
  <si>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WBS'!L4844</t>
    </r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</si>
  <si>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</si>
  <si>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</si>
  <si>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</si>
  <si>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WBS'!L4845</t>
    </r>
  </si>
  <si>
    <t xml:space="preserve">0.3</t>
  </si>
  <si>
    <t xml:space="preserve">หนังสือแจ้งขอดับไฟ</t>
  </si>
  <si>
    <t xml:space="preserve">TC-PML-2026-558</t>
  </si>
  <si>
    <t xml:space="preserve">ย้อนจาก 2.10 (20 วัน)</t>
  </si>
  <si>
    <t xml:space="preserve">DN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</si>
  <si>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</si>
  <si>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</si>
  <si>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</si>
  <si>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</si>
  <si>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</si>
  <si>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WBS'!L4846</t>
    </r>
  </si>
  <si>
    <t xml:space="preserve">เสร็จ*</t>
  </si>
  <si>
    <t xml:space="preserve">DY</t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</si>
  <si>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</si>
  <si>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</si>
  <si>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</si>
  <si>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WBS'!L4847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</si>
  <si>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</si>
  <si>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</si>
  <si>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</si>
  <si>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WBS'!L4848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</si>
  <si>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</si>
  <si>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</si>
  <si>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</si>
  <si>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</si>
  <si>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</si>
  <si>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</si>
  <si>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</si>
  <si>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</si>
  <si>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</si>
  <si>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WBS'!L4849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</si>
  <si>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</si>
  <si>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</si>
  <si>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</si>
  <si>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WBS'!L4850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</si>
  <si>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</si>
  <si>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</si>
  <si>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</si>
  <si>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WBS'!L4851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</si>
  <si>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</si>
  <si>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</si>
  <si>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</si>
  <si>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</si>
  <si>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</si>
  <si>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</si>
  <si>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</si>
  <si>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WBS'!L4852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</si>
  <si>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</si>
  <si>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</si>
  <si>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</si>
  <si>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WBS'!L4853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</si>
  <si>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</si>
  <si>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</si>
  <si>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</si>
  <si>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WBS'!L4854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</si>
  <si>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</si>
  <si>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</si>
  <si>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</si>
  <si>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WBS'!L4855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</si>
  <si>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</si>
  <si>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</si>
  <si>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</si>
  <si>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</si>
  <si>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</si>
  <si>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</si>
  <si>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</si>
  <si>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WBS'!L4856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</si>
  <si>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</si>
  <si>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</si>
  <si>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</si>
  <si>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WBS'!L4857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</si>
  <si>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</si>
  <si>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</si>
  <si>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</si>
  <si>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WBS'!L4858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</si>
  <si>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</si>
  <si>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</si>
  <si>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สรุปไฟฟ้า: อ.1 ✓</t>
  </si>
  <si>
    <t xml:space="preserve">ย้อนจาก 2.10 (40 วัน)</t>
  </si>
  <si>
    <t xml:space="preserve">Y</t>
  </si>
  <si>
    <r>
      <rPr>
        <sz val="9"/>
        <rFont val="FreeSans"/>
        <family val="2"/>
      </rPr>
      <t xml:space="preserve">เสร็จ</t>
    </r>
    <r>
      <rPr>
        <sz val="9"/>
        <rFont val="Tahoma"/>
        <family val="0"/>
        <charset val="1"/>
      </rPr>
      <t xml:space="preserve">*</t>
    </r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</si>
  <si>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</si>
  <si>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</si>
  <si>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</si>
  <si>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</si>
  <si>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WBS'!L4859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</si>
  <si>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</si>
  <si>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</si>
  <si>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</si>
  <si>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WBS'!L4860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</si>
  <si>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</si>
  <si>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</si>
  <si>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</si>
  <si>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WBS'!L4861</t>
    </r>
  </si>
  <si>
    <t xml:space="preserve">1.5</t>
  </si>
  <si>
    <t xml:space="preserve">ยื่นขอใบอนุญาต พค.2 (Inverter ≥ 200 kVA)</t>
  </si>
  <si>
    <t xml:space="preserve">Master Plan</t>
  </si>
  <si>
    <t xml:space="preserve">การขอขนานไฟ กฟภ. (1.7), การแจ้งยกเว้น กกพ. (1.6)</t>
  </si>
  <si>
    <t xml:space="preserve">R10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</si>
  <si>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</si>
  <si>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</si>
  <si>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</si>
  <si>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WBS'!L4862</t>
    </r>
  </si>
  <si>
    <t xml:space="preserve">1.5.2</t>
  </si>
  <si>
    <t xml:space="preserve">    คำขอ พค.2 ที่ยื่นแล้ว</t>
  </si>
  <si>
    <t xml:space="preserve">เอกสารลงนาม กปภ. + หลักฐานการยื่น (QR Code)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</si>
  <si>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WBS'!L4863</t>
    </r>
  </si>
  <si>
    <t xml:space="preserve">1.5.3</t>
  </si>
  <si>
    <t xml:space="preserve">◆ ความเห็น พพ. (≤ 30 วัน)</t>
  </si>
  <si>
    <t xml:space="preserve">พพ.</t>
  </si>
  <si>
    <t xml:space="preserve">1.5.4</t>
  </si>
  <si>
    <t xml:space="preserve">    ใบอนุญาต พค.2 + บันทึกวันหมดอายุ</t>
  </si>
  <si>
    <t xml:space="preserve">ใบอนุญาต พค.2 + วันหมดอายุบันทึกในแอป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</si>
  <si>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WBS'!L4864</t>
    </r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</si>
  <si>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</si>
  <si>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</si>
  <si>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</si>
  <si>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</si>
  <si>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</si>
  <si>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</si>
  <si>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</si>
  <si>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</si>
  <si>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WBS'!L4865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</si>
  <si>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</si>
  <si>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</si>
  <si>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</si>
  <si>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WBS'!L4866</t>
    </r>
  </si>
  <si>
    <t xml:space="preserve">1.7.1</t>
  </si>
  <si>
    <t xml:space="preserve">คำขอขนานไฟ PPIM (ชุด 11 ไฟล์)</t>
  </si>
  <si>
    <t xml:space="preserve">PPIM1A5079FF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</si>
  <si>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</si>
  <si>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</si>
  <si>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</si>
  <si>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</si>
  <si>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รอตรวจสอบแบบคำขอ</t>
  </si>
  <si>
    <t xml:space="preserve">กฟภ.</t>
  </si>
  <si>
    <t xml:space="preserve">1.7.4</t>
  </si>
  <si>
    <t xml:space="preserve">ค่าธรรมเนียม + สัญญาเชื่อมต่อ</t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</si>
  <si>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</si>
  <si>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</si>
  <si>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</si>
  <si>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</si>
  <si>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</si>
  <si>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</si>
  <si>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</si>
  <si>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</si>
  <si>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</si>
  <si>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</si>
  <si>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</si>
  <si>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C</t>
  </si>
  <si>
    <t xml:space="preserve">ย้อนจาก 2.10 (24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</si>
  <si>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</si>
  <si>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</si>
  <si>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</si>
  <si>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</si>
  <si>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</si>
  <si>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WBS'!L4867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</si>
  <si>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</si>
  <si>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</si>
  <si>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</si>
  <si>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WBS'!L4868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</si>
  <si>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</si>
  <si>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</si>
  <si>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</si>
  <si>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WBS'!L4869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</si>
  <si>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</si>
  <si>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</si>
  <si>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</si>
  <si>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WBS'!L4870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</si>
  <si>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</si>
  <si>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</si>
  <si>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</si>
  <si>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WBS'!L4871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</si>
  <si>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</si>
  <si>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</si>
  <si>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</si>
  <si>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WBS'!L4872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</si>
  <si>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</si>
  <si>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</si>
  <si>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</si>
  <si>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WBS'!L4873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</si>
  <si>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</si>
  <si>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</si>
  <si>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</si>
  <si>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</si>
  <si>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</si>
  <si>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</si>
  <si>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</si>
  <si>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WBS'!L4874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</si>
  <si>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</si>
  <si>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</si>
  <si>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</si>
  <si>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WBS'!L4875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</si>
  <si>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</si>
  <si>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</si>
  <si>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</si>
  <si>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WBS'!L4876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</si>
  <si>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</si>
  <si>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</si>
  <si>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</si>
  <si>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WBS'!L4877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</si>
  <si>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</si>
  <si>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</si>
  <si>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</si>
  <si>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WBS'!L4878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</si>
  <si>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</si>
  <si>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</si>
  <si>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</si>
  <si>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</si>
  <si>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</si>
  <si>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</si>
  <si>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</si>
  <si>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WBS'!L4879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</si>
  <si>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</si>
  <si>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</si>
  <si>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</si>
  <si>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WBS'!L4880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</si>
  <si>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</si>
  <si>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</si>
  <si>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</si>
  <si>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WBS'!L4881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</si>
  <si>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</si>
  <si>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</si>
  <si>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</si>
  <si>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WBS'!L4882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</si>
  <si>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</si>
  <si>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</si>
  <si>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</si>
  <si>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WBS'!L4883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</si>
  <si>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</si>
  <si>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</si>
  <si>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</si>
  <si>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</si>
  <si>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</si>
  <si>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</si>
  <si>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</si>
  <si>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WBS'!L4884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</si>
  <si>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</si>
  <si>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</si>
  <si>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</si>
  <si>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WBS'!L4885</t>
    </r>
  </si>
  <si>
    <t xml:space="preserve">2.5</t>
  </si>
  <si>
    <t xml:space="preserve">ติดตั้ง Inverter</t>
  </si>
  <si>
    <t xml:space="preserve">Inverter 500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</si>
  <si>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</si>
  <si>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</si>
  <si>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</si>
  <si>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</si>
  <si>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WBS'!L4886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</si>
  <si>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</si>
  <si>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</si>
  <si>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</si>
  <si>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WBS'!L4887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</si>
  <si>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</si>
  <si>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</si>
  <si>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</si>
  <si>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WBS'!L4888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</si>
  <si>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</si>
  <si>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</si>
  <si>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</si>
  <si>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WBS'!L4889</t>
    </r>
  </si>
  <si>
    <t xml:space="preserve">2.6</t>
  </si>
  <si>
    <t xml:space="preserve">ติดตั้งอุปกรณ์ไฟฟ้าด้าน AC</t>
  </si>
  <si>
    <t xml:space="preserve">ฝั่ง HV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</si>
  <si>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</si>
  <si>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</si>
  <si>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</si>
  <si>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</si>
  <si>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WBS'!L4890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</si>
  <si>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</si>
  <si>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</si>
  <si>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</si>
  <si>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WBS'!L4891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</si>
  <si>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</si>
  <si>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</si>
  <si>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</si>
  <si>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WBS'!L4892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</si>
  <si>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</si>
  <si>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</si>
  <si>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</si>
  <si>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WBS'!L4893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</si>
  <si>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</si>
  <si>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</si>
  <si>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</si>
  <si>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WBS'!L4894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</si>
  <si>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</si>
  <si>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</si>
  <si>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</si>
  <si>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</si>
  <si>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</si>
  <si>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</si>
  <si>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WBS'!L4895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</si>
  <si>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</si>
  <si>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</si>
  <si>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</si>
  <si>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WBS'!L4896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</si>
  <si>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</si>
  <si>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</si>
  <si>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</si>
  <si>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WBS'!L4897</t>
    </r>
  </si>
  <si>
    <t xml:space="preserve">2.8</t>
  </si>
  <si>
    <t xml:space="preserve">ระบบสื่อสาร + ป้องกันไฟไหลย้อน (Zero Export Controller)</t>
  </si>
  <si>
    <t xml:space="preserve">Zero export HV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</si>
  <si>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</si>
  <si>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</si>
  <si>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</si>
  <si>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</t>
  </si>
  <si>
    <t xml:space="preserve">2.8.2</t>
  </si>
  <si>
    <t xml:space="preserve">    ชุดอุปกรณ์กันย้อน 22 kV บนเสา (E18)</t>
  </si>
  <si>
    <t xml:space="preserve">อุปกรณ์บนเสา 22 kV ครบตาม E18, หลักดิน HV / LV ตามระยะ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</si>
  <si>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WBS'!L4898</t>
    </r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</si>
  <si>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</si>
  <si>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</si>
  <si>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</si>
  <si>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t xml:space="preserve">ไม่ต้องทำ</t>
  </si>
  <si>
    <t xml:space="preserve">NA</t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</si>
  <si>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</si>
  <si>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</si>
  <si>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</si>
  <si>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WBS'!L4899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</si>
  <si>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</si>
  <si>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</si>
  <si>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</si>
  <si>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WBS'!L4900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</si>
  <si>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</si>
  <si>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</si>
  <si>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</si>
  <si>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WBS'!L4901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</si>
  <si>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</si>
  <si>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</si>
  <si>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</si>
  <si>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</si>
  <si>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</si>
  <si>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</si>
  <si>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WBS'!L4902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</si>
  <si>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</si>
  <si>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</si>
  <si>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</si>
  <si>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WBS'!L4903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</si>
  <si>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</si>
  <si>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</si>
  <si>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</si>
  <si>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WBS'!L4904</t>
    </r>
  </si>
  <si>
    <t xml:space="preserve">2.10</t>
  </si>
  <si>
    <t xml:space="preserve">ระบบเชื่อมกับ MDB แล้ว และจ่ายไฟคืนได้ (Tie-in)</t>
  </si>
  <si>
    <t xml:space="preserve">แผนดับไฟ 10/9/69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</si>
  <si>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</si>
  <si>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</si>
  <si>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</si>
  <si>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</si>
  <si>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</si>
  <si>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WBS'!L4905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</si>
  <si>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</si>
  <si>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</si>
  <si>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</si>
  <si>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WBS'!L4906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</si>
  <si>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</si>
  <si>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</si>
  <si>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</si>
  <si>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</si>
  <si>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นัดแล้ว</t>
  </si>
  <si>
    <t xml:space="preserve">AP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</si>
  <si>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</si>
  <si>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</si>
  <si>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</si>
  <si>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</si>
  <si>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</si>
  <si>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WBS'!L4907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</si>
  <si>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</si>
  <si>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</si>
  <si>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</si>
  <si>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WBS'!L4908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</si>
  <si>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</si>
  <si>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</si>
  <si>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</si>
  <si>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WBS'!L4909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</si>
  <si>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</si>
  <si>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</si>
  <si>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</si>
  <si>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WBS'!L4910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</si>
  <si>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</si>
  <si>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</si>
  <si>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</si>
  <si>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WBS'!L4911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</si>
  <si>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</si>
  <si>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</si>
  <si>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</si>
  <si>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WBS'!L4912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</si>
  <si>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</si>
  <si>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</si>
  <si>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</si>
  <si>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</si>
  <si>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t xml:space="preserve">แบบ As-built + รายการคำนวณ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</si>
  <si>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ลงนามแล้ว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คำนวณ ลงนามแล้ว</t>
    </r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</si>
  <si>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</si>
  <si>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</si>
  <si>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</si>
  <si>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</si>
  <si>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</si>
  <si>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</si>
  <si>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</si>
  <si>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</si>
  <si>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WBS'!L4913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</si>
  <si>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</si>
  <si>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</si>
  <si>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</si>
  <si>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WBS'!L4914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</si>
  <si>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</si>
  <si>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</si>
  <si>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</si>
  <si>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WBS'!L4915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</si>
  <si>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</si>
  <si>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</si>
  <si>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</si>
  <si>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</si>
  <si>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</si>
  <si>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ตารางตรงกับภาคผนวก ข.</t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</si>
  <si>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</si>
  <si>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</si>
  <si>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</si>
  <si>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</si>
  <si>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</si>
  <si>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</si>
  <si>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</si>
  <si>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</si>
  <si>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</si>
  <si>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</si>
  <si>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</si>
  <si>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</si>
  <si>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</si>
  <si>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</si>
  <si>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</si>
  <si>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</si>
  <si>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</si>
  <si>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</si>
  <si>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</si>
  <si>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</si>
  <si>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</si>
  <si>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</si>
  <si>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</si>
  <si>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</si>
  <si>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</si>
  <si>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</si>
  <si>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</si>
  <si>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</si>
  <si>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</si>
  <si>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</si>
  <si>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</si>
  <si>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</si>
  <si>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125+125+125+125 kW, โรงเรือน 14.00 × 2.50 ม.,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</si>
  <si>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</si>
  <si>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</si>
  <si>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</si>
  <si>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</si>
  <si>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</si>
  <si>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</si>
  <si>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</si>
  <si>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</si>
  <si>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</si>
  <si>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</si>
  <si>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</si>
  <si>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</si>
  <si>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</si>
  <si>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</si>
  <si>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</si>
  <si>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</si>
  <si>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</si>
  <si>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</si>
  <si>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โรงกรองน้ำมาบข่า การประปาส่วนภูมิภาคสาขาบ้านฉาง ขนาดกำลังผลิต </t>
    </r>
    <r>
      <rPr>
        <sz val="10"/>
        <rFont val="Tahoma"/>
        <family val="0"/>
        <charset val="1"/>
      </rPr>
      <t xml:space="preserve">556.32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</si>
  <si>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</si>
  <si>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</si>
  <si>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</si>
  <si>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P3-013,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C, </t>
    </r>
    <r>
      <rPr>
        <sz val="10"/>
        <rFont val="FreeSans"/>
        <family val="2"/>
      </rPr>
      <t xml:space="preserve">วิศวกร ต้า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19/10/2026 (Plan = Baseline)</t>
    </r>
  </si>
  <si>
    <t xml:space="preserve">May 26</t>
  </si>
  <si>
    <t xml:space="preserve">Jun 26</t>
  </si>
  <si>
    <t xml:space="preserve">Jul 26</t>
  </si>
  <si>
    <t xml:space="preserve">Aug 26</t>
  </si>
  <si>
    <t xml:space="preserve">Sep 26</t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</si>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</sst>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9"/>
      <color rgb="FF0000FF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0.5</c:v>
                </c:pt>
                <c:pt idx="7">
                  <c:v>0.671428571428572</c:v>
                </c:pt>
                <c:pt idx="8">
                  <c:v>1.87142857142857</c:v>
                </c:pt>
                <c:pt idx="9">
                  <c:v>2.5</c:v>
                </c:pt>
                <c:pt idx="10">
                  <c:v>2.5</c:v>
                </c:pt>
                <c:pt idx="11">
                  <c:v>6.33333333333333</c:v>
                </c:pt>
                <c:pt idx="12">
                  <c:v>14.1111111111111</c:v>
                </c:pt>
                <c:pt idx="13">
                  <c:v>21.8888888888889</c:v>
                </c:pt>
                <c:pt idx="14">
                  <c:v>66.0654761904762</c:v>
                </c:pt>
                <c:pt idx="15">
                  <c:v>94.8550724637681</c:v>
                </c:pt>
                <c:pt idx="16">
                  <c:v>96.6739130434783</c:v>
                </c:pt>
                <c:pt idx="17">
                  <c:v>96.8260869565218</c:v>
                </c:pt>
                <c:pt idx="18">
                  <c:v>96.9782608695652</c:v>
                </c:pt>
                <c:pt idx="19">
                  <c:v>97.1304347826087</c:v>
                </c:pt>
                <c:pt idx="20">
                  <c:v>97.2826086956522</c:v>
                </c:pt>
                <c:pt idx="21">
                  <c:v>97.4347826086957</c:v>
                </c:pt>
                <c:pt idx="22">
                  <c:v>97.6785714285715</c:v>
                </c:pt>
                <c:pt idx="23">
                  <c:v>98.9285714285715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0.3333</c:v>
                </c:pt>
                <c:pt idx="8">
                  <c:v>0.6666</c:v>
                </c:pt>
                <c:pt idx="9">
                  <c:v>0.9999</c:v>
                </c:pt>
                <c:pt idx="10">
                  <c:v>0.9999</c:v>
                </c:pt>
                <c:pt idx="11">
                  <c:v>0.9999</c:v>
                </c:pt>
                <c:pt idx="12">
                  <c:v>0.9999</c:v>
                </c:pt>
                <c:pt idx="13">
                  <c:v>0.9999</c:v>
                </c:pt>
                <c:pt idx="14">
                  <c:v>0.9999</c:v>
                </c:pt>
                <c:pt idx="15">
                  <c:v>0.9999</c:v>
                </c:pt>
                <c:pt idx="16">
                  <c:v>0.9999</c:v>
                </c:pt>
                <c:pt idx="17">
                  <c:v>0.9999</c:v>
                </c:pt>
                <c:pt idx="18">
                  <c:v>0.9999</c:v>
                </c:pt>
                <c:pt idx="19">
                  <c:v>2.2499</c:v>
                </c:pt>
                <c:pt idx="20">
                  <c:v>2.4999</c:v>
                </c:pt>
                <c:pt idx="21">
                  <c:v>2.7499</c:v>
                </c:pt>
                <c:pt idx="22">
                  <c:v>2.9999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0334191"/>
        <c:axId val="12761273"/>
      </c:lineChart>
      <c:catAx>
        <c:axId val="20334191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761273"/>
        <c:crosses val="autoZero"/>
        <c:auto val="1"/>
        <c:lblAlgn val="ctr"/>
        <c:lblOffset val="100"/>
        <c:noMultiLvlLbl val="0"/>
      </c:catAx>
      <c:valAx>
        <c:axId val="1276127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33419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46283</v>
      </c>
      <c r="D4" s="9" t="n">
        <v>46314</v>
      </c>
      <c r="E4" s="9"/>
      <c r="F4" s="10" t="n">
        <v>46413</v>
      </c>
      <c r="G4" s="10"/>
      <c r="H4" s="10"/>
      <c r="J4" s="11" t="n">
        <v>0.03</v>
      </c>
      <c r="K4" s="11"/>
      <c r="L4" s="12" t="n">
        <v>39</v>
      </c>
      <c r="M4" s="12"/>
      <c r="N4" s="12" t="n">
        <v>97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1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6" t="s">
        <v>26</v>
      </c>
      <c r="BK4" s="16"/>
      <c r="BL4" s="16"/>
      <c r="BM4" s="16"/>
      <c r="BN4" s="16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/>
      <c r="AC6" s="27" t="s">
        <v>41</v>
      </c>
      <c r="AD6" s="27"/>
      <c r="AE6" s="27"/>
      <c r="AF6" s="27"/>
      <c r="AG6" s="27"/>
      <c r="AH6" s="27" t="s">
        <v>42</v>
      </c>
      <c r="AI6" s="27"/>
      <c r="AJ6" s="27"/>
      <c r="AK6" s="27"/>
      <c r="AL6" s="27" t="s">
        <v>43</v>
      </c>
      <c r="AM6" s="27"/>
      <c r="AN6" s="27"/>
      <c r="AO6" s="27"/>
      <c r="AP6" s="27"/>
      <c r="AQ6" s="27" t="s">
        <v>44</v>
      </c>
      <c r="AR6" s="27"/>
      <c r="AS6" s="27"/>
      <c r="AT6" s="27"/>
      <c r="AU6" s="27" t="s">
        <v>45</v>
      </c>
      <c r="AV6" s="27"/>
      <c r="AW6" s="27"/>
      <c r="AX6" s="27"/>
      <c r="AY6" s="27" t="s">
        <v>46</v>
      </c>
      <c r="AZ6" s="27"/>
      <c r="BA6" s="27"/>
      <c r="BB6" s="27"/>
      <c r="BC6" s="27"/>
      <c r="BD6" s="27" t="s">
        <v>47</v>
      </c>
      <c r="BE6" s="27"/>
      <c r="BF6" s="27"/>
      <c r="BG6" s="27"/>
      <c r="BH6" s="27" t="s">
        <v>48</v>
      </c>
      <c r="BI6" s="27"/>
      <c r="BJ6" s="27"/>
      <c r="BK6" s="27"/>
      <c r="BL6" s="27" t="s">
        <v>49</v>
      </c>
      <c r="BM6" s="27"/>
      <c r="BN6" s="27"/>
      <c r="BO6" s="27"/>
      <c r="BP6" s="27" t="s">
        <v>50</v>
      </c>
      <c r="BQ6" s="27"/>
      <c r="BR6" s="27"/>
      <c r="BS6" s="27"/>
      <c r="BT6" s="27"/>
      <c r="BU6" s="27" t="s">
        <v>51</v>
      </c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46160</v>
      </c>
      <c r="AB7" s="30" t="n">
        <v>46167</v>
      </c>
      <c r="AC7" s="30" t="n">
        <v>46174</v>
      </c>
      <c r="AD7" s="30" t="n">
        <v>46181</v>
      </c>
      <c r="AE7" s="30" t="n">
        <v>46188</v>
      </c>
      <c r="AF7" s="30" t="n">
        <v>46195</v>
      </c>
      <c r="AG7" s="30" t="n">
        <v>46202</v>
      </c>
      <c r="AH7" s="30" t="n">
        <v>46209</v>
      </c>
      <c r="AI7" s="30" t="n">
        <v>46216</v>
      </c>
      <c r="AJ7" s="30" t="n">
        <v>46223</v>
      </c>
      <c r="AK7" s="30" t="n">
        <v>46230</v>
      </c>
      <c r="AL7" s="30" t="n">
        <v>46237</v>
      </c>
      <c r="AM7" s="30" t="n">
        <v>46244</v>
      </c>
      <c r="AN7" s="30" t="n">
        <v>46251</v>
      </c>
      <c r="AO7" s="30" t="n">
        <v>46258</v>
      </c>
      <c r="AP7" s="30" t="n">
        <v>46265</v>
      </c>
      <c r="AQ7" s="30" t="n">
        <v>46272</v>
      </c>
      <c r="AR7" s="30" t="n">
        <v>46279</v>
      </c>
      <c r="AS7" s="30" t="n">
        <v>46286</v>
      </c>
      <c r="AT7" s="30" t="n">
        <v>46293</v>
      </c>
      <c r="AU7" s="30" t="n">
        <v>46300</v>
      </c>
      <c r="AV7" s="30" t="n">
        <v>46307</v>
      </c>
      <c r="AW7" s="30" t="n">
        <v>46314</v>
      </c>
      <c r="AX7" s="30" t="n">
        <v>46321</v>
      </c>
      <c r="AY7" s="30" t="n">
        <v>46328</v>
      </c>
      <c r="AZ7" s="30" t="n">
        <v>46335</v>
      </c>
      <c r="BA7" s="30" t="n">
        <v>46342</v>
      </c>
      <c r="BB7" s="30" t="n">
        <v>46349</v>
      </c>
      <c r="BC7" s="30" t="n">
        <v>46356</v>
      </c>
      <c r="BD7" s="30" t="n">
        <v>46363</v>
      </c>
      <c r="BE7" s="30" t="n">
        <v>46370</v>
      </c>
      <c r="BF7" s="30" t="n">
        <v>46377</v>
      </c>
      <c r="BG7" s="30" t="n">
        <v>46384</v>
      </c>
      <c r="BH7" s="30" t="n">
        <v>46391</v>
      </c>
      <c r="BI7" s="30" t="n">
        <v>46398</v>
      </c>
      <c r="BJ7" s="30" t="n">
        <v>46405</v>
      </c>
      <c r="BK7" s="30" t="n">
        <v>46412</v>
      </c>
      <c r="BL7" s="30" t="n">
        <v>46419</v>
      </c>
      <c r="BM7" s="30" t="n">
        <v>46426</v>
      </c>
      <c r="BN7" s="30" t="n">
        <v>46433</v>
      </c>
      <c r="BO7" s="30" t="n">
        <v>46440</v>
      </c>
      <c r="BP7" s="30" t="n">
        <v>46447</v>
      </c>
      <c r="BQ7" s="30" t="n">
        <v>46454</v>
      </c>
      <c r="BR7" s="30" t="n">
        <v>46461</v>
      </c>
      <c r="BS7" s="30" t="n">
        <v>46468</v>
      </c>
      <c r="BT7" s="30" t="n">
        <v>46475</v>
      </c>
      <c r="BU7" s="30" t="n">
        <v>46482</v>
      </c>
      <c r="BV7" s="30" t="n">
        <v>46489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46208</v>
      </c>
      <c r="J8" s="33" t="n">
        <v>46333</v>
      </c>
      <c r="K8" s="31"/>
      <c r="L8" s="31"/>
      <c r="M8" s="31"/>
      <c r="N8" s="33" t="n">
        <v>46258</v>
      </c>
      <c r="O8" s="33" t="n">
        <v>46430</v>
      </c>
      <c r="P8" s="34" t="s">
        <v>75</v>
      </c>
      <c r="Q8" s="31" t="n">
        <v>97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46208</v>
      </c>
      <c r="J9" s="41" t="n">
        <v>46333</v>
      </c>
      <c r="K9" s="42"/>
      <c r="L9" s="42"/>
      <c r="M9" s="43"/>
      <c r="N9" s="44" t="n">
        <v>46314</v>
      </c>
      <c r="O9" s="45" t="n">
        <v>46430</v>
      </c>
      <c r="P9" s="46" t="s">
        <v>75</v>
      </c>
      <c r="Q9" s="37" t="n">
        <v>97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46208</v>
      </c>
      <c r="J10" s="53" t="n">
        <v>46220</v>
      </c>
      <c r="K10" s="52"/>
      <c r="L10" s="52"/>
      <c r="M10" s="54" t="s">
        <v>87</v>
      </c>
      <c r="N10" s="55" t="n">
        <v>46314</v>
      </c>
      <c r="O10" s="55" t="n">
        <v>46326</v>
      </c>
      <c r="P10" s="50" t="s">
        <v>75</v>
      </c>
      <c r="Q10" s="52" t="n">
        <v>106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46208</v>
      </c>
      <c r="J11" s="53" t="n">
        <v>46220</v>
      </c>
      <c r="K11" s="52"/>
      <c r="L11" s="52"/>
      <c r="M11" s="54" t="s">
        <v>92</v>
      </c>
      <c r="N11" s="55" t="n">
        <v>46314</v>
      </c>
      <c r="O11" s="55" t="n">
        <v>46326</v>
      </c>
      <c r="P11" s="50" t="s">
        <v>75</v>
      </c>
      <c r="Q11" s="52" t="n">
        <v>106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46208</v>
      </c>
      <c r="J12" s="53" t="n">
        <v>46220</v>
      </c>
      <c r="K12" s="52"/>
      <c r="L12" s="52"/>
      <c r="M12" s="54" t="s">
        <v>96</v>
      </c>
      <c r="N12" s="55" t="n">
        <v>46314</v>
      </c>
      <c r="O12" s="55" t="n">
        <v>46326</v>
      </c>
      <c r="P12" s="50" t="s">
        <v>75</v>
      </c>
      <c r="Q12" s="52" t="n">
        <v>106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46208</v>
      </c>
      <c r="J13" s="53" t="n">
        <v>46227</v>
      </c>
      <c r="K13" s="52"/>
      <c r="L13" s="52"/>
      <c r="M13" s="54" t="s">
        <v>100</v>
      </c>
      <c r="N13" s="55" t="n">
        <v>46314</v>
      </c>
      <c r="O13" s="55" t="n">
        <v>46331</v>
      </c>
      <c r="P13" s="50" t="s">
        <v>75</v>
      </c>
      <c r="Q13" s="52" t="n">
        <v>104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46220</v>
      </c>
      <c r="J14" s="53" t="n">
        <v>46333</v>
      </c>
      <c r="K14" s="52"/>
      <c r="L14" s="52"/>
      <c r="M14" s="54" t="s">
        <v>104</v>
      </c>
      <c r="N14" s="55" t="n">
        <v>46326</v>
      </c>
      <c r="O14" s="55" t="n">
        <v>46430</v>
      </c>
      <c r="P14" s="50" t="s">
        <v>105</v>
      </c>
      <c r="Q14" s="52" t="n">
        <v>97</v>
      </c>
      <c r="R14" s="52"/>
      <c r="S14" s="52" t="n">
        <v>2</v>
      </c>
      <c r="T14" s="52" t="s">
        <v>106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107</v>
      </c>
      <c r="B15" s="50" t="s">
        <v>108</v>
      </c>
      <c r="C15" s="52" t="s">
        <v>109</v>
      </c>
      <c r="D15" s="50" t="s">
        <v>86</v>
      </c>
      <c r="E15" s="51" t="n">
        <v>0</v>
      </c>
      <c r="F15" s="52"/>
      <c r="G15" s="52"/>
      <c r="H15" s="52"/>
      <c r="I15" s="53" t="n">
        <v>46220</v>
      </c>
      <c r="J15" s="53" t="n">
        <v>46333</v>
      </c>
      <c r="K15" s="52"/>
      <c r="L15" s="52"/>
      <c r="M15" s="54" t="s">
        <v>110</v>
      </c>
      <c r="N15" s="55" t="n">
        <v>46326</v>
      </c>
      <c r="O15" s="55" t="n">
        <v>46430</v>
      </c>
      <c r="P15" s="50" t="s">
        <v>105</v>
      </c>
      <c r="Q15" s="52" t="n">
        <v>97</v>
      </c>
      <c r="R15" s="52"/>
      <c r="S15" s="52" t="n">
        <v>2</v>
      </c>
      <c r="T15" s="52" t="s">
        <v>106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111</v>
      </c>
      <c r="B16" s="39" t="s">
        <v>112</v>
      </c>
      <c r="C16" s="38" t="s">
        <v>113</v>
      </c>
      <c r="D16" s="39" t="s">
        <v>114</v>
      </c>
      <c r="E16" s="40" t="n">
        <v>0</v>
      </c>
      <c r="F16" s="39" t="s">
        <v>115</v>
      </c>
      <c r="G16" s="37"/>
      <c r="H16" s="37" t="n">
        <v>10</v>
      </c>
      <c r="I16" s="41" t="n">
        <v>46227</v>
      </c>
      <c r="J16" s="41" t="n">
        <v>46238</v>
      </c>
      <c r="K16" s="42"/>
      <c r="L16" s="42"/>
      <c r="M16" s="43"/>
      <c r="N16" s="44" t="n">
        <v>46314</v>
      </c>
      <c r="O16" s="45" t="n">
        <v>46314</v>
      </c>
      <c r="P16" s="46" t="s">
        <v>75</v>
      </c>
      <c r="Q16" s="37" t="n">
        <v>76</v>
      </c>
      <c r="R16" s="39"/>
      <c r="S16" s="39" t="n">
        <v>1</v>
      </c>
      <c r="T16" s="39" t="s">
        <v>76</v>
      </c>
      <c r="U16" s="57" t="n">
        <v>46314.0016</v>
      </c>
      <c r="V16" s="47" t="n">
        <v>0</v>
      </c>
      <c r="W16" s="39" t="s">
        <v>86</v>
      </c>
      <c r="X16" s="39" t="s">
        <v>116</v>
      </c>
      <c r="Y16" s="38" t="s">
        <v>117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118</v>
      </c>
      <c r="B17" s="50" t="s">
        <v>119</v>
      </c>
      <c r="C17" s="50" t="s">
        <v>120</v>
      </c>
      <c r="D17" s="52" t="s">
        <v>121</v>
      </c>
      <c r="E17" s="51" t="n">
        <v>0</v>
      </c>
      <c r="F17" s="52"/>
      <c r="G17" s="52"/>
      <c r="H17" s="52"/>
      <c r="I17" s="53" t="n">
        <v>46227</v>
      </c>
      <c r="J17" s="53" t="n">
        <v>46229</v>
      </c>
      <c r="K17" s="52"/>
      <c r="L17" s="52"/>
      <c r="M17" s="54" t="s">
        <v>122</v>
      </c>
      <c r="N17" s="55" t="n">
        <v>46314</v>
      </c>
      <c r="O17" s="55" t="n">
        <v>46314</v>
      </c>
      <c r="P17" s="50" t="s">
        <v>75</v>
      </c>
      <c r="Q17" s="52" t="n">
        <v>85</v>
      </c>
      <c r="R17" s="52"/>
      <c r="S17" s="52" t="n">
        <v>2</v>
      </c>
      <c r="T17" s="52" t="s">
        <v>76</v>
      </c>
      <c r="U17" s="52"/>
      <c r="V17" s="56" t="n">
        <v>0</v>
      </c>
      <c r="W17" s="52" t="s">
        <v>80</v>
      </c>
      <c r="X17" s="52"/>
      <c r="Y17" s="52" t="s">
        <v>117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123</v>
      </c>
      <c r="B18" s="50" t="s">
        <v>124</v>
      </c>
      <c r="C18" s="50" t="s">
        <v>125</v>
      </c>
      <c r="D18" s="50" t="s">
        <v>91</v>
      </c>
      <c r="E18" s="51" t="n">
        <v>0</v>
      </c>
      <c r="F18" s="52"/>
      <c r="G18" s="52"/>
      <c r="H18" s="52"/>
      <c r="I18" s="53" t="n">
        <v>46228</v>
      </c>
      <c r="J18" s="53" t="n">
        <v>46231</v>
      </c>
      <c r="K18" s="52"/>
      <c r="L18" s="52"/>
      <c r="M18" s="54" t="s">
        <v>126</v>
      </c>
      <c r="N18" s="55" t="n">
        <v>46314</v>
      </c>
      <c r="O18" s="55" t="n">
        <v>46314</v>
      </c>
      <c r="P18" s="50" t="s">
        <v>75</v>
      </c>
      <c r="Q18" s="52" t="n">
        <v>83</v>
      </c>
      <c r="R18" s="52"/>
      <c r="S18" s="52" t="n">
        <v>2</v>
      </c>
      <c r="T18" s="52" t="s">
        <v>76</v>
      </c>
      <c r="U18" s="52"/>
      <c r="V18" s="56" t="n">
        <v>0</v>
      </c>
      <c r="W18" s="50" t="s">
        <v>86</v>
      </c>
      <c r="X18" s="52"/>
      <c r="Y18" s="52" t="s">
        <v>117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127</v>
      </c>
      <c r="B19" s="50" t="s">
        <v>128</v>
      </c>
      <c r="C19" s="50" t="s">
        <v>129</v>
      </c>
      <c r="D19" s="50" t="s">
        <v>91</v>
      </c>
      <c r="E19" s="51" t="n">
        <v>0</v>
      </c>
      <c r="F19" s="52"/>
      <c r="G19" s="52"/>
      <c r="H19" s="52"/>
      <c r="I19" s="53" t="n">
        <v>46230</v>
      </c>
      <c r="J19" s="53" t="n">
        <v>46235</v>
      </c>
      <c r="K19" s="52"/>
      <c r="L19" s="52"/>
      <c r="M19" s="54" t="s">
        <v>130</v>
      </c>
      <c r="N19" s="55" t="n">
        <v>46314</v>
      </c>
      <c r="O19" s="55" t="n">
        <v>46314</v>
      </c>
      <c r="P19" s="50" t="s">
        <v>75</v>
      </c>
      <c r="Q19" s="52" t="n">
        <v>79</v>
      </c>
      <c r="R19" s="52"/>
      <c r="S19" s="52" t="n">
        <v>2</v>
      </c>
      <c r="T19" s="52" t="s">
        <v>76</v>
      </c>
      <c r="U19" s="52"/>
      <c r="V19" s="56" t="n">
        <v>0</v>
      </c>
      <c r="W19" s="50" t="s">
        <v>86</v>
      </c>
      <c r="X19" s="52"/>
      <c r="Y19" s="52" t="s">
        <v>117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131</v>
      </c>
      <c r="B20" s="50" t="s">
        <v>132</v>
      </c>
      <c r="C20" s="50" t="s">
        <v>133</v>
      </c>
      <c r="D20" s="50" t="s">
        <v>91</v>
      </c>
      <c r="E20" s="51" t="n">
        <v>0</v>
      </c>
      <c r="F20" s="52"/>
      <c r="G20" s="52"/>
      <c r="H20" s="52"/>
      <c r="I20" s="53" t="n">
        <v>46230</v>
      </c>
      <c r="J20" s="53" t="n">
        <v>46235</v>
      </c>
      <c r="K20" s="52"/>
      <c r="L20" s="52"/>
      <c r="M20" s="54" t="s">
        <v>134</v>
      </c>
      <c r="N20" s="55" t="n">
        <v>46314</v>
      </c>
      <c r="O20" s="55" t="n">
        <v>46314</v>
      </c>
      <c r="P20" s="50" t="s">
        <v>75</v>
      </c>
      <c r="Q20" s="52" t="n">
        <v>79</v>
      </c>
      <c r="R20" s="52"/>
      <c r="S20" s="52" t="n">
        <v>2</v>
      </c>
      <c r="T20" s="52" t="s">
        <v>76</v>
      </c>
      <c r="U20" s="52"/>
      <c r="V20" s="56" t="n">
        <v>0</v>
      </c>
      <c r="W20" s="50" t="s">
        <v>86</v>
      </c>
      <c r="X20" s="52"/>
      <c r="Y20" s="52" t="s">
        <v>117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135</v>
      </c>
      <c r="B21" s="50" t="s">
        <v>136</v>
      </c>
      <c r="C21" s="50" t="s">
        <v>137</v>
      </c>
      <c r="D21" s="50" t="s">
        <v>91</v>
      </c>
      <c r="E21" s="51" t="n">
        <v>0</v>
      </c>
      <c r="F21" s="52"/>
      <c r="G21" s="52"/>
      <c r="H21" s="52"/>
      <c r="I21" s="53" t="n">
        <v>46231</v>
      </c>
      <c r="J21" s="53" t="n">
        <v>46236</v>
      </c>
      <c r="K21" s="52"/>
      <c r="L21" s="52"/>
      <c r="M21" s="54" t="s">
        <v>138</v>
      </c>
      <c r="N21" s="55" t="n">
        <v>46314</v>
      </c>
      <c r="O21" s="55" t="n">
        <v>46314</v>
      </c>
      <c r="P21" s="50" t="s">
        <v>75</v>
      </c>
      <c r="Q21" s="52" t="n">
        <v>78</v>
      </c>
      <c r="R21" s="52"/>
      <c r="S21" s="52" t="n">
        <v>2</v>
      </c>
      <c r="T21" s="52" t="s">
        <v>76</v>
      </c>
      <c r="U21" s="52"/>
      <c r="V21" s="56" t="n">
        <v>0</v>
      </c>
      <c r="W21" s="50" t="s">
        <v>86</v>
      </c>
      <c r="X21" s="52"/>
      <c r="Y21" s="52" t="s">
        <v>117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139</v>
      </c>
      <c r="B22" s="50" t="s">
        <v>140</v>
      </c>
      <c r="C22" s="50" t="s">
        <v>141</v>
      </c>
      <c r="D22" s="50" t="s">
        <v>91</v>
      </c>
      <c r="E22" s="51" t="n">
        <v>0</v>
      </c>
      <c r="F22" s="52"/>
      <c r="G22" s="52"/>
      <c r="H22" s="52"/>
      <c r="I22" s="53" t="n">
        <v>46233</v>
      </c>
      <c r="J22" s="53" t="n">
        <v>46237</v>
      </c>
      <c r="K22" s="52"/>
      <c r="L22" s="52"/>
      <c r="M22" s="54" t="s">
        <v>142</v>
      </c>
      <c r="N22" s="55" t="n">
        <v>46314</v>
      </c>
      <c r="O22" s="55" t="n">
        <v>46314</v>
      </c>
      <c r="P22" s="50" t="s">
        <v>75</v>
      </c>
      <c r="Q22" s="52" t="n">
        <v>77</v>
      </c>
      <c r="R22" s="52"/>
      <c r="S22" s="52" t="n">
        <v>2</v>
      </c>
      <c r="T22" s="52" t="s">
        <v>76</v>
      </c>
      <c r="U22" s="52"/>
      <c r="V22" s="56" t="n">
        <v>0</v>
      </c>
      <c r="W22" s="50" t="s">
        <v>86</v>
      </c>
      <c r="X22" s="52"/>
      <c r="Y22" s="52" t="s">
        <v>117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143</v>
      </c>
      <c r="B23" s="50" t="s">
        <v>144</v>
      </c>
      <c r="C23" s="50" t="s">
        <v>145</v>
      </c>
      <c r="D23" s="50" t="s">
        <v>91</v>
      </c>
      <c r="E23" s="51" t="n">
        <v>0</v>
      </c>
      <c r="F23" s="52"/>
      <c r="G23" s="52"/>
      <c r="H23" s="52"/>
      <c r="I23" s="53" t="n">
        <v>46233</v>
      </c>
      <c r="J23" s="53" t="n">
        <v>46238</v>
      </c>
      <c r="K23" s="52"/>
      <c r="L23" s="52"/>
      <c r="M23" s="54" t="s">
        <v>146</v>
      </c>
      <c r="N23" s="55" t="n">
        <v>46314</v>
      </c>
      <c r="O23" s="55" t="n">
        <v>46314</v>
      </c>
      <c r="P23" s="50" t="s">
        <v>75</v>
      </c>
      <c r="Q23" s="52" t="n">
        <v>76</v>
      </c>
      <c r="R23" s="52"/>
      <c r="S23" s="52" t="n">
        <v>2</v>
      </c>
      <c r="T23" s="52" t="s">
        <v>76</v>
      </c>
      <c r="U23" s="52"/>
      <c r="V23" s="56" t="n">
        <v>0</v>
      </c>
      <c r="W23" s="50" t="s">
        <v>86</v>
      </c>
      <c r="X23" s="52"/>
      <c r="Y23" s="52" t="s">
        <v>117</v>
      </c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147</v>
      </c>
      <c r="B24" s="50" t="s">
        <v>148</v>
      </c>
      <c r="C24" s="50" t="s">
        <v>149</v>
      </c>
      <c r="D24" s="50" t="s">
        <v>91</v>
      </c>
      <c r="E24" s="51" t="n">
        <v>0</v>
      </c>
      <c r="F24" s="52"/>
      <c r="G24" s="52"/>
      <c r="H24" s="52"/>
      <c r="I24" s="53" t="n">
        <v>46234</v>
      </c>
      <c r="J24" s="53" t="n">
        <v>46238</v>
      </c>
      <c r="K24" s="52"/>
      <c r="L24" s="52"/>
      <c r="M24" s="54" t="s">
        <v>150</v>
      </c>
      <c r="N24" s="55" t="n">
        <v>46314</v>
      </c>
      <c r="O24" s="55" t="n">
        <v>46314</v>
      </c>
      <c r="P24" s="50" t="s">
        <v>75</v>
      </c>
      <c r="Q24" s="52" t="n">
        <v>76</v>
      </c>
      <c r="R24" s="52"/>
      <c r="S24" s="52" t="n">
        <v>2</v>
      </c>
      <c r="T24" s="52" t="s">
        <v>76</v>
      </c>
      <c r="U24" s="52"/>
      <c r="V24" s="56" t="n">
        <v>0</v>
      </c>
      <c r="W24" s="50" t="s">
        <v>86</v>
      </c>
      <c r="X24" s="52"/>
      <c r="Y24" s="52" t="s">
        <v>117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151</v>
      </c>
      <c r="B25" s="39" t="s">
        <v>152</v>
      </c>
      <c r="C25" s="38" t="s">
        <v>153</v>
      </c>
      <c r="D25" s="39" t="s">
        <v>114</v>
      </c>
      <c r="E25" s="40" t="n">
        <v>0</v>
      </c>
      <c r="F25" s="39" t="s">
        <v>154</v>
      </c>
      <c r="G25" s="37"/>
      <c r="H25" s="37" t="n">
        <v>1</v>
      </c>
      <c r="I25" s="41" t="n">
        <v>46232</v>
      </c>
      <c r="J25" s="41" t="n">
        <v>46232</v>
      </c>
      <c r="K25" s="42"/>
      <c r="L25" s="42" t="n">
        <v>46258</v>
      </c>
      <c r="M25" s="43"/>
      <c r="N25" s="44" t="n">
        <v>46258</v>
      </c>
      <c r="O25" s="45" t="n">
        <v>46258</v>
      </c>
      <c r="P25" s="46" t="s">
        <v>60</v>
      </c>
      <c r="Q25" s="37" t="n">
        <v>26</v>
      </c>
      <c r="R25" s="39"/>
      <c r="S25" s="39" t="n">
        <v>1</v>
      </c>
      <c r="T25" s="39" t="s">
        <v>155</v>
      </c>
      <c r="U25" s="39"/>
      <c r="V25" s="47" t="n">
        <v>1</v>
      </c>
      <c r="W25" s="38" t="s">
        <v>80</v>
      </c>
      <c r="X25" s="39" t="s">
        <v>156</v>
      </c>
      <c r="Y25" s="38" t="s">
        <v>157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158</v>
      </c>
      <c r="B26" s="50" t="s">
        <v>159</v>
      </c>
      <c r="C26" s="50" t="s">
        <v>160</v>
      </c>
      <c r="D26" s="52" t="s">
        <v>121</v>
      </c>
      <c r="E26" s="51" t="n">
        <v>0</v>
      </c>
      <c r="F26" s="52"/>
      <c r="G26" s="52"/>
      <c r="H26" s="52"/>
      <c r="I26" s="53" t="n">
        <v>46232</v>
      </c>
      <c r="J26" s="53" t="n">
        <v>46232</v>
      </c>
      <c r="K26" s="52"/>
      <c r="L26" s="52"/>
      <c r="M26" s="54" t="s">
        <v>161</v>
      </c>
      <c r="N26" s="55" t="n">
        <v>46258</v>
      </c>
      <c r="O26" s="55" t="n">
        <v>46258</v>
      </c>
      <c r="P26" s="50" t="s">
        <v>162</v>
      </c>
      <c r="Q26" s="52" t="n">
        <v>26</v>
      </c>
      <c r="R26" s="52"/>
      <c r="S26" s="52" t="n">
        <v>2</v>
      </c>
      <c r="T26" s="52" t="s">
        <v>163</v>
      </c>
      <c r="U26" s="52"/>
      <c r="V26" s="56" t="n">
        <v>1</v>
      </c>
      <c r="W26" s="50" t="s">
        <v>86</v>
      </c>
      <c r="X26" s="52"/>
      <c r="Y26" s="52" t="s">
        <v>157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164</v>
      </c>
      <c r="B27" s="50" t="s">
        <v>165</v>
      </c>
      <c r="C27" s="50" t="s">
        <v>166</v>
      </c>
      <c r="D27" s="52" t="s">
        <v>121</v>
      </c>
      <c r="E27" s="51" t="n">
        <v>0</v>
      </c>
      <c r="F27" s="52"/>
      <c r="G27" s="52"/>
      <c r="H27" s="52"/>
      <c r="I27" s="53" t="n">
        <v>46232</v>
      </c>
      <c r="J27" s="53" t="n">
        <v>46232</v>
      </c>
      <c r="K27" s="52"/>
      <c r="L27" s="52"/>
      <c r="M27" s="54" t="s">
        <v>167</v>
      </c>
      <c r="N27" s="55" t="n">
        <v>46258</v>
      </c>
      <c r="O27" s="55" t="n">
        <v>46258</v>
      </c>
      <c r="P27" s="50" t="s">
        <v>162</v>
      </c>
      <c r="Q27" s="52" t="n">
        <v>26</v>
      </c>
      <c r="R27" s="52"/>
      <c r="S27" s="52" t="n">
        <v>2</v>
      </c>
      <c r="T27" s="52" t="s">
        <v>163</v>
      </c>
      <c r="U27" s="52"/>
      <c r="V27" s="56" t="n">
        <v>1</v>
      </c>
      <c r="W27" s="52" t="s">
        <v>80</v>
      </c>
      <c r="X27" s="52"/>
      <c r="Y27" s="52" t="s">
        <v>157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168</v>
      </c>
      <c r="B28" s="50" t="s">
        <v>169</v>
      </c>
      <c r="C28" s="50" t="s">
        <v>170</v>
      </c>
      <c r="D28" s="50" t="s">
        <v>86</v>
      </c>
      <c r="E28" s="51" t="n">
        <v>0</v>
      </c>
      <c r="F28" s="52"/>
      <c r="G28" s="52"/>
      <c r="H28" s="52"/>
      <c r="I28" s="53" t="n">
        <v>46232</v>
      </c>
      <c r="J28" s="53" t="n">
        <v>46232</v>
      </c>
      <c r="K28" s="52"/>
      <c r="L28" s="52"/>
      <c r="M28" s="54" t="s">
        <v>171</v>
      </c>
      <c r="N28" s="55" t="n">
        <v>46258</v>
      </c>
      <c r="O28" s="55" t="n">
        <v>46258</v>
      </c>
      <c r="P28" s="50" t="s">
        <v>162</v>
      </c>
      <c r="Q28" s="52" t="n">
        <v>26</v>
      </c>
      <c r="R28" s="52"/>
      <c r="S28" s="52" t="n">
        <v>2</v>
      </c>
      <c r="T28" s="52" t="s">
        <v>163</v>
      </c>
      <c r="U28" s="52"/>
      <c r="V28" s="56" t="n">
        <v>1</v>
      </c>
      <c r="W28" s="52" t="s">
        <v>80</v>
      </c>
      <c r="X28" s="52"/>
      <c r="Y28" s="52" t="s">
        <v>157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172</v>
      </c>
      <c r="B29" s="31" t="s">
        <v>173</v>
      </c>
      <c r="C29" s="31"/>
      <c r="D29" s="31"/>
      <c r="E29" s="32" t="n">
        <v>5</v>
      </c>
      <c r="F29" s="31"/>
      <c r="G29" s="31"/>
      <c r="H29" s="31"/>
      <c r="I29" s="33" t="n">
        <v>46208</v>
      </c>
      <c r="J29" s="33" t="n">
        <v>46316</v>
      </c>
      <c r="K29" s="31"/>
      <c r="L29" s="31"/>
      <c r="M29" s="31"/>
      <c r="N29" s="33" t="n">
        <v>46215</v>
      </c>
      <c r="O29" s="33" t="n">
        <v>46413</v>
      </c>
      <c r="P29" s="34" t="s">
        <v>75</v>
      </c>
      <c r="Q29" s="31" t="n">
        <v>97</v>
      </c>
      <c r="R29" s="31"/>
      <c r="S29" s="31" t="n">
        <v>0</v>
      </c>
      <c r="T29" s="31" t="s">
        <v>76</v>
      </c>
      <c r="U29" s="31"/>
      <c r="V29" s="35" t="n">
        <v>0.6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174</v>
      </c>
      <c r="B30" s="38" t="s">
        <v>175</v>
      </c>
      <c r="C30" s="39"/>
      <c r="D30" s="39" t="s">
        <v>79</v>
      </c>
      <c r="E30" s="40" t="n">
        <v>0.5</v>
      </c>
      <c r="F30" s="39" t="s">
        <v>176</v>
      </c>
      <c r="G30" s="37"/>
      <c r="H30" s="37" t="n">
        <v>1</v>
      </c>
      <c r="I30" s="41" t="n">
        <v>46208</v>
      </c>
      <c r="J30" s="41" t="n">
        <v>46208</v>
      </c>
      <c r="K30" s="42"/>
      <c r="L30" s="42"/>
      <c r="M30" s="43"/>
      <c r="N30" s="44" t="n">
        <v>46314</v>
      </c>
      <c r="O30" s="45" t="n">
        <v>46314</v>
      </c>
      <c r="P30" s="46" t="s">
        <v>75</v>
      </c>
      <c r="Q30" s="37" t="n">
        <v>106</v>
      </c>
      <c r="R30" s="39"/>
      <c r="S30" s="39" t="n">
        <v>1</v>
      </c>
      <c r="T30" s="39" t="s">
        <v>76</v>
      </c>
      <c r="U30" s="57" t="n">
        <v>46314.003</v>
      </c>
      <c r="V30" s="47" t="n">
        <v>0</v>
      </c>
      <c r="W30" s="38" t="s">
        <v>80</v>
      </c>
      <c r="X30" s="39" t="s">
        <v>177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178</v>
      </c>
      <c r="B31" s="50" t="s">
        <v>179</v>
      </c>
      <c r="C31" s="50" t="s">
        <v>180</v>
      </c>
      <c r="D31" s="50" t="s">
        <v>86</v>
      </c>
      <c r="E31" s="51" t="n">
        <v>0.2</v>
      </c>
      <c r="F31" s="52"/>
      <c r="G31" s="52"/>
      <c r="H31" s="52"/>
      <c r="I31" s="53" t="n">
        <v>46208</v>
      </c>
      <c r="J31" s="53" t="n">
        <v>46208</v>
      </c>
      <c r="K31" s="52"/>
      <c r="L31" s="52"/>
      <c r="M31" s="54" t="s">
        <v>181</v>
      </c>
      <c r="N31" s="55" t="n">
        <v>46314</v>
      </c>
      <c r="O31" s="55" t="n">
        <v>46314</v>
      </c>
      <c r="P31" s="50" t="s">
        <v>75</v>
      </c>
      <c r="Q31" s="52" t="n">
        <v>106</v>
      </c>
      <c r="R31" s="52"/>
      <c r="S31" s="52" t="n">
        <v>2</v>
      </c>
      <c r="T31" s="52" t="s">
        <v>76</v>
      </c>
      <c r="U31" s="52"/>
      <c r="V31" s="56" t="n">
        <v>0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182</v>
      </c>
      <c r="B32" s="50" t="s">
        <v>183</v>
      </c>
      <c r="C32" s="50" t="s">
        <v>184</v>
      </c>
      <c r="D32" s="52" t="s">
        <v>121</v>
      </c>
      <c r="E32" s="51" t="n">
        <v>0.1</v>
      </c>
      <c r="F32" s="52"/>
      <c r="G32" s="52"/>
      <c r="H32" s="52"/>
      <c r="I32" s="53" t="n">
        <v>46208</v>
      </c>
      <c r="J32" s="53" t="n">
        <v>46208</v>
      </c>
      <c r="K32" s="52"/>
      <c r="L32" s="52"/>
      <c r="M32" s="54" t="s">
        <v>185</v>
      </c>
      <c r="N32" s="55" t="n">
        <v>46314</v>
      </c>
      <c r="O32" s="55" t="n">
        <v>46314</v>
      </c>
      <c r="P32" s="50" t="s">
        <v>75</v>
      </c>
      <c r="Q32" s="52" t="n">
        <v>106</v>
      </c>
      <c r="R32" s="52"/>
      <c r="S32" s="52" t="n">
        <v>2</v>
      </c>
      <c r="T32" s="52" t="s">
        <v>76</v>
      </c>
      <c r="U32" s="52"/>
      <c r="V32" s="56" t="n">
        <v>0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186</v>
      </c>
      <c r="B33" s="50" t="s">
        <v>187</v>
      </c>
      <c r="C33" s="50" t="s">
        <v>188</v>
      </c>
      <c r="D33" s="50" t="s">
        <v>86</v>
      </c>
      <c r="E33" s="51" t="n">
        <v>0.2</v>
      </c>
      <c r="F33" s="52"/>
      <c r="G33" s="52"/>
      <c r="H33" s="52"/>
      <c r="I33" s="53" t="n">
        <v>46208</v>
      </c>
      <c r="J33" s="53" t="n">
        <v>46208</v>
      </c>
      <c r="K33" s="52"/>
      <c r="L33" s="52"/>
      <c r="M33" s="54" t="s">
        <v>189</v>
      </c>
      <c r="N33" s="55" t="n">
        <v>46314</v>
      </c>
      <c r="O33" s="55" t="n">
        <v>46314</v>
      </c>
      <c r="P33" s="50" t="s">
        <v>75</v>
      </c>
      <c r="Q33" s="52" t="n">
        <v>106</v>
      </c>
      <c r="R33" s="52"/>
      <c r="S33" s="52" t="n">
        <v>2</v>
      </c>
      <c r="T33" s="52" t="s">
        <v>76</v>
      </c>
      <c r="U33" s="52"/>
      <c r="V33" s="56" t="n">
        <v>0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190</v>
      </c>
      <c r="B34" s="38" t="s">
        <v>191</v>
      </c>
      <c r="C34" s="39"/>
      <c r="D34" s="39" t="s">
        <v>79</v>
      </c>
      <c r="E34" s="40" t="n">
        <v>1</v>
      </c>
      <c r="F34" s="39" t="s">
        <v>192</v>
      </c>
      <c r="G34" s="37"/>
      <c r="H34" s="37" t="n">
        <v>10</v>
      </c>
      <c r="I34" s="41" t="n">
        <v>46215</v>
      </c>
      <c r="J34" s="41" t="n">
        <v>46224</v>
      </c>
      <c r="K34" s="42"/>
      <c r="L34" s="42"/>
      <c r="M34" s="43"/>
      <c r="N34" s="44" t="n">
        <v>46314</v>
      </c>
      <c r="O34" s="45" t="n">
        <v>46314</v>
      </c>
      <c r="P34" s="46" t="s">
        <v>75</v>
      </c>
      <c r="Q34" s="37" t="n">
        <v>90</v>
      </c>
      <c r="R34" s="39"/>
      <c r="S34" s="39" t="n">
        <v>1</v>
      </c>
      <c r="T34" s="39" t="s">
        <v>76</v>
      </c>
      <c r="U34" s="57" t="n">
        <v>46314.0034</v>
      </c>
      <c r="V34" s="47" t="n">
        <v>0</v>
      </c>
      <c r="W34" s="38" t="s">
        <v>80</v>
      </c>
      <c r="X34" s="38" t="s">
        <v>193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194</v>
      </c>
      <c r="B35" s="52" t="s">
        <v>195</v>
      </c>
      <c r="C35" s="52" t="s">
        <v>196</v>
      </c>
      <c r="D35" s="50" t="s">
        <v>86</v>
      </c>
      <c r="E35" s="51" t="n">
        <v>0.3</v>
      </c>
      <c r="F35" s="52"/>
      <c r="G35" s="52"/>
      <c r="H35" s="52"/>
      <c r="I35" s="53" t="n">
        <v>46215</v>
      </c>
      <c r="J35" s="53" t="n">
        <v>46219</v>
      </c>
      <c r="K35" s="52"/>
      <c r="L35" s="52"/>
      <c r="M35" s="54" t="s">
        <v>197</v>
      </c>
      <c r="N35" s="55" t="n">
        <v>46314</v>
      </c>
      <c r="O35" s="55" t="n">
        <v>46314</v>
      </c>
      <c r="P35" s="50" t="s">
        <v>75</v>
      </c>
      <c r="Q35" s="52" t="n">
        <v>95</v>
      </c>
      <c r="R35" s="52"/>
      <c r="S35" s="52" t="n">
        <v>2</v>
      </c>
      <c r="T35" s="52" t="s">
        <v>76</v>
      </c>
      <c r="U35" s="52"/>
      <c r="V35" s="56" t="n">
        <v>0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198</v>
      </c>
      <c r="B36" s="50" t="s">
        <v>199</v>
      </c>
      <c r="C36" s="50" t="s">
        <v>200</v>
      </c>
      <c r="D36" s="50" t="s">
        <v>86</v>
      </c>
      <c r="E36" s="51" t="n">
        <v>0.3</v>
      </c>
      <c r="F36" s="52"/>
      <c r="G36" s="52"/>
      <c r="H36" s="52"/>
      <c r="I36" s="53" t="n">
        <v>46215</v>
      </c>
      <c r="J36" s="53" t="n">
        <v>46220</v>
      </c>
      <c r="K36" s="52"/>
      <c r="L36" s="52"/>
      <c r="M36" s="54" t="s">
        <v>201</v>
      </c>
      <c r="N36" s="55" t="n">
        <v>46314</v>
      </c>
      <c r="O36" s="55" t="n">
        <v>46314</v>
      </c>
      <c r="P36" s="50" t="s">
        <v>75</v>
      </c>
      <c r="Q36" s="52" t="n">
        <v>94</v>
      </c>
      <c r="R36" s="52"/>
      <c r="S36" s="52" t="n">
        <v>2</v>
      </c>
      <c r="T36" s="52" t="s">
        <v>76</v>
      </c>
      <c r="U36" s="52"/>
      <c r="V36" s="56" t="n">
        <v>0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202</v>
      </c>
      <c r="B37" s="50" t="s">
        <v>203</v>
      </c>
      <c r="C37" s="50" t="s">
        <v>204</v>
      </c>
      <c r="D37" s="50" t="s">
        <v>86</v>
      </c>
      <c r="E37" s="51" t="n">
        <v>0.1</v>
      </c>
      <c r="F37" s="52"/>
      <c r="G37" s="52"/>
      <c r="H37" s="52"/>
      <c r="I37" s="53" t="n">
        <v>46218</v>
      </c>
      <c r="J37" s="53" t="n">
        <v>46221</v>
      </c>
      <c r="K37" s="52"/>
      <c r="L37" s="52"/>
      <c r="M37" s="54" t="s">
        <v>205</v>
      </c>
      <c r="N37" s="55" t="n">
        <v>46314</v>
      </c>
      <c r="O37" s="55" t="n">
        <v>46314</v>
      </c>
      <c r="P37" s="50" t="s">
        <v>75</v>
      </c>
      <c r="Q37" s="52" t="n">
        <v>93</v>
      </c>
      <c r="R37" s="52"/>
      <c r="S37" s="52" t="n">
        <v>2</v>
      </c>
      <c r="T37" s="52" t="s">
        <v>76</v>
      </c>
      <c r="U37" s="52"/>
      <c r="V37" s="56" t="n">
        <v>0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206</v>
      </c>
      <c r="B38" s="50" t="s">
        <v>207</v>
      </c>
      <c r="C38" s="50" t="s">
        <v>208</v>
      </c>
      <c r="D38" s="50" t="s">
        <v>86</v>
      </c>
      <c r="E38" s="51" t="n">
        <v>0.3</v>
      </c>
      <c r="F38" s="52"/>
      <c r="G38" s="52"/>
      <c r="H38" s="52"/>
      <c r="I38" s="53" t="n">
        <v>46220</v>
      </c>
      <c r="J38" s="53" t="n">
        <v>46224</v>
      </c>
      <c r="K38" s="52"/>
      <c r="L38" s="52"/>
      <c r="M38" s="54" t="s">
        <v>209</v>
      </c>
      <c r="N38" s="55" t="n">
        <v>46314</v>
      </c>
      <c r="O38" s="55" t="n">
        <v>46314</v>
      </c>
      <c r="P38" s="50" t="s">
        <v>75</v>
      </c>
      <c r="Q38" s="52" t="n">
        <v>90</v>
      </c>
      <c r="R38" s="52"/>
      <c r="S38" s="52" t="n">
        <v>2</v>
      </c>
      <c r="T38" s="52" t="s">
        <v>76</v>
      </c>
      <c r="U38" s="52"/>
      <c r="V38" s="56" t="n">
        <v>0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210</v>
      </c>
      <c r="B39" s="39" t="s">
        <v>211</v>
      </c>
      <c r="C39" s="39"/>
      <c r="D39" s="39" t="s">
        <v>79</v>
      </c>
      <c r="E39" s="40" t="n">
        <v>0.5</v>
      </c>
      <c r="F39" s="39" t="s">
        <v>212</v>
      </c>
      <c r="G39" s="37"/>
      <c r="H39" s="37" t="n">
        <v>1</v>
      </c>
      <c r="I39" s="41" t="n">
        <v>46238</v>
      </c>
      <c r="J39" s="41" t="n">
        <v>46238</v>
      </c>
      <c r="K39" s="42"/>
      <c r="L39" s="42"/>
      <c r="M39" s="43"/>
      <c r="N39" s="44" t="n">
        <v>46314</v>
      </c>
      <c r="O39" s="45" t="n">
        <v>46314</v>
      </c>
      <c r="P39" s="46" t="s">
        <v>75</v>
      </c>
      <c r="Q39" s="37" t="n">
        <v>76</v>
      </c>
      <c r="R39" s="39"/>
      <c r="S39" s="39" t="n">
        <v>1</v>
      </c>
      <c r="T39" s="39" t="s">
        <v>76</v>
      </c>
      <c r="U39" s="57" t="n">
        <v>46314.0039</v>
      </c>
      <c r="V39" s="47" t="n">
        <v>0</v>
      </c>
      <c r="W39" s="38" t="s">
        <v>80</v>
      </c>
      <c r="X39" s="39" t="s">
        <v>213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214</v>
      </c>
      <c r="B40" s="50" t="s">
        <v>215</v>
      </c>
      <c r="C40" s="50" t="s">
        <v>216</v>
      </c>
      <c r="D40" s="50" t="s">
        <v>86</v>
      </c>
      <c r="E40" s="51" t="n">
        <v>0.2</v>
      </c>
      <c r="F40" s="52"/>
      <c r="G40" s="52"/>
      <c r="H40" s="52"/>
      <c r="I40" s="53" t="n">
        <v>46238</v>
      </c>
      <c r="J40" s="53" t="n">
        <v>46238</v>
      </c>
      <c r="K40" s="52"/>
      <c r="L40" s="52"/>
      <c r="M40" s="54" t="s">
        <v>217</v>
      </c>
      <c r="N40" s="55" t="n">
        <v>46314</v>
      </c>
      <c r="O40" s="55" t="n">
        <v>46314</v>
      </c>
      <c r="P40" s="50" t="s">
        <v>75</v>
      </c>
      <c r="Q40" s="52" t="n">
        <v>76</v>
      </c>
      <c r="R40" s="52"/>
      <c r="S40" s="52" t="n">
        <v>2</v>
      </c>
      <c r="T40" s="52" t="s">
        <v>76</v>
      </c>
      <c r="U40" s="52"/>
      <c r="V40" s="56" t="n">
        <v>0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218</v>
      </c>
      <c r="B41" s="50" t="s">
        <v>219</v>
      </c>
      <c r="C41" s="52" t="s">
        <v>220</v>
      </c>
      <c r="D41" s="50" t="s">
        <v>91</v>
      </c>
      <c r="E41" s="51" t="n">
        <v>0.2</v>
      </c>
      <c r="F41" s="52"/>
      <c r="G41" s="52"/>
      <c r="H41" s="52"/>
      <c r="I41" s="53" t="n">
        <v>46238</v>
      </c>
      <c r="J41" s="53" t="n">
        <v>46238</v>
      </c>
      <c r="K41" s="52"/>
      <c r="L41" s="52"/>
      <c r="M41" s="54" t="s">
        <v>221</v>
      </c>
      <c r="N41" s="55" t="n">
        <v>46314</v>
      </c>
      <c r="O41" s="55" t="n">
        <v>46314</v>
      </c>
      <c r="P41" s="50" t="s">
        <v>75</v>
      </c>
      <c r="Q41" s="52" t="n">
        <v>76</v>
      </c>
      <c r="R41" s="52"/>
      <c r="S41" s="52" t="n">
        <v>2</v>
      </c>
      <c r="T41" s="52" t="s">
        <v>76</v>
      </c>
      <c r="U41" s="52"/>
      <c r="V41" s="56" t="n">
        <v>0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222</v>
      </c>
      <c r="B42" s="50" t="s">
        <v>223</v>
      </c>
      <c r="C42" s="52" t="s">
        <v>224</v>
      </c>
      <c r="D42" s="50" t="s">
        <v>91</v>
      </c>
      <c r="E42" s="51" t="n">
        <v>0.1</v>
      </c>
      <c r="F42" s="52"/>
      <c r="G42" s="52"/>
      <c r="H42" s="52"/>
      <c r="I42" s="53" t="n">
        <v>46238</v>
      </c>
      <c r="J42" s="53" t="n">
        <v>46238</v>
      </c>
      <c r="K42" s="52"/>
      <c r="L42" s="52"/>
      <c r="M42" s="54" t="s">
        <v>225</v>
      </c>
      <c r="N42" s="55" t="n">
        <v>46314</v>
      </c>
      <c r="O42" s="55" t="n">
        <v>46314</v>
      </c>
      <c r="P42" s="50" t="s">
        <v>75</v>
      </c>
      <c r="Q42" s="52" t="n">
        <v>76</v>
      </c>
      <c r="R42" s="52"/>
      <c r="S42" s="52" t="n">
        <v>2</v>
      </c>
      <c r="T42" s="52" t="s">
        <v>76</v>
      </c>
      <c r="U42" s="52"/>
      <c r="V42" s="56" t="n">
        <v>0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226</v>
      </c>
      <c r="B43" s="39" t="s">
        <v>227</v>
      </c>
      <c r="C43" s="39" t="s">
        <v>228</v>
      </c>
      <c r="D43" s="39" t="s">
        <v>114</v>
      </c>
      <c r="E43" s="40" t="n">
        <v>1</v>
      </c>
      <c r="F43" s="39" t="s">
        <v>229</v>
      </c>
      <c r="G43" s="37"/>
      <c r="H43" s="37" t="n">
        <v>14</v>
      </c>
      <c r="I43" s="41" t="n">
        <v>46215</v>
      </c>
      <c r="J43" s="41" t="n">
        <v>46228</v>
      </c>
      <c r="K43" s="42"/>
      <c r="L43" s="42"/>
      <c r="M43" s="43" t="s">
        <v>230</v>
      </c>
      <c r="N43" s="44" t="n">
        <v>46215</v>
      </c>
      <c r="O43" s="45" t="n">
        <v>46228</v>
      </c>
      <c r="P43" s="46" t="s">
        <v>231</v>
      </c>
      <c r="Q43" s="37" t="n">
        <v>0</v>
      </c>
      <c r="R43" s="39"/>
      <c r="S43" s="39" t="n">
        <v>1</v>
      </c>
      <c r="T43" s="39" t="s">
        <v>163</v>
      </c>
      <c r="U43" s="39"/>
      <c r="V43" s="47" t="n">
        <v>1</v>
      </c>
      <c r="W43" s="38" t="s">
        <v>80</v>
      </c>
      <c r="X43" s="39" t="s">
        <v>232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233</v>
      </c>
      <c r="B44" s="50" t="s">
        <v>234</v>
      </c>
      <c r="C44" s="50" t="s">
        <v>235</v>
      </c>
      <c r="D44" s="50" t="s">
        <v>86</v>
      </c>
      <c r="E44" s="51" t="n">
        <v>0.2</v>
      </c>
      <c r="F44" s="52"/>
      <c r="G44" s="52"/>
      <c r="H44" s="52"/>
      <c r="I44" s="53" t="n">
        <v>46215</v>
      </c>
      <c r="J44" s="53" t="n">
        <v>46218</v>
      </c>
      <c r="K44" s="52"/>
      <c r="L44" s="52"/>
      <c r="M44" s="54" t="s">
        <v>236</v>
      </c>
      <c r="N44" s="55" t="n">
        <v>46215</v>
      </c>
      <c r="O44" s="55" t="n">
        <v>46218</v>
      </c>
      <c r="P44" s="50" t="s">
        <v>162</v>
      </c>
      <c r="Q44" s="52" t="n">
        <v>0</v>
      </c>
      <c r="R44" s="52"/>
      <c r="S44" s="52" t="n">
        <v>2</v>
      </c>
      <c r="T44" s="52" t="s">
        <v>163</v>
      </c>
      <c r="U44" s="52"/>
      <c r="V44" s="56" t="n">
        <v>1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237</v>
      </c>
      <c r="B45" s="50" t="s">
        <v>238</v>
      </c>
      <c r="C45" s="50" t="s">
        <v>239</v>
      </c>
      <c r="D45" s="52" t="s">
        <v>121</v>
      </c>
      <c r="E45" s="51" t="n">
        <v>0.4</v>
      </c>
      <c r="F45" s="52"/>
      <c r="G45" s="52"/>
      <c r="H45" s="52"/>
      <c r="I45" s="53" t="n">
        <v>46216</v>
      </c>
      <c r="J45" s="53" t="n">
        <v>46221</v>
      </c>
      <c r="K45" s="52"/>
      <c r="L45" s="52"/>
      <c r="M45" s="54" t="s">
        <v>240</v>
      </c>
      <c r="N45" s="55" t="n">
        <v>46216</v>
      </c>
      <c r="O45" s="55" t="n">
        <v>46222</v>
      </c>
      <c r="P45" s="50" t="s">
        <v>162</v>
      </c>
      <c r="Q45" s="52" t="n">
        <v>1</v>
      </c>
      <c r="R45" s="52"/>
      <c r="S45" s="52" t="n">
        <v>2</v>
      </c>
      <c r="T45" s="52" t="s">
        <v>163</v>
      </c>
      <c r="U45" s="52"/>
      <c r="V45" s="56" t="n">
        <v>1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241</v>
      </c>
      <c r="B46" s="50" t="s">
        <v>242</v>
      </c>
      <c r="C46" s="50" t="s">
        <v>243</v>
      </c>
      <c r="D46" s="52" t="s">
        <v>121</v>
      </c>
      <c r="E46" s="51" t="n">
        <v>0.4</v>
      </c>
      <c r="F46" s="52"/>
      <c r="G46" s="52"/>
      <c r="H46" s="52"/>
      <c r="I46" s="53" t="n">
        <v>46221</v>
      </c>
      <c r="J46" s="53" t="n">
        <v>46228</v>
      </c>
      <c r="K46" s="52"/>
      <c r="L46" s="52"/>
      <c r="M46" s="54" t="s">
        <v>244</v>
      </c>
      <c r="N46" s="55" t="n">
        <v>46222</v>
      </c>
      <c r="O46" s="55" t="n">
        <v>46228</v>
      </c>
      <c r="P46" s="50" t="s">
        <v>162</v>
      </c>
      <c r="Q46" s="52" t="n">
        <v>0</v>
      </c>
      <c r="R46" s="52"/>
      <c r="S46" s="52" t="n">
        <v>2</v>
      </c>
      <c r="T46" s="52" t="s">
        <v>163</v>
      </c>
      <c r="U46" s="52"/>
      <c r="V46" s="56" t="n">
        <v>1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245</v>
      </c>
      <c r="B47" s="39" t="s">
        <v>246</v>
      </c>
      <c r="C47" s="39"/>
      <c r="D47" s="39" t="s">
        <v>114</v>
      </c>
      <c r="E47" s="40" t="n">
        <v>1</v>
      </c>
      <c r="F47" s="38" t="s">
        <v>247</v>
      </c>
      <c r="G47" s="37"/>
      <c r="H47" s="37" t="n">
        <v>1</v>
      </c>
      <c r="I47" s="41" t="n">
        <v>46271</v>
      </c>
      <c r="J47" s="41" t="n">
        <v>46271</v>
      </c>
      <c r="K47" s="42"/>
      <c r="L47" s="42" t="n">
        <v>46295</v>
      </c>
      <c r="M47" s="43"/>
      <c r="N47" s="44" t="n">
        <v>46295</v>
      </c>
      <c r="O47" s="45" t="n">
        <v>46295</v>
      </c>
      <c r="P47" s="46" t="s">
        <v>60</v>
      </c>
      <c r="Q47" s="37" t="n">
        <v>24</v>
      </c>
      <c r="R47" s="39"/>
      <c r="S47" s="39" t="n">
        <v>1</v>
      </c>
      <c r="T47" s="39" t="s">
        <v>155</v>
      </c>
      <c r="U47" s="39"/>
      <c r="V47" s="47" t="n">
        <v>1</v>
      </c>
      <c r="W47" s="38" t="s">
        <v>80</v>
      </c>
      <c r="X47" s="39" t="s">
        <v>248</v>
      </c>
      <c r="Y47" s="38" t="s">
        <v>249</v>
      </c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250</v>
      </c>
      <c r="B48" s="52" t="s">
        <v>251</v>
      </c>
      <c r="C48" s="52" t="s">
        <v>252</v>
      </c>
      <c r="D48" s="52" t="s">
        <v>121</v>
      </c>
      <c r="E48" s="51" t="n">
        <v>0.2</v>
      </c>
      <c r="F48" s="52"/>
      <c r="G48" s="52"/>
      <c r="H48" s="52"/>
      <c r="I48" s="53" t="n">
        <v>46271</v>
      </c>
      <c r="J48" s="53" t="n">
        <v>46271</v>
      </c>
      <c r="K48" s="52"/>
      <c r="L48" s="52"/>
      <c r="M48" s="54" t="s">
        <v>253</v>
      </c>
      <c r="N48" s="55" t="n">
        <v>46295</v>
      </c>
      <c r="O48" s="55" t="n">
        <v>46295</v>
      </c>
      <c r="P48" s="50" t="s">
        <v>162</v>
      </c>
      <c r="Q48" s="52" t="n">
        <v>24</v>
      </c>
      <c r="R48" s="52"/>
      <c r="S48" s="52" t="n">
        <v>2</v>
      </c>
      <c r="T48" s="52" t="s">
        <v>163</v>
      </c>
      <c r="U48" s="52"/>
      <c r="V48" s="56" t="n">
        <v>1</v>
      </c>
      <c r="W48" s="50" t="s">
        <v>86</v>
      </c>
      <c r="X48" s="52"/>
      <c r="Y48" s="52" t="s">
        <v>249</v>
      </c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254</v>
      </c>
      <c r="B49" s="50" t="s">
        <v>255</v>
      </c>
      <c r="C49" s="50" t="s">
        <v>256</v>
      </c>
      <c r="D49" s="52" t="s">
        <v>121</v>
      </c>
      <c r="E49" s="51" t="n">
        <v>0.4</v>
      </c>
      <c r="F49" s="52"/>
      <c r="G49" s="52"/>
      <c r="H49" s="52"/>
      <c r="I49" s="53" t="n">
        <v>46271</v>
      </c>
      <c r="J49" s="53" t="n">
        <v>46271</v>
      </c>
      <c r="K49" s="52"/>
      <c r="L49" s="52"/>
      <c r="M49" s="54" t="s">
        <v>257</v>
      </c>
      <c r="N49" s="55" t="n">
        <v>46295</v>
      </c>
      <c r="O49" s="55" t="n">
        <v>46295</v>
      </c>
      <c r="P49" s="50" t="s">
        <v>162</v>
      </c>
      <c r="Q49" s="52" t="n">
        <v>24</v>
      </c>
      <c r="R49" s="52"/>
      <c r="S49" s="52" t="n">
        <v>2</v>
      </c>
      <c r="T49" s="52" t="s">
        <v>163</v>
      </c>
      <c r="U49" s="52"/>
      <c r="V49" s="56" t="n">
        <v>1</v>
      </c>
      <c r="W49" s="52" t="s">
        <v>80</v>
      </c>
      <c r="X49" s="52"/>
      <c r="Y49" s="52" t="s">
        <v>249</v>
      </c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258</v>
      </c>
      <c r="B50" s="39" t="s">
        <v>259</v>
      </c>
      <c r="C50" s="39"/>
      <c r="D50" s="39" t="s">
        <v>260</v>
      </c>
      <c r="E50" s="40" t="n">
        <v>0</v>
      </c>
      <c r="F50" s="38" t="s">
        <v>245</v>
      </c>
      <c r="G50" s="37" t="n">
        <v>0</v>
      </c>
      <c r="H50" s="58" t="n">
        <v>30</v>
      </c>
      <c r="I50" s="41" t="n">
        <v>46272</v>
      </c>
      <c r="J50" s="41" t="n">
        <v>46301</v>
      </c>
      <c r="K50" s="42"/>
      <c r="L50" s="42"/>
      <c r="M50" s="43"/>
      <c r="N50" s="44" t="n">
        <v>46314</v>
      </c>
      <c r="O50" s="45" t="n">
        <v>46343</v>
      </c>
      <c r="P50" s="46" t="s">
        <v>75</v>
      </c>
      <c r="Q50" s="37" t="n">
        <v>42</v>
      </c>
      <c r="R50" s="39"/>
      <c r="S50" s="39" t="n">
        <v>1</v>
      </c>
      <c r="T50" s="39" t="s">
        <v>76</v>
      </c>
      <c r="U50" s="57" t="n">
        <v>46314.005</v>
      </c>
      <c r="V50" s="47" t="n">
        <v>0</v>
      </c>
      <c r="W50" s="38" t="s">
        <v>80</v>
      </c>
      <c r="X50" s="39"/>
      <c r="Y50" s="38" t="s">
        <v>249</v>
      </c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261</v>
      </c>
      <c r="B51" s="50" t="s">
        <v>262</v>
      </c>
      <c r="C51" s="50" t="s">
        <v>263</v>
      </c>
      <c r="D51" s="52" t="s">
        <v>121</v>
      </c>
      <c r="E51" s="51" t="n">
        <v>0.4</v>
      </c>
      <c r="F51" s="52"/>
      <c r="G51" s="52"/>
      <c r="H51" s="52"/>
      <c r="I51" s="53" t="n">
        <v>46271</v>
      </c>
      <c r="J51" s="53" t="n">
        <v>46271</v>
      </c>
      <c r="K51" s="52"/>
      <c r="L51" s="52"/>
      <c r="M51" s="54" t="s">
        <v>264</v>
      </c>
      <c r="N51" s="55" t="n">
        <v>46295</v>
      </c>
      <c r="O51" s="55" t="n">
        <v>46295</v>
      </c>
      <c r="P51" s="50" t="s">
        <v>162</v>
      </c>
      <c r="Q51" s="52" t="n">
        <v>24</v>
      </c>
      <c r="R51" s="52"/>
      <c r="S51" s="52" t="n">
        <v>2</v>
      </c>
      <c r="T51" s="52" t="s">
        <v>163</v>
      </c>
      <c r="U51" s="52"/>
      <c r="V51" s="56" t="n">
        <v>1</v>
      </c>
      <c r="W51" s="52" t="s">
        <v>80</v>
      </c>
      <c r="X51" s="52"/>
      <c r="Y51" s="52" t="s">
        <v>249</v>
      </c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265</v>
      </c>
      <c r="B52" s="38" t="s">
        <v>266</v>
      </c>
      <c r="C52" s="39"/>
      <c r="D52" s="39" t="s">
        <v>114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267</v>
      </c>
      <c r="Q52" s="37"/>
      <c r="R52" s="39"/>
      <c r="S52" s="39" t="n">
        <v>1</v>
      </c>
      <c r="T52" s="39" t="s">
        <v>268</v>
      </c>
      <c r="U52" s="39"/>
      <c r="V52" s="47" t="n">
        <v>0</v>
      </c>
      <c r="W52" s="38" t="s">
        <v>80</v>
      </c>
      <c r="X52" s="39" t="s">
        <v>269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270</v>
      </c>
      <c r="B53" s="50" t="s">
        <v>271</v>
      </c>
      <c r="C53" s="50" t="s">
        <v>272</v>
      </c>
      <c r="D53" s="52" t="s">
        <v>121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273</v>
      </c>
      <c r="N53" s="55"/>
      <c r="O53" s="55"/>
      <c r="P53" s="50" t="s">
        <v>267</v>
      </c>
      <c r="Q53" s="52"/>
      <c r="R53" s="52"/>
      <c r="S53" s="52" t="n">
        <v>2</v>
      </c>
      <c r="T53" s="52" t="s">
        <v>268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274</v>
      </c>
      <c r="B54" s="50" t="s">
        <v>275</v>
      </c>
      <c r="C54" s="50" t="s">
        <v>276</v>
      </c>
      <c r="D54" s="52" t="s">
        <v>121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277</v>
      </c>
      <c r="N54" s="55"/>
      <c r="O54" s="55"/>
      <c r="P54" s="50" t="s">
        <v>267</v>
      </c>
      <c r="Q54" s="52"/>
      <c r="R54" s="52"/>
      <c r="S54" s="52" t="n">
        <v>2</v>
      </c>
      <c r="T54" s="52" t="s">
        <v>268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278</v>
      </c>
      <c r="B55" s="39" t="s">
        <v>279</v>
      </c>
      <c r="C55" s="38" t="s">
        <v>280</v>
      </c>
      <c r="D55" s="39" t="s">
        <v>114</v>
      </c>
      <c r="E55" s="40" t="n">
        <v>1</v>
      </c>
      <c r="F55" s="38" t="s">
        <v>247</v>
      </c>
      <c r="G55" s="37"/>
      <c r="H55" s="37" t="n">
        <v>1</v>
      </c>
      <c r="I55" s="41" t="n">
        <v>46271</v>
      </c>
      <c r="J55" s="41" t="n">
        <v>46271</v>
      </c>
      <c r="K55" s="42"/>
      <c r="L55" s="42" t="n">
        <v>46293</v>
      </c>
      <c r="M55" s="43"/>
      <c r="N55" s="44" t="n">
        <v>46293</v>
      </c>
      <c r="O55" s="45" t="n">
        <v>46293</v>
      </c>
      <c r="P55" s="46" t="s">
        <v>60</v>
      </c>
      <c r="Q55" s="37" t="n">
        <v>22</v>
      </c>
      <c r="R55" s="39"/>
      <c r="S55" s="39" t="n">
        <v>1</v>
      </c>
      <c r="T55" s="39" t="s">
        <v>155</v>
      </c>
      <c r="U55" s="39"/>
      <c r="V55" s="47" t="n">
        <v>1</v>
      </c>
      <c r="W55" s="38" t="s">
        <v>80</v>
      </c>
      <c r="X55" s="39"/>
      <c r="Y55" s="38" t="s">
        <v>281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282</v>
      </c>
      <c r="B56" s="39" t="s">
        <v>283</v>
      </c>
      <c r="C56" s="39"/>
      <c r="D56" s="39" t="s">
        <v>114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/>
      <c r="M56" s="43"/>
      <c r="N56" s="44"/>
      <c r="O56" s="45"/>
      <c r="P56" s="38" t="s">
        <v>267</v>
      </c>
      <c r="Q56" s="37"/>
      <c r="R56" s="39"/>
      <c r="S56" s="39" t="n">
        <v>1</v>
      </c>
      <c r="T56" s="39" t="s">
        <v>268</v>
      </c>
      <c r="U56" s="39"/>
      <c r="V56" s="47" t="n">
        <v>0</v>
      </c>
      <c r="W56" s="38" t="s">
        <v>80</v>
      </c>
      <c r="X56" s="39"/>
      <c r="Y56" s="38" t="s">
        <v>281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284</v>
      </c>
      <c r="B57" s="39" t="s">
        <v>28</v>
      </c>
      <c r="C57" s="39" t="s">
        <v>285</v>
      </c>
      <c r="D57" s="39" t="s">
        <v>286</v>
      </c>
      <c r="E57" s="40" t="n">
        <v>0</v>
      </c>
      <c r="F57" s="38" t="s">
        <v>247</v>
      </c>
      <c r="G57" s="37"/>
      <c r="H57" s="37" t="n">
        <v>21</v>
      </c>
      <c r="I57" s="41" t="n">
        <v>46272</v>
      </c>
      <c r="J57" s="41" t="n">
        <v>46292</v>
      </c>
      <c r="K57" s="42" t="n">
        <v>46293</v>
      </c>
      <c r="L57" s="42"/>
      <c r="M57" s="43"/>
      <c r="N57" s="44" t="n">
        <v>46293</v>
      </c>
      <c r="O57" s="45" t="n">
        <v>46315</v>
      </c>
      <c r="P57" s="46" t="s">
        <v>75</v>
      </c>
      <c r="Q57" s="37" t="n">
        <v>23</v>
      </c>
      <c r="R57" s="39"/>
      <c r="S57" s="39" t="n">
        <v>1</v>
      </c>
      <c r="T57" s="39" t="s">
        <v>76</v>
      </c>
      <c r="U57" s="57" t="n">
        <v>46293.0057</v>
      </c>
      <c r="V57" s="47" t="n">
        <v>0</v>
      </c>
      <c r="W57" s="38" t="s">
        <v>80</v>
      </c>
      <c r="X57" s="39"/>
      <c r="Y57" s="38" t="s">
        <v>281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287</v>
      </c>
      <c r="B58" s="39" t="s">
        <v>288</v>
      </c>
      <c r="C58" s="39"/>
      <c r="D58" s="39" t="s">
        <v>114</v>
      </c>
      <c r="E58" s="40" t="n">
        <v>0</v>
      </c>
      <c r="F58" s="38" t="s">
        <v>247</v>
      </c>
      <c r="G58" s="37"/>
      <c r="H58" s="58" t="n">
        <v>7</v>
      </c>
      <c r="I58" s="41" t="n">
        <v>46293</v>
      </c>
      <c r="J58" s="41" t="n">
        <v>46299</v>
      </c>
      <c r="K58" s="42"/>
      <c r="L58" s="42"/>
      <c r="M58" s="43"/>
      <c r="N58" s="44" t="n">
        <v>46316</v>
      </c>
      <c r="O58" s="45" t="n">
        <v>46322</v>
      </c>
      <c r="P58" s="46" t="s">
        <v>105</v>
      </c>
      <c r="Q58" s="37" t="n">
        <v>23</v>
      </c>
      <c r="R58" s="39"/>
      <c r="S58" s="39" t="n">
        <v>1</v>
      </c>
      <c r="T58" s="39" t="s">
        <v>106</v>
      </c>
      <c r="U58" s="57" t="n">
        <v>46316.0058</v>
      </c>
      <c r="V58" s="47" t="n">
        <v>0</v>
      </c>
      <c r="W58" s="38" t="s">
        <v>80</v>
      </c>
      <c r="X58" s="39"/>
      <c r="Y58" s="38" t="s">
        <v>289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290</v>
      </c>
      <c r="B59" s="39" t="s">
        <v>291</v>
      </c>
      <c r="C59" s="39"/>
      <c r="D59" s="39" t="s">
        <v>114</v>
      </c>
      <c r="E59" s="40" t="n">
        <v>0</v>
      </c>
      <c r="F59" s="38" t="s">
        <v>247</v>
      </c>
      <c r="G59" s="37"/>
      <c r="H59" s="37" t="n">
        <v>1</v>
      </c>
      <c r="I59" s="41" t="n">
        <v>46300</v>
      </c>
      <c r="J59" s="41" t="n">
        <v>46300</v>
      </c>
      <c r="K59" s="42"/>
      <c r="L59" s="42"/>
      <c r="M59" s="43"/>
      <c r="N59" s="44" t="n">
        <v>46367</v>
      </c>
      <c r="O59" s="45" t="n">
        <v>46367</v>
      </c>
      <c r="P59" s="46" t="s">
        <v>105</v>
      </c>
      <c r="Q59" s="37" t="n">
        <v>67</v>
      </c>
      <c r="R59" s="39"/>
      <c r="S59" s="39" t="n">
        <v>1</v>
      </c>
      <c r="T59" s="39" t="s">
        <v>106</v>
      </c>
      <c r="U59" s="57" t="n">
        <v>46367.0059</v>
      </c>
      <c r="V59" s="47" t="n">
        <v>0</v>
      </c>
      <c r="W59" s="39" t="s">
        <v>86</v>
      </c>
      <c r="X59" s="39"/>
      <c r="Y59" s="38" t="s">
        <v>292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293</v>
      </c>
      <c r="B60" s="59" t="s">
        <v>294</v>
      </c>
      <c r="C60" s="39"/>
      <c r="D60" s="39" t="s">
        <v>79</v>
      </c>
      <c r="E60" s="40" t="n">
        <v>0</v>
      </c>
      <c r="F60" s="38" t="s">
        <v>247</v>
      </c>
      <c r="G60" s="37"/>
      <c r="H60" s="37" t="n">
        <v>42</v>
      </c>
      <c r="I60" s="41" t="n">
        <v>46301</v>
      </c>
      <c r="J60" s="41" t="n">
        <v>46316</v>
      </c>
      <c r="K60" s="42"/>
      <c r="L60" s="42"/>
      <c r="M60" s="43"/>
      <c r="N60" s="44" t="n">
        <v>46372</v>
      </c>
      <c r="O60" s="60" t="n">
        <v>46413</v>
      </c>
      <c r="P60" s="46" t="s">
        <v>105</v>
      </c>
      <c r="Q60" s="37" t="n">
        <v>97</v>
      </c>
      <c r="R60" s="39"/>
      <c r="S60" s="39" t="n">
        <v>1</v>
      </c>
      <c r="T60" s="39" t="s">
        <v>106</v>
      </c>
      <c r="U60" s="57" t="n">
        <v>46372.006</v>
      </c>
      <c r="V60" s="47" t="n">
        <v>0</v>
      </c>
      <c r="W60" s="38" t="s">
        <v>80</v>
      </c>
      <c r="X60" s="39"/>
      <c r="Y60" s="38" t="s">
        <v>292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295</v>
      </c>
      <c r="B61" s="31" t="s">
        <v>296</v>
      </c>
      <c r="C61" s="31"/>
      <c r="D61" s="31"/>
      <c r="E61" s="32" t="n">
        <v>90</v>
      </c>
      <c r="F61" s="31"/>
      <c r="G61" s="31"/>
      <c r="H61" s="31"/>
      <c r="I61" s="33" t="n">
        <v>46241</v>
      </c>
      <c r="J61" s="33" t="n">
        <v>46270</v>
      </c>
      <c r="K61" s="31"/>
      <c r="L61" s="31"/>
      <c r="M61" s="31"/>
      <c r="N61" s="33" t="n">
        <v>46314</v>
      </c>
      <c r="O61" s="33" t="n">
        <v>46335</v>
      </c>
      <c r="P61" s="34" t="s">
        <v>75</v>
      </c>
      <c r="Q61" s="31" t="n">
        <v>65</v>
      </c>
      <c r="R61" s="31"/>
      <c r="S61" s="31" t="n">
        <v>0</v>
      </c>
      <c r="T61" s="31" t="s">
        <v>76</v>
      </c>
      <c r="U61" s="31"/>
      <c r="V61" s="35" t="n">
        <v>0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297</v>
      </c>
      <c r="B62" s="39" t="s">
        <v>298</v>
      </c>
      <c r="C62" s="39" t="s">
        <v>299</v>
      </c>
      <c r="D62" s="39" t="s">
        <v>300</v>
      </c>
      <c r="E62" s="40" t="n">
        <v>20</v>
      </c>
      <c r="F62" s="39" t="s">
        <v>301</v>
      </c>
      <c r="G62" s="37"/>
      <c r="H62" s="37" t="n">
        <v>56</v>
      </c>
      <c r="I62" s="41" t="n">
        <v>46241</v>
      </c>
      <c r="J62" s="41" t="n">
        <v>46258</v>
      </c>
      <c r="K62" s="42"/>
      <c r="L62" s="42"/>
      <c r="M62" s="43"/>
      <c r="N62" s="44" t="n">
        <v>46314</v>
      </c>
      <c r="O62" s="45" t="n">
        <v>46314</v>
      </c>
      <c r="P62" s="46" t="s">
        <v>75</v>
      </c>
      <c r="Q62" s="37" t="n">
        <v>56</v>
      </c>
      <c r="R62" s="39"/>
      <c r="S62" s="39" t="n">
        <v>1</v>
      </c>
      <c r="T62" s="39" t="s">
        <v>76</v>
      </c>
      <c r="U62" s="57" t="n">
        <v>46314.0062</v>
      </c>
      <c r="V62" s="47" t="n">
        <v>0</v>
      </c>
      <c r="W62" s="39" t="s">
        <v>86</v>
      </c>
      <c r="X62" s="39" t="s">
        <v>302</v>
      </c>
      <c r="Y62" s="38" t="s">
        <v>303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304</v>
      </c>
      <c r="B63" s="50" t="s">
        <v>305</v>
      </c>
      <c r="C63" s="50" t="s">
        <v>306</v>
      </c>
      <c r="D63" s="50" t="s">
        <v>91</v>
      </c>
      <c r="E63" s="51" t="n">
        <v>1</v>
      </c>
      <c r="F63" s="52"/>
      <c r="G63" s="52"/>
      <c r="H63" s="52"/>
      <c r="I63" s="53" t="n">
        <v>46241</v>
      </c>
      <c r="J63" s="53" t="n">
        <v>46243</v>
      </c>
      <c r="K63" s="52"/>
      <c r="L63" s="52"/>
      <c r="M63" s="54" t="s">
        <v>307</v>
      </c>
      <c r="N63" s="55" t="n">
        <v>46314</v>
      </c>
      <c r="O63" s="55" t="n">
        <v>46314</v>
      </c>
      <c r="P63" s="50" t="s">
        <v>75</v>
      </c>
      <c r="Q63" s="52" t="n">
        <v>71</v>
      </c>
      <c r="R63" s="52"/>
      <c r="S63" s="52" t="n">
        <v>2</v>
      </c>
      <c r="T63" s="52" t="s">
        <v>76</v>
      </c>
      <c r="U63" s="52"/>
      <c r="V63" s="56" t="n">
        <v>0</v>
      </c>
      <c r="W63" s="50" t="s">
        <v>86</v>
      </c>
      <c r="X63" s="52"/>
      <c r="Y63" s="52" t="s">
        <v>303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308</v>
      </c>
      <c r="B64" s="50" t="s">
        <v>309</v>
      </c>
      <c r="C64" s="50" t="s">
        <v>310</v>
      </c>
      <c r="D64" s="50" t="s">
        <v>91</v>
      </c>
      <c r="E64" s="51" t="n">
        <v>2.5</v>
      </c>
      <c r="F64" s="52"/>
      <c r="G64" s="52"/>
      <c r="H64" s="52"/>
      <c r="I64" s="53" t="n">
        <v>46241</v>
      </c>
      <c r="J64" s="53" t="n">
        <v>46244</v>
      </c>
      <c r="K64" s="52"/>
      <c r="L64" s="52"/>
      <c r="M64" s="54" t="s">
        <v>311</v>
      </c>
      <c r="N64" s="55" t="n">
        <v>46314</v>
      </c>
      <c r="O64" s="55" t="n">
        <v>46314</v>
      </c>
      <c r="P64" s="50" t="s">
        <v>75</v>
      </c>
      <c r="Q64" s="52" t="n">
        <v>70</v>
      </c>
      <c r="R64" s="52"/>
      <c r="S64" s="52" t="n">
        <v>2</v>
      </c>
      <c r="T64" s="52" t="s">
        <v>76</v>
      </c>
      <c r="U64" s="52"/>
      <c r="V64" s="56" t="n">
        <v>0</v>
      </c>
      <c r="W64" s="50" t="s">
        <v>86</v>
      </c>
      <c r="X64" s="52"/>
      <c r="Y64" s="52" t="s">
        <v>303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312</v>
      </c>
      <c r="B65" s="50" t="s">
        <v>313</v>
      </c>
      <c r="C65" s="50" t="s">
        <v>314</v>
      </c>
      <c r="D65" s="50" t="s">
        <v>91</v>
      </c>
      <c r="E65" s="51" t="n">
        <v>5</v>
      </c>
      <c r="F65" s="52"/>
      <c r="G65" s="52"/>
      <c r="H65" s="52"/>
      <c r="I65" s="53" t="n">
        <v>46243</v>
      </c>
      <c r="J65" s="53" t="n">
        <v>46249</v>
      </c>
      <c r="K65" s="52"/>
      <c r="L65" s="52"/>
      <c r="M65" s="54" t="s">
        <v>315</v>
      </c>
      <c r="N65" s="55" t="n">
        <v>46314</v>
      </c>
      <c r="O65" s="55" t="n">
        <v>46314</v>
      </c>
      <c r="P65" s="50" t="s">
        <v>75</v>
      </c>
      <c r="Q65" s="52" t="n">
        <v>65</v>
      </c>
      <c r="R65" s="52"/>
      <c r="S65" s="52" t="n">
        <v>2</v>
      </c>
      <c r="T65" s="52" t="s">
        <v>76</v>
      </c>
      <c r="U65" s="52"/>
      <c r="V65" s="56" t="n">
        <v>0</v>
      </c>
      <c r="W65" s="50" t="s">
        <v>86</v>
      </c>
      <c r="X65" s="52"/>
      <c r="Y65" s="52" t="s">
        <v>303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316</v>
      </c>
      <c r="B66" s="50" t="s">
        <v>317</v>
      </c>
      <c r="C66" s="52" t="s">
        <v>318</v>
      </c>
      <c r="D66" s="50" t="s">
        <v>91</v>
      </c>
      <c r="E66" s="51" t="n">
        <v>7</v>
      </c>
      <c r="F66" s="52"/>
      <c r="G66" s="52"/>
      <c r="H66" s="52"/>
      <c r="I66" s="53" t="n">
        <v>46248</v>
      </c>
      <c r="J66" s="53" t="n">
        <v>46255</v>
      </c>
      <c r="K66" s="52"/>
      <c r="L66" s="52"/>
      <c r="M66" s="54" t="s">
        <v>319</v>
      </c>
      <c r="N66" s="55" t="n">
        <v>46314</v>
      </c>
      <c r="O66" s="55" t="n">
        <v>46314</v>
      </c>
      <c r="P66" s="50" t="s">
        <v>75</v>
      </c>
      <c r="Q66" s="52" t="n">
        <v>59</v>
      </c>
      <c r="R66" s="52"/>
      <c r="S66" s="52" t="n">
        <v>2</v>
      </c>
      <c r="T66" s="52" t="s">
        <v>76</v>
      </c>
      <c r="U66" s="52"/>
      <c r="V66" s="56" t="n">
        <v>0</v>
      </c>
      <c r="W66" s="50" t="s">
        <v>86</v>
      </c>
      <c r="X66" s="52"/>
      <c r="Y66" s="52" t="s">
        <v>303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320</v>
      </c>
      <c r="B67" s="52" t="s">
        <v>321</v>
      </c>
      <c r="C67" s="52" t="s">
        <v>322</v>
      </c>
      <c r="D67" s="50" t="s">
        <v>91</v>
      </c>
      <c r="E67" s="51" t="n">
        <v>3</v>
      </c>
      <c r="F67" s="52"/>
      <c r="G67" s="52"/>
      <c r="H67" s="52"/>
      <c r="I67" s="53" t="n">
        <v>46251</v>
      </c>
      <c r="J67" s="53" t="n">
        <v>46257</v>
      </c>
      <c r="K67" s="52"/>
      <c r="L67" s="52"/>
      <c r="M67" s="54" t="s">
        <v>323</v>
      </c>
      <c r="N67" s="55" t="n">
        <v>46314</v>
      </c>
      <c r="O67" s="55" t="n">
        <v>46314</v>
      </c>
      <c r="P67" s="50" t="s">
        <v>75</v>
      </c>
      <c r="Q67" s="52" t="n">
        <v>57</v>
      </c>
      <c r="R67" s="52"/>
      <c r="S67" s="52" t="n">
        <v>2</v>
      </c>
      <c r="T67" s="52" t="s">
        <v>76</v>
      </c>
      <c r="U67" s="52"/>
      <c r="V67" s="56" t="n">
        <v>0</v>
      </c>
      <c r="W67" s="50" t="s">
        <v>86</v>
      </c>
      <c r="X67" s="52"/>
      <c r="Y67" s="52" t="s">
        <v>303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324</v>
      </c>
      <c r="B68" s="50" t="s">
        <v>325</v>
      </c>
      <c r="C68" s="50" t="s">
        <v>326</v>
      </c>
      <c r="D68" s="50" t="s">
        <v>91</v>
      </c>
      <c r="E68" s="51" t="n">
        <v>0.5</v>
      </c>
      <c r="F68" s="52"/>
      <c r="G68" s="52"/>
      <c r="H68" s="52"/>
      <c r="I68" s="53" t="n">
        <v>46255</v>
      </c>
      <c r="J68" s="53" t="n">
        <v>46258</v>
      </c>
      <c r="K68" s="52"/>
      <c r="L68" s="52"/>
      <c r="M68" s="54" t="s">
        <v>327</v>
      </c>
      <c r="N68" s="55" t="n">
        <v>46314</v>
      </c>
      <c r="O68" s="55" t="n">
        <v>46314</v>
      </c>
      <c r="P68" s="50" t="s">
        <v>75</v>
      </c>
      <c r="Q68" s="52" t="n">
        <v>56</v>
      </c>
      <c r="R68" s="52"/>
      <c r="S68" s="52" t="n">
        <v>2</v>
      </c>
      <c r="T68" s="52" t="s">
        <v>76</v>
      </c>
      <c r="U68" s="52"/>
      <c r="V68" s="56" t="n">
        <v>0</v>
      </c>
      <c r="W68" s="50" t="s">
        <v>86</v>
      </c>
      <c r="X68" s="52"/>
      <c r="Y68" s="52" t="s">
        <v>303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328</v>
      </c>
      <c r="B69" s="52" t="s">
        <v>329</v>
      </c>
      <c r="C69" s="50" t="s">
        <v>330</v>
      </c>
      <c r="D69" s="50" t="s">
        <v>91</v>
      </c>
      <c r="E69" s="51" t="n">
        <v>1</v>
      </c>
      <c r="F69" s="52"/>
      <c r="G69" s="52"/>
      <c r="H69" s="52"/>
      <c r="I69" s="53" t="n">
        <v>46257</v>
      </c>
      <c r="J69" s="53" t="n">
        <v>46258</v>
      </c>
      <c r="K69" s="52"/>
      <c r="L69" s="52"/>
      <c r="M69" s="54" t="s">
        <v>331</v>
      </c>
      <c r="N69" s="55" t="n">
        <v>46314</v>
      </c>
      <c r="O69" s="55" t="n">
        <v>46314</v>
      </c>
      <c r="P69" s="50" t="s">
        <v>75</v>
      </c>
      <c r="Q69" s="52" t="n">
        <v>56</v>
      </c>
      <c r="R69" s="52"/>
      <c r="S69" s="52" t="n">
        <v>2</v>
      </c>
      <c r="T69" s="52" t="s">
        <v>76</v>
      </c>
      <c r="U69" s="52"/>
      <c r="V69" s="56" t="n">
        <v>0</v>
      </c>
      <c r="W69" s="50" t="s">
        <v>86</v>
      </c>
      <c r="X69" s="52"/>
      <c r="Y69" s="52" t="s">
        <v>303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332</v>
      </c>
      <c r="B70" s="39" t="s">
        <v>333</v>
      </c>
      <c r="C70" s="39" t="s">
        <v>299</v>
      </c>
      <c r="D70" s="39" t="s">
        <v>300</v>
      </c>
      <c r="E70" s="40" t="n">
        <v>10</v>
      </c>
      <c r="F70" s="39" t="s">
        <v>334</v>
      </c>
      <c r="G70" s="37"/>
      <c r="H70" s="37" t="n">
        <v>4</v>
      </c>
      <c r="I70" s="41" t="n">
        <v>46259</v>
      </c>
      <c r="J70" s="41" t="n">
        <v>46268</v>
      </c>
      <c r="K70" s="42"/>
      <c r="L70" s="42"/>
      <c r="M70" s="43"/>
      <c r="N70" s="44" t="n">
        <v>46329</v>
      </c>
      <c r="O70" s="45" t="n">
        <v>46332</v>
      </c>
      <c r="P70" s="46" t="s">
        <v>105</v>
      </c>
      <c r="Q70" s="37" t="n">
        <v>64</v>
      </c>
      <c r="R70" s="39"/>
      <c r="S70" s="39" t="n">
        <v>1</v>
      </c>
      <c r="T70" s="39" t="s">
        <v>106</v>
      </c>
      <c r="U70" s="57" t="n">
        <v>46329.007</v>
      </c>
      <c r="V70" s="47" t="n">
        <v>0</v>
      </c>
      <c r="W70" s="39" t="s">
        <v>86</v>
      </c>
      <c r="X70" s="39" t="s">
        <v>335</v>
      </c>
      <c r="Y70" s="38" t="s">
        <v>303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336</v>
      </c>
      <c r="B71" s="50" t="s">
        <v>337</v>
      </c>
      <c r="C71" s="52" t="s">
        <v>338</v>
      </c>
      <c r="D71" s="50" t="s">
        <v>91</v>
      </c>
      <c r="E71" s="51" t="n">
        <v>3</v>
      </c>
      <c r="F71" s="52"/>
      <c r="G71" s="52"/>
      <c r="H71" s="52"/>
      <c r="I71" s="53" t="n">
        <v>46259</v>
      </c>
      <c r="J71" s="53" t="n">
        <v>46263</v>
      </c>
      <c r="K71" s="52"/>
      <c r="L71" s="52"/>
      <c r="M71" s="54" t="s">
        <v>339</v>
      </c>
      <c r="N71" s="55" t="n">
        <v>46329</v>
      </c>
      <c r="O71" s="55" t="n">
        <v>46330</v>
      </c>
      <c r="P71" s="50" t="s">
        <v>105</v>
      </c>
      <c r="Q71" s="52" t="n">
        <v>67</v>
      </c>
      <c r="R71" s="52"/>
      <c r="S71" s="52" t="n">
        <v>2</v>
      </c>
      <c r="T71" s="52" t="s">
        <v>106</v>
      </c>
      <c r="U71" s="52"/>
      <c r="V71" s="56" t="n">
        <v>0</v>
      </c>
      <c r="W71" s="50" t="s">
        <v>86</v>
      </c>
      <c r="X71" s="52"/>
      <c r="Y71" s="52" t="s">
        <v>303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340</v>
      </c>
      <c r="B72" s="50" t="s">
        <v>341</v>
      </c>
      <c r="C72" s="50" t="s">
        <v>342</v>
      </c>
      <c r="D72" s="50" t="s">
        <v>91</v>
      </c>
      <c r="E72" s="51" t="n">
        <v>3</v>
      </c>
      <c r="F72" s="52"/>
      <c r="G72" s="52"/>
      <c r="H72" s="52"/>
      <c r="I72" s="53" t="n">
        <v>46261</v>
      </c>
      <c r="J72" s="53" t="n">
        <v>46266</v>
      </c>
      <c r="K72" s="52"/>
      <c r="L72" s="52"/>
      <c r="M72" s="54" t="s">
        <v>343</v>
      </c>
      <c r="N72" s="55" t="n">
        <v>46330</v>
      </c>
      <c r="O72" s="55" t="n">
        <v>46331</v>
      </c>
      <c r="P72" s="50" t="s">
        <v>105</v>
      </c>
      <c r="Q72" s="52" t="n">
        <v>65</v>
      </c>
      <c r="R72" s="52"/>
      <c r="S72" s="52" t="n">
        <v>2</v>
      </c>
      <c r="T72" s="52" t="s">
        <v>106</v>
      </c>
      <c r="U72" s="52"/>
      <c r="V72" s="56" t="n">
        <v>0</v>
      </c>
      <c r="W72" s="50" t="s">
        <v>86</v>
      </c>
      <c r="X72" s="52"/>
      <c r="Y72" s="52" t="s">
        <v>303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344</v>
      </c>
      <c r="B73" s="50" t="s">
        <v>345</v>
      </c>
      <c r="C73" s="50" t="s">
        <v>346</v>
      </c>
      <c r="D73" s="50" t="s">
        <v>91</v>
      </c>
      <c r="E73" s="51" t="n">
        <v>2</v>
      </c>
      <c r="F73" s="52"/>
      <c r="G73" s="52"/>
      <c r="H73" s="52"/>
      <c r="I73" s="53" t="n">
        <v>46262</v>
      </c>
      <c r="J73" s="53" t="n">
        <v>46266</v>
      </c>
      <c r="K73" s="52"/>
      <c r="L73" s="52"/>
      <c r="M73" s="54" t="s">
        <v>347</v>
      </c>
      <c r="N73" s="55" t="n">
        <v>46330</v>
      </c>
      <c r="O73" s="55" t="n">
        <v>46331</v>
      </c>
      <c r="P73" s="50" t="s">
        <v>105</v>
      </c>
      <c r="Q73" s="52" t="n">
        <v>65</v>
      </c>
      <c r="R73" s="52"/>
      <c r="S73" s="52" t="n">
        <v>2</v>
      </c>
      <c r="T73" s="52" t="s">
        <v>106</v>
      </c>
      <c r="U73" s="52"/>
      <c r="V73" s="56" t="n">
        <v>0</v>
      </c>
      <c r="W73" s="50" t="s">
        <v>86</v>
      </c>
      <c r="X73" s="52"/>
      <c r="Y73" s="52" t="s">
        <v>303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348</v>
      </c>
      <c r="B74" s="50" t="s">
        <v>349</v>
      </c>
      <c r="C74" s="52" t="s">
        <v>350</v>
      </c>
      <c r="D74" s="50" t="s">
        <v>91</v>
      </c>
      <c r="E74" s="51" t="n">
        <v>1</v>
      </c>
      <c r="F74" s="52"/>
      <c r="G74" s="52"/>
      <c r="H74" s="52"/>
      <c r="I74" s="53" t="n">
        <v>46263</v>
      </c>
      <c r="J74" s="53" t="n">
        <v>46268</v>
      </c>
      <c r="K74" s="52"/>
      <c r="L74" s="52"/>
      <c r="M74" s="54" t="s">
        <v>351</v>
      </c>
      <c r="N74" s="55" t="n">
        <v>46331</v>
      </c>
      <c r="O74" s="55" t="n">
        <v>46332</v>
      </c>
      <c r="P74" s="50" t="s">
        <v>105</v>
      </c>
      <c r="Q74" s="52" t="n">
        <v>64</v>
      </c>
      <c r="R74" s="52"/>
      <c r="S74" s="52" t="n">
        <v>2</v>
      </c>
      <c r="T74" s="52" t="s">
        <v>106</v>
      </c>
      <c r="U74" s="52"/>
      <c r="V74" s="56" t="n">
        <v>0</v>
      </c>
      <c r="W74" s="50" t="s">
        <v>86</v>
      </c>
      <c r="X74" s="52"/>
      <c r="Y74" s="52" t="s">
        <v>303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352</v>
      </c>
      <c r="B75" s="52" t="s">
        <v>353</v>
      </c>
      <c r="C75" s="50" t="s">
        <v>354</v>
      </c>
      <c r="D75" s="50" t="s">
        <v>91</v>
      </c>
      <c r="E75" s="51" t="n">
        <v>1</v>
      </c>
      <c r="F75" s="52"/>
      <c r="G75" s="52"/>
      <c r="H75" s="52"/>
      <c r="I75" s="53" t="n">
        <v>46266</v>
      </c>
      <c r="J75" s="53" t="n">
        <v>46268</v>
      </c>
      <c r="K75" s="52"/>
      <c r="L75" s="52"/>
      <c r="M75" s="54" t="s">
        <v>355</v>
      </c>
      <c r="N75" s="55" t="n">
        <v>46331</v>
      </c>
      <c r="O75" s="55" t="n">
        <v>46332</v>
      </c>
      <c r="P75" s="50" t="s">
        <v>105</v>
      </c>
      <c r="Q75" s="52" t="n">
        <v>64</v>
      </c>
      <c r="R75" s="52"/>
      <c r="S75" s="52" t="n">
        <v>2</v>
      </c>
      <c r="T75" s="52" t="s">
        <v>106</v>
      </c>
      <c r="U75" s="52"/>
      <c r="V75" s="56" t="n">
        <v>0</v>
      </c>
      <c r="W75" s="50" t="s">
        <v>86</v>
      </c>
      <c r="X75" s="52"/>
      <c r="Y75" s="52" t="s">
        <v>303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356</v>
      </c>
      <c r="B76" s="39" t="s">
        <v>357</v>
      </c>
      <c r="C76" s="39" t="s">
        <v>299</v>
      </c>
      <c r="D76" s="39" t="s">
        <v>300</v>
      </c>
      <c r="E76" s="40" t="n">
        <v>20</v>
      </c>
      <c r="F76" s="39" t="s">
        <v>358</v>
      </c>
      <c r="G76" s="37"/>
      <c r="H76" s="37" t="n">
        <v>22</v>
      </c>
      <c r="I76" s="41" t="n">
        <v>46259</v>
      </c>
      <c r="J76" s="41" t="n">
        <v>46268</v>
      </c>
      <c r="K76" s="42"/>
      <c r="L76" s="42"/>
      <c r="M76" s="43"/>
      <c r="N76" s="44" t="n">
        <v>46314</v>
      </c>
      <c r="O76" s="45" t="n">
        <v>46333</v>
      </c>
      <c r="P76" s="46" t="s">
        <v>75</v>
      </c>
      <c r="Q76" s="37" t="n">
        <v>65</v>
      </c>
      <c r="R76" s="39"/>
      <c r="S76" s="39" t="n">
        <v>1</v>
      </c>
      <c r="T76" s="39" t="s">
        <v>76</v>
      </c>
      <c r="U76" s="57" t="n">
        <v>46314.0076</v>
      </c>
      <c r="V76" s="47" t="n">
        <v>0</v>
      </c>
      <c r="W76" s="39" t="s">
        <v>86</v>
      </c>
      <c r="X76" s="39" t="s">
        <v>359</v>
      </c>
      <c r="Y76" s="38" t="s">
        <v>303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360</v>
      </c>
      <c r="B77" s="50" t="s">
        <v>361</v>
      </c>
      <c r="C77" s="50" t="s">
        <v>362</v>
      </c>
      <c r="D77" s="50" t="s">
        <v>91</v>
      </c>
      <c r="E77" s="51" t="n">
        <v>2</v>
      </c>
      <c r="F77" s="52"/>
      <c r="G77" s="52"/>
      <c r="H77" s="52"/>
      <c r="I77" s="53" t="n">
        <v>46259</v>
      </c>
      <c r="J77" s="53" t="n">
        <v>46262</v>
      </c>
      <c r="K77" s="52"/>
      <c r="L77" s="52"/>
      <c r="M77" s="54" t="s">
        <v>363</v>
      </c>
      <c r="N77" s="55" t="n">
        <v>46314</v>
      </c>
      <c r="O77" s="55" t="n">
        <v>46320</v>
      </c>
      <c r="P77" s="50" t="s">
        <v>75</v>
      </c>
      <c r="Q77" s="52" t="n">
        <v>58</v>
      </c>
      <c r="R77" s="52"/>
      <c r="S77" s="52" t="n">
        <v>2</v>
      </c>
      <c r="T77" s="52" t="s">
        <v>76</v>
      </c>
      <c r="U77" s="52"/>
      <c r="V77" s="56" t="n">
        <v>0</v>
      </c>
      <c r="W77" s="50" t="s">
        <v>86</v>
      </c>
      <c r="X77" s="52"/>
      <c r="Y77" s="52" t="s">
        <v>303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364</v>
      </c>
      <c r="B78" s="50" t="s">
        <v>365</v>
      </c>
      <c r="C78" s="50" t="s">
        <v>366</v>
      </c>
      <c r="D78" s="50" t="s">
        <v>91</v>
      </c>
      <c r="E78" s="51" t="n">
        <v>12</v>
      </c>
      <c r="F78" s="52"/>
      <c r="G78" s="52"/>
      <c r="H78" s="52"/>
      <c r="I78" s="53" t="n">
        <v>46260</v>
      </c>
      <c r="J78" s="53" t="n">
        <v>46267</v>
      </c>
      <c r="K78" s="52"/>
      <c r="L78" s="52"/>
      <c r="M78" s="54" t="s">
        <v>367</v>
      </c>
      <c r="N78" s="55" t="n">
        <v>46316</v>
      </c>
      <c r="O78" s="55" t="n">
        <v>46330</v>
      </c>
      <c r="P78" s="50" t="s">
        <v>105</v>
      </c>
      <c r="Q78" s="52" t="n">
        <v>63</v>
      </c>
      <c r="R78" s="52"/>
      <c r="S78" s="52" t="n">
        <v>2</v>
      </c>
      <c r="T78" s="52" t="s">
        <v>106</v>
      </c>
      <c r="U78" s="52"/>
      <c r="V78" s="56" t="n">
        <v>0</v>
      </c>
      <c r="W78" s="50" t="s">
        <v>86</v>
      </c>
      <c r="X78" s="52"/>
      <c r="Y78" s="52" t="s">
        <v>303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368</v>
      </c>
      <c r="B79" s="52" t="s">
        <v>369</v>
      </c>
      <c r="C79" s="50" t="s">
        <v>370</v>
      </c>
      <c r="D79" s="50" t="s">
        <v>91</v>
      </c>
      <c r="E79" s="51" t="n">
        <v>4</v>
      </c>
      <c r="F79" s="52"/>
      <c r="G79" s="52"/>
      <c r="H79" s="52"/>
      <c r="I79" s="53" t="n">
        <v>46263</v>
      </c>
      <c r="J79" s="53" t="n">
        <v>46268</v>
      </c>
      <c r="K79" s="52"/>
      <c r="L79" s="52"/>
      <c r="M79" s="54" t="s">
        <v>371</v>
      </c>
      <c r="N79" s="55" t="n">
        <v>46322</v>
      </c>
      <c r="O79" s="55" t="n">
        <v>46332</v>
      </c>
      <c r="P79" s="50" t="s">
        <v>105</v>
      </c>
      <c r="Q79" s="52" t="n">
        <v>64</v>
      </c>
      <c r="R79" s="52"/>
      <c r="S79" s="52" t="n">
        <v>2</v>
      </c>
      <c r="T79" s="52" t="s">
        <v>106</v>
      </c>
      <c r="U79" s="52"/>
      <c r="V79" s="56" t="n">
        <v>0</v>
      </c>
      <c r="W79" s="50" t="s">
        <v>86</v>
      </c>
      <c r="X79" s="52"/>
      <c r="Y79" s="52" t="s">
        <v>303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372</v>
      </c>
      <c r="B80" s="52" t="s">
        <v>373</v>
      </c>
      <c r="C80" s="50" t="s">
        <v>374</v>
      </c>
      <c r="D80" s="50" t="s">
        <v>91</v>
      </c>
      <c r="E80" s="51" t="n">
        <v>1</v>
      </c>
      <c r="F80" s="52"/>
      <c r="G80" s="52"/>
      <c r="H80" s="52"/>
      <c r="I80" s="53" t="n">
        <v>46266</v>
      </c>
      <c r="J80" s="53" t="n">
        <v>46268</v>
      </c>
      <c r="K80" s="52"/>
      <c r="L80" s="52"/>
      <c r="M80" s="54" t="s">
        <v>375</v>
      </c>
      <c r="N80" s="55" t="n">
        <v>46329</v>
      </c>
      <c r="O80" s="55" t="n">
        <v>46333</v>
      </c>
      <c r="P80" s="50" t="s">
        <v>105</v>
      </c>
      <c r="Q80" s="52" t="n">
        <v>65</v>
      </c>
      <c r="R80" s="52"/>
      <c r="S80" s="52" t="n">
        <v>2</v>
      </c>
      <c r="T80" s="52" t="s">
        <v>106</v>
      </c>
      <c r="U80" s="52"/>
      <c r="V80" s="56" t="n">
        <v>0</v>
      </c>
      <c r="W80" s="50" t="s">
        <v>86</v>
      </c>
      <c r="X80" s="52"/>
      <c r="Y80" s="52" t="s">
        <v>303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376</v>
      </c>
      <c r="B81" s="52" t="s">
        <v>377</v>
      </c>
      <c r="C81" s="50" t="s">
        <v>378</v>
      </c>
      <c r="D81" s="50" t="s">
        <v>91</v>
      </c>
      <c r="E81" s="51" t="n">
        <v>1</v>
      </c>
      <c r="F81" s="52"/>
      <c r="G81" s="52"/>
      <c r="H81" s="52"/>
      <c r="I81" s="53" t="n">
        <v>46268</v>
      </c>
      <c r="J81" s="53" t="n">
        <v>46268</v>
      </c>
      <c r="K81" s="52"/>
      <c r="L81" s="52"/>
      <c r="M81" s="54" t="s">
        <v>379</v>
      </c>
      <c r="N81" s="55" t="n">
        <v>46332</v>
      </c>
      <c r="O81" s="55" t="n">
        <v>46333</v>
      </c>
      <c r="P81" s="50" t="s">
        <v>105</v>
      </c>
      <c r="Q81" s="52" t="n">
        <v>65</v>
      </c>
      <c r="R81" s="52"/>
      <c r="S81" s="52" t="n">
        <v>2</v>
      </c>
      <c r="T81" s="52" t="s">
        <v>106</v>
      </c>
      <c r="U81" s="52"/>
      <c r="V81" s="56" t="n">
        <v>0</v>
      </c>
      <c r="W81" s="50" t="s">
        <v>86</v>
      </c>
      <c r="X81" s="52"/>
      <c r="Y81" s="52" t="s">
        <v>303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380</v>
      </c>
      <c r="B82" s="39" t="s">
        <v>381</v>
      </c>
      <c r="C82" s="39" t="s">
        <v>382</v>
      </c>
      <c r="D82" s="39" t="s">
        <v>300</v>
      </c>
      <c r="E82" s="40" t="n">
        <v>2.5</v>
      </c>
      <c r="F82" s="39" t="s">
        <v>358</v>
      </c>
      <c r="G82" s="37"/>
      <c r="H82" s="37" t="n">
        <v>3</v>
      </c>
      <c r="I82" s="41" t="n">
        <v>46262</v>
      </c>
      <c r="J82" s="41" t="n">
        <v>46265</v>
      </c>
      <c r="K82" s="42"/>
      <c r="L82" s="42"/>
      <c r="M82" s="43"/>
      <c r="N82" s="44" t="n">
        <v>46331</v>
      </c>
      <c r="O82" s="45" t="n">
        <v>46333</v>
      </c>
      <c r="P82" s="46" t="s">
        <v>105</v>
      </c>
      <c r="Q82" s="37" t="n">
        <v>68</v>
      </c>
      <c r="R82" s="39"/>
      <c r="S82" s="39" t="n">
        <v>1</v>
      </c>
      <c r="T82" s="39" t="s">
        <v>106</v>
      </c>
      <c r="U82" s="57" t="n">
        <v>46331.0082</v>
      </c>
      <c r="V82" s="47" t="n">
        <v>0</v>
      </c>
      <c r="W82" s="39" t="s">
        <v>86</v>
      </c>
      <c r="X82" s="39" t="s">
        <v>383</v>
      </c>
      <c r="Y82" s="38" t="s">
        <v>303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384</v>
      </c>
      <c r="B83" s="50" t="s">
        <v>385</v>
      </c>
      <c r="C83" s="50" t="s">
        <v>386</v>
      </c>
      <c r="D83" s="50" t="s">
        <v>91</v>
      </c>
      <c r="E83" s="51" t="n">
        <v>1.5</v>
      </c>
      <c r="F83" s="52"/>
      <c r="G83" s="52"/>
      <c r="H83" s="52"/>
      <c r="I83" s="53" t="n">
        <v>46262</v>
      </c>
      <c r="J83" s="53" t="n">
        <v>46264</v>
      </c>
      <c r="K83" s="52"/>
      <c r="L83" s="52"/>
      <c r="M83" s="54" t="s">
        <v>387</v>
      </c>
      <c r="N83" s="55" t="n">
        <v>46331</v>
      </c>
      <c r="O83" s="55" t="n">
        <v>46332</v>
      </c>
      <c r="P83" s="50" t="s">
        <v>105</v>
      </c>
      <c r="Q83" s="52" t="n">
        <v>68</v>
      </c>
      <c r="R83" s="52"/>
      <c r="S83" s="52" t="n">
        <v>2</v>
      </c>
      <c r="T83" s="52" t="s">
        <v>106</v>
      </c>
      <c r="U83" s="52"/>
      <c r="V83" s="56" t="n">
        <v>0</v>
      </c>
      <c r="W83" s="50" t="s">
        <v>86</v>
      </c>
      <c r="X83" s="52"/>
      <c r="Y83" s="52" t="s">
        <v>303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388</v>
      </c>
      <c r="B84" s="50" t="s">
        <v>389</v>
      </c>
      <c r="C84" s="50" t="s">
        <v>390</v>
      </c>
      <c r="D84" s="50" t="s">
        <v>91</v>
      </c>
      <c r="E84" s="51" t="n">
        <v>1</v>
      </c>
      <c r="F84" s="52"/>
      <c r="G84" s="52"/>
      <c r="H84" s="52"/>
      <c r="I84" s="53" t="n">
        <v>46263</v>
      </c>
      <c r="J84" s="53" t="n">
        <v>46265</v>
      </c>
      <c r="K84" s="52"/>
      <c r="L84" s="52"/>
      <c r="M84" s="54" t="s">
        <v>391</v>
      </c>
      <c r="N84" s="55" t="n">
        <v>46332</v>
      </c>
      <c r="O84" s="55" t="n">
        <v>46333</v>
      </c>
      <c r="P84" s="50" t="s">
        <v>105</v>
      </c>
      <c r="Q84" s="52" t="n">
        <v>68</v>
      </c>
      <c r="R84" s="52"/>
      <c r="S84" s="52" t="n">
        <v>2</v>
      </c>
      <c r="T84" s="52" t="s">
        <v>106</v>
      </c>
      <c r="U84" s="52"/>
      <c r="V84" s="56" t="n">
        <v>0</v>
      </c>
      <c r="W84" s="50" t="s">
        <v>86</v>
      </c>
      <c r="X84" s="52"/>
      <c r="Y84" s="52" t="s">
        <v>303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392</v>
      </c>
      <c r="B85" s="39" t="s">
        <v>393</v>
      </c>
      <c r="C85" s="38" t="s">
        <v>394</v>
      </c>
      <c r="D85" s="39" t="s">
        <v>300</v>
      </c>
      <c r="E85" s="40" t="n">
        <v>15</v>
      </c>
      <c r="F85" s="39" t="s">
        <v>334</v>
      </c>
      <c r="G85" s="37"/>
      <c r="H85" s="37" t="n">
        <v>4</v>
      </c>
      <c r="I85" s="41" t="n">
        <v>46258</v>
      </c>
      <c r="J85" s="41" t="n">
        <v>46266</v>
      </c>
      <c r="K85" s="42"/>
      <c r="L85" s="42"/>
      <c r="M85" s="43"/>
      <c r="N85" s="44" t="n">
        <v>46329</v>
      </c>
      <c r="O85" s="45" t="n">
        <v>46332</v>
      </c>
      <c r="P85" s="46" t="s">
        <v>105</v>
      </c>
      <c r="Q85" s="37" t="n">
        <v>66</v>
      </c>
      <c r="R85" s="39"/>
      <c r="S85" s="39" t="n">
        <v>1</v>
      </c>
      <c r="T85" s="39" t="s">
        <v>106</v>
      </c>
      <c r="U85" s="57" t="n">
        <v>46329.0085</v>
      </c>
      <c r="V85" s="47" t="n">
        <v>0</v>
      </c>
      <c r="W85" s="39" t="s">
        <v>86</v>
      </c>
      <c r="X85" s="39" t="s">
        <v>395</v>
      </c>
      <c r="Y85" s="38" t="s">
        <v>303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396</v>
      </c>
      <c r="B86" s="52" t="s">
        <v>397</v>
      </c>
      <c r="C86" s="52" t="s">
        <v>398</v>
      </c>
      <c r="D86" s="50" t="s">
        <v>91</v>
      </c>
      <c r="E86" s="51" t="n">
        <v>5</v>
      </c>
      <c r="F86" s="52"/>
      <c r="G86" s="52"/>
      <c r="H86" s="52"/>
      <c r="I86" s="53" t="n">
        <v>46258</v>
      </c>
      <c r="J86" s="53" t="n">
        <v>46262</v>
      </c>
      <c r="K86" s="52"/>
      <c r="L86" s="52"/>
      <c r="M86" s="54" t="s">
        <v>399</v>
      </c>
      <c r="N86" s="55" t="n">
        <v>46329</v>
      </c>
      <c r="O86" s="55" t="n">
        <v>46331</v>
      </c>
      <c r="P86" s="50" t="s">
        <v>105</v>
      </c>
      <c r="Q86" s="52" t="n">
        <v>69</v>
      </c>
      <c r="R86" s="52"/>
      <c r="S86" s="52" t="n">
        <v>2</v>
      </c>
      <c r="T86" s="52" t="s">
        <v>106</v>
      </c>
      <c r="U86" s="52"/>
      <c r="V86" s="56" t="n">
        <v>0</v>
      </c>
      <c r="W86" s="50" t="s">
        <v>86</v>
      </c>
      <c r="X86" s="52"/>
      <c r="Y86" s="52" t="s">
        <v>303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400</v>
      </c>
      <c r="B87" s="52" t="s">
        <v>401</v>
      </c>
      <c r="C87" s="52" t="s">
        <v>402</v>
      </c>
      <c r="D87" s="50" t="s">
        <v>91</v>
      </c>
      <c r="E87" s="51" t="n">
        <v>6.5</v>
      </c>
      <c r="F87" s="52"/>
      <c r="G87" s="52"/>
      <c r="H87" s="52"/>
      <c r="I87" s="53" t="n">
        <v>46261</v>
      </c>
      <c r="J87" s="53" t="n">
        <v>46265</v>
      </c>
      <c r="K87" s="52"/>
      <c r="L87" s="52"/>
      <c r="M87" s="54" t="s">
        <v>403</v>
      </c>
      <c r="N87" s="55" t="n">
        <v>46330</v>
      </c>
      <c r="O87" s="55" t="n">
        <v>46332</v>
      </c>
      <c r="P87" s="50" t="s">
        <v>105</v>
      </c>
      <c r="Q87" s="52" t="n">
        <v>67</v>
      </c>
      <c r="R87" s="52"/>
      <c r="S87" s="52" t="n">
        <v>2</v>
      </c>
      <c r="T87" s="52" t="s">
        <v>106</v>
      </c>
      <c r="U87" s="52"/>
      <c r="V87" s="56" t="n">
        <v>0</v>
      </c>
      <c r="W87" s="50" t="s">
        <v>86</v>
      </c>
      <c r="X87" s="52"/>
      <c r="Y87" s="52" t="s">
        <v>303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404</v>
      </c>
      <c r="B88" s="50" t="s">
        <v>405</v>
      </c>
      <c r="C88" s="50" t="s">
        <v>406</v>
      </c>
      <c r="D88" s="50" t="s">
        <v>91</v>
      </c>
      <c r="E88" s="51" t="n">
        <v>2.5</v>
      </c>
      <c r="F88" s="52"/>
      <c r="G88" s="52"/>
      <c r="H88" s="52"/>
      <c r="I88" s="53" t="n">
        <v>46263</v>
      </c>
      <c r="J88" s="53" t="n">
        <v>46266</v>
      </c>
      <c r="K88" s="52"/>
      <c r="L88" s="52"/>
      <c r="M88" s="54" t="s">
        <v>407</v>
      </c>
      <c r="N88" s="55" t="n">
        <v>46331</v>
      </c>
      <c r="O88" s="55" t="n">
        <v>46332</v>
      </c>
      <c r="P88" s="50" t="s">
        <v>105</v>
      </c>
      <c r="Q88" s="52" t="n">
        <v>66</v>
      </c>
      <c r="R88" s="52"/>
      <c r="S88" s="52" t="n">
        <v>2</v>
      </c>
      <c r="T88" s="52" t="s">
        <v>106</v>
      </c>
      <c r="U88" s="52"/>
      <c r="V88" s="56" t="n">
        <v>0</v>
      </c>
      <c r="W88" s="50" t="s">
        <v>86</v>
      </c>
      <c r="X88" s="52"/>
      <c r="Y88" s="52" t="s">
        <v>303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408</v>
      </c>
      <c r="B89" s="52" t="s">
        <v>409</v>
      </c>
      <c r="C89" s="50" t="s">
        <v>410</v>
      </c>
      <c r="D89" s="50" t="s">
        <v>91</v>
      </c>
      <c r="E89" s="51" t="n">
        <v>1</v>
      </c>
      <c r="F89" s="52"/>
      <c r="G89" s="52"/>
      <c r="H89" s="52"/>
      <c r="I89" s="53" t="n">
        <v>46265</v>
      </c>
      <c r="J89" s="53" t="n">
        <v>46266</v>
      </c>
      <c r="K89" s="52"/>
      <c r="L89" s="52"/>
      <c r="M89" s="54" t="s">
        <v>411</v>
      </c>
      <c r="N89" s="55" t="n">
        <v>46332</v>
      </c>
      <c r="O89" s="55" t="n">
        <v>46332</v>
      </c>
      <c r="P89" s="50" t="s">
        <v>105</v>
      </c>
      <c r="Q89" s="52" t="n">
        <v>66</v>
      </c>
      <c r="R89" s="52"/>
      <c r="S89" s="52" t="n">
        <v>2</v>
      </c>
      <c r="T89" s="52" t="s">
        <v>106</v>
      </c>
      <c r="U89" s="52"/>
      <c r="V89" s="56" t="n">
        <v>0</v>
      </c>
      <c r="W89" s="50" t="s">
        <v>86</v>
      </c>
      <c r="X89" s="52"/>
      <c r="Y89" s="52" t="s">
        <v>303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412</v>
      </c>
      <c r="B90" s="39" t="s">
        <v>413</v>
      </c>
      <c r="C90" s="39" t="s">
        <v>414</v>
      </c>
      <c r="D90" s="39" t="s">
        <v>300</v>
      </c>
      <c r="E90" s="40" t="n">
        <v>10</v>
      </c>
      <c r="F90" s="39" t="s">
        <v>358</v>
      </c>
      <c r="G90" s="37"/>
      <c r="H90" s="37" t="n">
        <v>4</v>
      </c>
      <c r="I90" s="41" t="n">
        <v>46258</v>
      </c>
      <c r="J90" s="41" t="n">
        <v>46267</v>
      </c>
      <c r="K90" s="42"/>
      <c r="L90" s="42"/>
      <c r="M90" s="43"/>
      <c r="N90" s="44" t="n">
        <v>46330</v>
      </c>
      <c r="O90" s="45" t="n">
        <v>46333</v>
      </c>
      <c r="P90" s="46" t="s">
        <v>105</v>
      </c>
      <c r="Q90" s="37" t="n">
        <v>66</v>
      </c>
      <c r="R90" s="39"/>
      <c r="S90" s="39" t="n">
        <v>1</v>
      </c>
      <c r="T90" s="39" t="s">
        <v>106</v>
      </c>
      <c r="U90" s="57" t="n">
        <v>46330.009</v>
      </c>
      <c r="V90" s="47" t="n">
        <v>0</v>
      </c>
      <c r="W90" s="39" t="s">
        <v>86</v>
      </c>
      <c r="X90" s="39" t="s">
        <v>415</v>
      </c>
      <c r="Y90" s="39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416</v>
      </c>
      <c r="B91" s="50" t="s">
        <v>417</v>
      </c>
      <c r="C91" s="50" t="s">
        <v>418</v>
      </c>
      <c r="D91" s="50" t="s">
        <v>91</v>
      </c>
      <c r="E91" s="51" t="n">
        <v>4</v>
      </c>
      <c r="F91" s="52"/>
      <c r="G91" s="52"/>
      <c r="H91" s="52"/>
      <c r="I91" s="53" t="n">
        <v>46258</v>
      </c>
      <c r="J91" s="53" t="n">
        <v>46263</v>
      </c>
      <c r="K91" s="52"/>
      <c r="L91" s="52"/>
      <c r="M91" s="54" t="s">
        <v>419</v>
      </c>
      <c r="N91" s="55" t="n">
        <v>46330</v>
      </c>
      <c r="O91" s="55" t="n">
        <v>46332</v>
      </c>
      <c r="P91" s="50" t="s">
        <v>105</v>
      </c>
      <c r="Q91" s="52" t="n">
        <v>69</v>
      </c>
      <c r="R91" s="52"/>
      <c r="S91" s="52" t="n">
        <v>2</v>
      </c>
      <c r="T91" s="52" t="s">
        <v>106</v>
      </c>
      <c r="U91" s="52"/>
      <c r="V91" s="56" t="n">
        <v>0</v>
      </c>
      <c r="W91" s="50" t="s">
        <v>86</v>
      </c>
      <c r="X91" s="52"/>
      <c r="Y91" s="52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420</v>
      </c>
      <c r="B92" s="52" t="s">
        <v>421</v>
      </c>
      <c r="C92" s="52" t="s">
        <v>422</v>
      </c>
      <c r="D92" s="50" t="s">
        <v>91</v>
      </c>
      <c r="E92" s="51" t="n">
        <v>1.5</v>
      </c>
      <c r="F92" s="52"/>
      <c r="G92" s="52"/>
      <c r="H92" s="52"/>
      <c r="I92" s="53" t="n">
        <v>46263</v>
      </c>
      <c r="J92" s="53" t="n">
        <v>46267</v>
      </c>
      <c r="K92" s="52"/>
      <c r="L92" s="52"/>
      <c r="M92" s="54" t="s">
        <v>423</v>
      </c>
      <c r="N92" s="55" t="n">
        <v>46332</v>
      </c>
      <c r="O92" s="55" t="n">
        <v>46333</v>
      </c>
      <c r="P92" s="50" t="s">
        <v>105</v>
      </c>
      <c r="Q92" s="52" t="n">
        <v>66</v>
      </c>
      <c r="R92" s="52"/>
      <c r="S92" s="52" t="n">
        <v>2</v>
      </c>
      <c r="T92" s="52" t="s">
        <v>106</v>
      </c>
      <c r="U92" s="52"/>
      <c r="V92" s="56" t="n">
        <v>0</v>
      </c>
      <c r="W92" s="50" t="s">
        <v>86</v>
      </c>
      <c r="X92" s="52"/>
      <c r="Y92" s="52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424</v>
      </c>
      <c r="B93" s="50" t="s">
        <v>425</v>
      </c>
      <c r="C93" s="50" t="s">
        <v>426</v>
      </c>
      <c r="D93" s="50" t="s">
        <v>91</v>
      </c>
      <c r="E93" s="51" t="n">
        <v>3</v>
      </c>
      <c r="F93" s="52"/>
      <c r="G93" s="52"/>
      <c r="H93" s="52"/>
      <c r="I93" s="53" t="n">
        <v>46258</v>
      </c>
      <c r="J93" s="53" t="n">
        <v>46262</v>
      </c>
      <c r="K93" s="52"/>
      <c r="L93" s="52"/>
      <c r="M93" s="54" t="s">
        <v>427</v>
      </c>
      <c r="N93" s="55" t="n">
        <v>46330</v>
      </c>
      <c r="O93" s="55" t="n">
        <v>46332</v>
      </c>
      <c r="P93" s="50" t="s">
        <v>105</v>
      </c>
      <c r="Q93" s="52" t="n">
        <v>70</v>
      </c>
      <c r="R93" s="52"/>
      <c r="S93" s="52" t="n">
        <v>2</v>
      </c>
      <c r="T93" s="52" t="s">
        <v>106</v>
      </c>
      <c r="U93" s="52"/>
      <c r="V93" s="56" t="n">
        <v>0</v>
      </c>
      <c r="W93" s="50" t="s">
        <v>86</v>
      </c>
      <c r="X93" s="52"/>
      <c r="Y93" s="52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428</v>
      </c>
      <c r="B94" s="50" t="s">
        <v>429</v>
      </c>
      <c r="C94" s="50" t="s">
        <v>430</v>
      </c>
      <c r="D94" s="50" t="s">
        <v>91</v>
      </c>
      <c r="E94" s="51" t="n">
        <v>1</v>
      </c>
      <c r="F94" s="52"/>
      <c r="G94" s="52"/>
      <c r="H94" s="52"/>
      <c r="I94" s="53" t="n">
        <v>46262</v>
      </c>
      <c r="J94" s="53" t="n">
        <v>46267</v>
      </c>
      <c r="K94" s="52"/>
      <c r="L94" s="52"/>
      <c r="M94" s="54" t="s">
        <v>431</v>
      </c>
      <c r="N94" s="55" t="n">
        <v>46332</v>
      </c>
      <c r="O94" s="55" t="n">
        <v>46333</v>
      </c>
      <c r="P94" s="50" t="s">
        <v>105</v>
      </c>
      <c r="Q94" s="52" t="n">
        <v>66</v>
      </c>
      <c r="R94" s="52"/>
      <c r="S94" s="52" t="n">
        <v>2</v>
      </c>
      <c r="T94" s="52" t="s">
        <v>106</v>
      </c>
      <c r="U94" s="52"/>
      <c r="V94" s="56" t="n">
        <v>0</v>
      </c>
      <c r="W94" s="50" t="s">
        <v>86</v>
      </c>
      <c r="X94" s="52"/>
      <c r="Y94" s="52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432</v>
      </c>
      <c r="B95" s="52" t="s">
        <v>433</v>
      </c>
      <c r="C95" s="50" t="s">
        <v>434</v>
      </c>
      <c r="D95" s="50" t="s">
        <v>91</v>
      </c>
      <c r="E95" s="51" t="n">
        <v>0.5</v>
      </c>
      <c r="F95" s="52"/>
      <c r="G95" s="52"/>
      <c r="H95" s="52"/>
      <c r="I95" s="53" t="n">
        <v>46266</v>
      </c>
      <c r="J95" s="53" t="n">
        <v>46267</v>
      </c>
      <c r="K95" s="52"/>
      <c r="L95" s="52"/>
      <c r="M95" s="54" t="s">
        <v>435</v>
      </c>
      <c r="N95" s="55" t="n">
        <v>46333</v>
      </c>
      <c r="O95" s="55" t="n">
        <v>46333</v>
      </c>
      <c r="P95" s="50" t="s">
        <v>105</v>
      </c>
      <c r="Q95" s="52" t="n">
        <v>66</v>
      </c>
      <c r="R95" s="52"/>
      <c r="S95" s="52" t="n">
        <v>2</v>
      </c>
      <c r="T95" s="52" t="s">
        <v>106</v>
      </c>
      <c r="U95" s="52"/>
      <c r="V95" s="56" t="n">
        <v>0</v>
      </c>
      <c r="W95" s="50" t="s">
        <v>86</v>
      </c>
      <c r="X95" s="52"/>
      <c r="Y95" s="52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436</v>
      </c>
      <c r="B96" s="39" t="s">
        <v>437</v>
      </c>
      <c r="C96" s="39"/>
      <c r="D96" s="39" t="s">
        <v>300</v>
      </c>
      <c r="E96" s="40" t="n">
        <v>5</v>
      </c>
      <c r="F96" s="39" t="s">
        <v>358</v>
      </c>
      <c r="G96" s="37"/>
      <c r="H96" s="37" t="n">
        <v>3</v>
      </c>
      <c r="I96" s="41" t="n">
        <v>46261</v>
      </c>
      <c r="J96" s="41" t="n">
        <v>46267</v>
      </c>
      <c r="K96" s="42"/>
      <c r="L96" s="42"/>
      <c r="M96" s="43"/>
      <c r="N96" s="44" t="n">
        <v>46331</v>
      </c>
      <c r="O96" s="45" t="n">
        <v>46333</v>
      </c>
      <c r="P96" s="46" t="s">
        <v>105</v>
      </c>
      <c r="Q96" s="37" t="n">
        <v>66</v>
      </c>
      <c r="R96" s="39"/>
      <c r="S96" s="39" t="n">
        <v>1</v>
      </c>
      <c r="T96" s="39" t="s">
        <v>106</v>
      </c>
      <c r="U96" s="57" t="n">
        <v>46331.0096</v>
      </c>
      <c r="V96" s="47" t="n">
        <v>0</v>
      </c>
      <c r="W96" s="39" t="s">
        <v>86</v>
      </c>
      <c r="X96" s="38" t="s">
        <v>438</v>
      </c>
      <c r="Y96" s="39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439</v>
      </c>
      <c r="B97" s="50" t="s">
        <v>440</v>
      </c>
      <c r="C97" s="50" t="s">
        <v>441</v>
      </c>
      <c r="D97" s="50" t="s">
        <v>91</v>
      </c>
      <c r="E97" s="51" t="n">
        <v>3</v>
      </c>
      <c r="F97" s="52"/>
      <c r="G97" s="52"/>
      <c r="H97" s="52"/>
      <c r="I97" s="53" t="n">
        <v>46261</v>
      </c>
      <c r="J97" s="53" t="n">
        <v>46266</v>
      </c>
      <c r="K97" s="52"/>
      <c r="L97" s="52"/>
      <c r="M97" s="54" t="s">
        <v>442</v>
      </c>
      <c r="N97" s="55" t="n">
        <v>46331</v>
      </c>
      <c r="O97" s="55" t="n">
        <v>46333</v>
      </c>
      <c r="P97" s="50" t="s">
        <v>105</v>
      </c>
      <c r="Q97" s="52" t="n">
        <v>67</v>
      </c>
      <c r="R97" s="52"/>
      <c r="S97" s="52" t="n">
        <v>2</v>
      </c>
      <c r="T97" s="52" t="s">
        <v>106</v>
      </c>
      <c r="U97" s="52"/>
      <c r="V97" s="56" t="n">
        <v>0</v>
      </c>
      <c r="W97" s="50" t="s">
        <v>86</v>
      </c>
      <c r="X97" s="52"/>
      <c r="Y97" s="52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443</v>
      </c>
      <c r="B98" s="50" t="s">
        <v>444</v>
      </c>
      <c r="C98" s="50" t="s">
        <v>445</v>
      </c>
      <c r="D98" s="50" t="s">
        <v>91</v>
      </c>
      <c r="E98" s="51" t="n">
        <v>1.5</v>
      </c>
      <c r="F98" s="52"/>
      <c r="G98" s="52"/>
      <c r="H98" s="52"/>
      <c r="I98" s="53" t="n">
        <v>46263</v>
      </c>
      <c r="J98" s="53" t="n">
        <v>46267</v>
      </c>
      <c r="K98" s="52"/>
      <c r="L98" s="52"/>
      <c r="M98" s="54" t="s">
        <v>446</v>
      </c>
      <c r="N98" s="55" t="n">
        <v>46332</v>
      </c>
      <c r="O98" s="55" t="n">
        <v>46333</v>
      </c>
      <c r="P98" s="50" t="s">
        <v>105</v>
      </c>
      <c r="Q98" s="52" t="n">
        <v>66</v>
      </c>
      <c r="R98" s="52"/>
      <c r="S98" s="52" t="n">
        <v>2</v>
      </c>
      <c r="T98" s="52" t="s">
        <v>106</v>
      </c>
      <c r="U98" s="52"/>
      <c r="V98" s="56" t="n">
        <v>0</v>
      </c>
      <c r="W98" s="50" t="s">
        <v>86</v>
      </c>
      <c r="X98" s="52"/>
      <c r="Y98" s="52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447</v>
      </c>
      <c r="B99" s="52" t="s">
        <v>448</v>
      </c>
      <c r="C99" s="50" t="s">
        <v>449</v>
      </c>
      <c r="D99" s="50" t="s">
        <v>91</v>
      </c>
      <c r="E99" s="51" t="n">
        <v>0.5</v>
      </c>
      <c r="F99" s="52"/>
      <c r="G99" s="52"/>
      <c r="H99" s="52"/>
      <c r="I99" s="53" t="n">
        <v>46266</v>
      </c>
      <c r="J99" s="53" t="n">
        <v>46267</v>
      </c>
      <c r="K99" s="52"/>
      <c r="L99" s="52"/>
      <c r="M99" s="54" t="s">
        <v>450</v>
      </c>
      <c r="N99" s="55" t="n">
        <v>46333</v>
      </c>
      <c r="O99" s="55" t="n">
        <v>46333</v>
      </c>
      <c r="P99" s="50" t="s">
        <v>105</v>
      </c>
      <c r="Q99" s="52" t="n">
        <v>66</v>
      </c>
      <c r="R99" s="52"/>
      <c r="S99" s="52" t="n">
        <v>2</v>
      </c>
      <c r="T99" s="52" t="s">
        <v>106</v>
      </c>
      <c r="U99" s="52"/>
      <c r="V99" s="56" t="n">
        <v>0</v>
      </c>
      <c r="W99" s="50" t="s">
        <v>86</v>
      </c>
      <c r="X99" s="52"/>
      <c r="Y99" s="52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451</v>
      </c>
      <c r="B100" s="39" t="s">
        <v>452</v>
      </c>
      <c r="C100" s="38" t="s">
        <v>453</v>
      </c>
      <c r="D100" s="39" t="s">
        <v>300</v>
      </c>
      <c r="E100" s="40" t="n">
        <v>5</v>
      </c>
      <c r="F100" s="39" t="s">
        <v>454</v>
      </c>
      <c r="G100" s="37"/>
      <c r="H100" s="37" t="n">
        <v>3</v>
      </c>
      <c r="I100" s="41" t="n">
        <v>46263</v>
      </c>
      <c r="J100" s="41" t="n">
        <v>46268</v>
      </c>
      <c r="K100" s="42"/>
      <c r="L100" s="42"/>
      <c r="M100" s="43"/>
      <c r="N100" s="44" t="n">
        <v>46332</v>
      </c>
      <c r="O100" s="45" t="n">
        <v>46334</v>
      </c>
      <c r="P100" s="46" t="s">
        <v>105</v>
      </c>
      <c r="Q100" s="37" t="n">
        <v>66</v>
      </c>
      <c r="R100" s="39"/>
      <c r="S100" s="39" t="n">
        <v>1</v>
      </c>
      <c r="T100" s="39" t="s">
        <v>106</v>
      </c>
      <c r="U100" s="57" t="n">
        <v>46332.01</v>
      </c>
      <c r="V100" s="47" t="n">
        <v>0</v>
      </c>
      <c r="W100" s="39" t="s">
        <v>86</v>
      </c>
      <c r="X100" s="39" t="s">
        <v>455</v>
      </c>
      <c r="Y100" s="39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456</v>
      </c>
      <c r="B101" s="50" t="s">
        <v>457</v>
      </c>
      <c r="C101" s="52"/>
      <c r="D101" s="50" t="s">
        <v>86</v>
      </c>
      <c r="E101" s="51" t="n">
        <v>0</v>
      </c>
      <c r="F101" s="52"/>
      <c r="G101" s="52"/>
      <c r="H101" s="52"/>
      <c r="I101" s="53" t="n">
        <v>46263</v>
      </c>
      <c r="J101" s="53" t="n">
        <v>46264</v>
      </c>
      <c r="K101" s="52"/>
      <c r="L101" s="52"/>
      <c r="M101" s="61"/>
      <c r="N101" s="55" t="n">
        <v>46332</v>
      </c>
      <c r="O101" s="55" t="n">
        <v>46332</v>
      </c>
      <c r="P101" s="50" t="s">
        <v>105</v>
      </c>
      <c r="Q101" s="52" t="n">
        <v>68</v>
      </c>
      <c r="R101" s="52"/>
      <c r="S101" s="52" t="n">
        <v>2</v>
      </c>
      <c r="T101" s="52" t="s">
        <v>106</v>
      </c>
      <c r="U101" s="52"/>
      <c r="V101" s="56" t="n">
        <v>0</v>
      </c>
      <c r="W101" s="52" t="s">
        <v>80</v>
      </c>
      <c r="X101" s="52"/>
      <c r="Y101" s="52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458</v>
      </c>
      <c r="B102" s="50" t="s">
        <v>459</v>
      </c>
      <c r="C102" s="50" t="s">
        <v>460</v>
      </c>
      <c r="D102" s="50" t="s">
        <v>91</v>
      </c>
      <c r="E102" s="51" t="n">
        <v>2</v>
      </c>
      <c r="F102" s="52"/>
      <c r="G102" s="52"/>
      <c r="H102" s="52"/>
      <c r="I102" s="53" t="n">
        <v>46264</v>
      </c>
      <c r="J102" s="53" t="n">
        <v>46267</v>
      </c>
      <c r="K102" s="52"/>
      <c r="L102" s="52"/>
      <c r="M102" s="54" t="s">
        <v>461</v>
      </c>
      <c r="N102" s="55" t="n">
        <v>46332</v>
      </c>
      <c r="O102" s="55" t="n">
        <v>46333</v>
      </c>
      <c r="P102" s="50" t="s">
        <v>105</v>
      </c>
      <c r="Q102" s="52" t="n">
        <v>66</v>
      </c>
      <c r="R102" s="52"/>
      <c r="S102" s="52" t="n">
        <v>2</v>
      </c>
      <c r="T102" s="52" t="s">
        <v>106</v>
      </c>
      <c r="U102" s="52"/>
      <c r="V102" s="56" t="n">
        <v>0</v>
      </c>
      <c r="W102" s="50" t="s">
        <v>86</v>
      </c>
      <c r="X102" s="52"/>
      <c r="Y102" s="52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462</v>
      </c>
      <c r="B103" s="52" t="s">
        <v>463</v>
      </c>
      <c r="C103" s="52" t="s">
        <v>464</v>
      </c>
      <c r="D103" s="50" t="s">
        <v>91</v>
      </c>
      <c r="E103" s="51" t="n">
        <v>0</v>
      </c>
      <c r="F103" s="52"/>
      <c r="G103" s="52"/>
      <c r="H103" s="52"/>
      <c r="I103" s="53"/>
      <c r="J103" s="53"/>
      <c r="K103" s="52"/>
      <c r="L103" s="52"/>
      <c r="M103" s="49"/>
      <c r="N103" s="55"/>
      <c r="O103" s="55"/>
      <c r="P103" s="50" t="s">
        <v>465</v>
      </c>
      <c r="Q103" s="52"/>
      <c r="R103" s="52"/>
      <c r="S103" s="52" t="n">
        <v>2</v>
      </c>
      <c r="T103" s="52" t="s">
        <v>466</v>
      </c>
      <c r="U103" s="52"/>
      <c r="V103" s="56" t="n">
        <v>0</v>
      </c>
      <c r="W103" s="50" t="s">
        <v>86</v>
      </c>
      <c r="X103" s="52"/>
      <c r="Y103" s="52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467</v>
      </c>
      <c r="B104" s="50" t="s">
        <v>468</v>
      </c>
      <c r="C104" s="50" t="s">
        <v>469</v>
      </c>
      <c r="D104" s="50" t="s">
        <v>91</v>
      </c>
      <c r="E104" s="51" t="n">
        <v>1.25</v>
      </c>
      <c r="F104" s="52"/>
      <c r="G104" s="52"/>
      <c r="H104" s="52"/>
      <c r="I104" s="53" t="n">
        <v>46265</v>
      </c>
      <c r="J104" s="53" t="n">
        <v>46267</v>
      </c>
      <c r="K104" s="52"/>
      <c r="L104" s="52"/>
      <c r="M104" s="54" t="s">
        <v>470</v>
      </c>
      <c r="N104" s="55" t="n">
        <v>46333</v>
      </c>
      <c r="O104" s="55" t="n">
        <v>46334</v>
      </c>
      <c r="P104" s="50" t="s">
        <v>105</v>
      </c>
      <c r="Q104" s="52" t="n">
        <v>67</v>
      </c>
      <c r="R104" s="52"/>
      <c r="S104" s="52" t="n">
        <v>2</v>
      </c>
      <c r="T104" s="52" t="s">
        <v>106</v>
      </c>
      <c r="U104" s="52"/>
      <c r="V104" s="56" t="n">
        <v>0</v>
      </c>
      <c r="W104" s="50" t="s">
        <v>86</v>
      </c>
      <c r="X104" s="52"/>
      <c r="Y104" s="52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471</v>
      </c>
      <c r="B105" s="50" t="s">
        <v>472</v>
      </c>
      <c r="C105" s="50" t="s">
        <v>473</v>
      </c>
      <c r="D105" s="50" t="s">
        <v>91</v>
      </c>
      <c r="E105" s="51" t="n">
        <v>1.25</v>
      </c>
      <c r="F105" s="52"/>
      <c r="G105" s="52"/>
      <c r="H105" s="52"/>
      <c r="I105" s="53" t="n">
        <v>46265</v>
      </c>
      <c r="J105" s="53" t="n">
        <v>46268</v>
      </c>
      <c r="K105" s="52"/>
      <c r="L105" s="52"/>
      <c r="M105" s="54" t="s">
        <v>474</v>
      </c>
      <c r="N105" s="55" t="n">
        <v>46333</v>
      </c>
      <c r="O105" s="55" t="n">
        <v>46334</v>
      </c>
      <c r="P105" s="50" t="s">
        <v>105</v>
      </c>
      <c r="Q105" s="52" t="n">
        <v>66</v>
      </c>
      <c r="R105" s="52"/>
      <c r="S105" s="52" t="n">
        <v>2</v>
      </c>
      <c r="T105" s="52" t="s">
        <v>106</v>
      </c>
      <c r="U105" s="52"/>
      <c r="V105" s="56" t="n">
        <v>0</v>
      </c>
      <c r="W105" s="50" t="s">
        <v>86</v>
      </c>
      <c r="X105" s="52"/>
      <c r="Y105" s="52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475</v>
      </c>
      <c r="B106" s="52" t="s">
        <v>476</v>
      </c>
      <c r="C106" s="50" t="s">
        <v>477</v>
      </c>
      <c r="D106" s="50" t="s">
        <v>91</v>
      </c>
      <c r="E106" s="51" t="n">
        <v>0.5</v>
      </c>
      <c r="F106" s="52"/>
      <c r="G106" s="52"/>
      <c r="H106" s="52"/>
      <c r="I106" s="53" t="n">
        <v>46267</v>
      </c>
      <c r="J106" s="53" t="n">
        <v>46268</v>
      </c>
      <c r="K106" s="52"/>
      <c r="L106" s="52"/>
      <c r="M106" s="54" t="s">
        <v>478</v>
      </c>
      <c r="N106" s="55" t="n">
        <v>46334</v>
      </c>
      <c r="O106" s="55" t="n">
        <v>46334</v>
      </c>
      <c r="P106" s="50" t="s">
        <v>105</v>
      </c>
      <c r="Q106" s="52" t="n">
        <v>66</v>
      </c>
      <c r="R106" s="52"/>
      <c r="S106" s="52" t="n">
        <v>2</v>
      </c>
      <c r="T106" s="52" t="s">
        <v>106</v>
      </c>
      <c r="U106" s="52"/>
      <c r="V106" s="56" t="n">
        <v>0</v>
      </c>
      <c r="W106" s="50" t="s">
        <v>86</v>
      </c>
      <c r="X106" s="52"/>
      <c r="Y106" s="52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479</v>
      </c>
      <c r="B107" s="39" t="s">
        <v>480</v>
      </c>
      <c r="C107" s="39"/>
      <c r="D107" s="39" t="s">
        <v>300</v>
      </c>
      <c r="E107" s="40" t="n">
        <v>2.5</v>
      </c>
      <c r="F107" s="39" t="s">
        <v>454</v>
      </c>
      <c r="G107" s="37"/>
      <c r="H107" s="37" t="n">
        <v>2</v>
      </c>
      <c r="I107" s="41" t="n">
        <v>46265</v>
      </c>
      <c r="J107" s="41" t="n">
        <v>46269</v>
      </c>
      <c r="K107" s="42"/>
      <c r="L107" s="42"/>
      <c r="M107" s="43"/>
      <c r="N107" s="44" t="n">
        <v>46333</v>
      </c>
      <c r="O107" s="45" t="n">
        <v>46334</v>
      </c>
      <c r="P107" s="46" t="s">
        <v>105</v>
      </c>
      <c r="Q107" s="37" t="n">
        <v>65</v>
      </c>
      <c r="R107" s="39"/>
      <c r="S107" s="39" t="n">
        <v>1</v>
      </c>
      <c r="T107" s="39" t="s">
        <v>106</v>
      </c>
      <c r="U107" s="57" t="n">
        <v>46333.0107</v>
      </c>
      <c r="V107" s="47" t="n">
        <v>0</v>
      </c>
      <c r="W107" s="39" t="s">
        <v>86</v>
      </c>
      <c r="X107" s="39" t="s">
        <v>481</v>
      </c>
      <c r="Y107" s="39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482</v>
      </c>
      <c r="B108" s="52" t="s">
        <v>483</v>
      </c>
      <c r="C108" s="52" t="s">
        <v>484</v>
      </c>
      <c r="D108" s="50" t="s">
        <v>91</v>
      </c>
      <c r="E108" s="51" t="n">
        <v>1</v>
      </c>
      <c r="F108" s="52"/>
      <c r="G108" s="52"/>
      <c r="H108" s="52"/>
      <c r="I108" s="53" t="n">
        <v>46265</v>
      </c>
      <c r="J108" s="53" t="n">
        <v>46268</v>
      </c>
      <c r="K108" s="52"/>
      <c r="L108" s="52"/>
      <c r="M108" s="54" t="s">
        <v>485</v>
      </c>
      <c r="N108" s="55" t="n">
        <v>46333</v>
      </c>
      <c r="O108" s="55" t="n">
        <v>46334</v>
      </c>
      <c r="P108" s="50" t="s">
        <v>105</v>
      </c>
      <c r="Q108" s="52" t="n">
        <v>66</v>
      </c>
      <c r="R108" s="52"/>
      <c r="S108" s="52" t="n">
        <v>2</v>
      </c>
      <c r="T108" s="52" t="s">
        <v>106</v>
      </c>
      <c r="U108" s="52"/>
      <c r="V108" s="56" t="n">
        <v>0</v>
      </c>
      <c r="W108" s="50" t="s">
        <v>86</v>
      </c>
      <c r="X108" s="52"/>
      <c r="Y108" s="52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486</v>
      </c>
      <c r="B109" s="50" t="s">
        <v>487</v>
      </c>
      <c r="C109" s="50" t="s">
        <v>488</v>
      </c>
      <c r="D109" s="50" t="s">
        <v>91</v>
      </c>
      <c r="E109" s="51" t="n">
        <v>1</v>
      </c>
      <c r="F109" s="52"/>
      <c r="G109" s="52"/>
      <c r="H109" s="52"/>
      <c r="I109" s="53" t="n">
        <v>46267</v>
      </c>
      <c r="J109" s="53" t="n">
        <v>46269</v>
      </c>
      <c r="K109" s="52"/>
      <c r="L109" s="52"/>
      <c r="M109" s="54" t="s">
        <v>489</v>
      </c>
      <c r="N109" s="55" t="n">
        <v>46334</v>
      </c>
      <c r="O109" s="55" t="n">
        <v>46334</v>
      </c>
      <c r="P109" s="50" t="s">
        <v>105</v>
      </c>
      <c r="Q109" s="52" t="n">
        <v>65</v>
      </c>
      <c r="R109" s="52"/>
      <c r="S109" s="52" t="n">
        <v>2</v>
      </c>
      <c r="T109" s="52" t="s">
        <v>106</v>
      </c>
      <c r="U109" s="52"/>
      <c r="V109" s="56" t="n">
        <v>0</v>
      </c>
      <c r="W109" s="50" t="s">
        <v>86</v>
      </c>
      <c r="X109" s="52"/>
      <c r="Y109" s="52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490</v>
      </c>
      <c r="B110" s="52" t="s">
        <v>491</v>
      </c>
      <c r="C110" s="50" t="s">
        <v>492</v>
      </c>
      <c r="D110" s="50" t="s">
        <v>91</v>
      </c>
      <c r="E110" s="51" t="n">
        <v>0.5</v>
      </c>
      <c r="F110" s="52"/>
      <c r="G110" s="52"/>
      <c r="H110" s="52"/>
      <c r="I110" s="53" t="n">
        <v>46266</v>
      </c>
      <c r="J110" s="53" t="n">
        <v>46268</v>
      </c>
      <c r="K110" s="52"/>
      <c r="L110" s="52"/>
      <c r="M110" s="54" t="s">
        <v>493</v>
      </c>
      <c r="N110" s="55" t="n">
        <v>46333</v>
      </c>
      <c r="O110" s="55" t="n">
        <v>46334</v>
      </c>
      <c r="P110" s="50" t="s">
        <v>105</v>
      </c>
      <c r="Q110" s="52" t="n">
        <v>66</v>
      </c>
      <c r="R110" s="52"/>
      <c r="S110" s="52" t="n">
        <v>2</v>
      </c>
      <c r="T110" s="52" t="s">
        <v>106</v>
      </c>
      <c r="U110" s="52"/>
      <c r="V110" s="56" t="n">
        <v>0</v>
      </c>
      <c r="W110" s="50" t="s">
        <v>86</v>
      </c>
      <c r="X110" s="52"/>
      <c r="Y110" s="52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494</v>
      </c>
      <c r="B111" s="39" t="s">
        <v>495</v>
      </c>
      <c r="C111" s="39" t="s">
        <v>496</v>
      </c>
      <c r="D111" s="39" t="s">
        <v>79</v>
      </c>
      <c r="E111" s="40" t="n">
        <v>0</v>
      </c>
      <c r="F111" s="38" t="s">
        <v>247</v>
      </c>
      <c r="G111" s="37"/>
      <c r="H111" s="37" t="n">
        <v>1</v>
      </c>
      <c r="I111" s="41" t="n">
        <v>46270</v>
      </c>
      <c r="J111" s="41" t="n">
        <v>46270</v>
      </c>
      <c r="K111" s="42"/>
      <c r="L111" s="42"/>
      <c r="M111" s="43"/>
      <c r="N111" s="44" t="n">
        <v>46335</v>
      </c>
      <c r="O111" s="45" t="n">
        <v>46335</v>
      </c>
      <c r="P111" s="46" t="s">
        <v>105</v>
      </c>
      <c r="Q111" s="37" t="n">
        <v>65</v>
      </c>
      <c r="R111" s="39"/>
      <c r="S111" s="39" t="n">
        <v>1</v>
      </c>
      <c r="T111" s="39" t="s">
        <v>106</v>
      </c>
      <c r="U111" s="57" t="n">
        <v>46335.0111</v>
      </c>
      <c r="V111" s="47" t="n">
        <v>0</v>
      </c>
      <c r="W111" s="38" t="s">
        <v>80</v>
      </c>
      <c r="X111" s="39" t="s">
        <v>497</v>
      </c>
      <c r="Y111" s="38" t="s">
        <v>498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499</v>
      </c>
      <c r="B112" s="50" t="s">
        <v>500</v>
      </c>
      <c r="C112" s="50" t="s">
        <v>501</v>
      </c>
      <c r="D112" s="50" t="s">
        <v>91</v>
      </c>
      <c r="E112" s="51" t="n">
        <v>0</v>
      </c>
      <c r="F112" s="52"/>
      <c r="G112" s="52"/>
      <c r="H112" s="52"/>
      <c r="I112" s="53" t="n">
        <v>46270</v>
      </c>
      <c r="J112" s="53" t="n">
        <v>46270</v>
      </c>
      <c r="K112" s="52"/>
      <c r="L112" s="52"/>
      <c r="M112" s="54" t="s">
        <v>502</v>
      </c>
      <c r="N112" s="55" t="n">
        <v>46335</v>
      </c>
      <c r="O112" s="55" t="n">
        <v>46335</v>
      </c>
      <c r="P112" s="50" t="s">
        <v>105</v>
      </c>
      <c r="Q112" s="52" t="n">
        <v>65</v>
      </c>
      <c r="R112" s="52"/>
      <c r="S112" s="52" t="n">
        <v>2</v>
      </c>
      <c r="T112" s="52" t="s">
        <v>106</v>
      </c>
      <c r="U112" s="52"/>
      <c r="V112" s="56" t="n">
        <v>0</v>
      </c>
      <c r="W112" s="50" t="s">
        <v>86</v>
      </c>
      <c r="X112" s="52"/>
      <c r="Y112" s="52" t="s">
        <v>498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503</v>
      </c>
      <c r="B113" s="50" t="s">
        <v>504</v>
      </c>
      <c r="C113" s="50" t="s">
        <v>505</v>
      </c>
      <c r="D113" s="50" t="s">
        <v>91</v>
      </c>
      <c r="E113" s="51" t="n">
        <v>0</v>
      </c>
      <c r="F113" s="52"/>
      <c r="G113" s="52"/>
      <c r="H113" s="52"/>
      <c r="I113" s="53" t="n">
        <v>46270</v>
      </c>
      <c r="J113" s="53" t="n">
        <v>46270</v>
      </c>
      <c r="K113" s="52"/>
      <c r="L113" s="52"/>
      <c r="M113" s="54" t="s">
        <v>506</v>
      </c>
      <c r="N113" s="55" t="n">
        <v>46335</v>
      </c>
      <c r="O113" s="55" t="n">
        <v>46335</v>
      </c>
      <c r="P113" s="50" t="s">
        <v>105</v>
      </c>
      <c r="Q113" s="52" t="n">
        <v>65</v>
      </c>
      <c r="R113" s="52"/>
      <c r="S113" s="52" t="n">
        <v>2</v>
      </c>
      <c r="T113" s="52" t="s">
        <v>106</v>
      </c>
      <c r="U113" s="52"/>
      <c r="V113" s="56" t="n">
        <v>0</v>
      </c>
      <c r="W113" s="50" t="s">
        <v>86</v>
      </c>
      <c r="X113" s="52"/>
      <c r="Y113" s="52" t="s">
        <v>498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507</v>
      </c>
      <c r="B114" s="31" t="s">
        <v>508</v>
      </c>
      <c r="C114" s="31"/>
      <c r="D114" s="31"/>
      <c r="E114" s="32" t="n">
        <v>5</v>
      </c>
      <c r="F114" s="31"/>
      <c r="G114" s="31"/>
      <c r="H114" s="31"/>
      <c r="I114" s="33" t="n">
        <v>46271</v>
      </c>
      <c r="J114" s="33" t="n">
        <v>46333</v>
      </c>
      <c r="K114" s="31"/>
      <c r="L114" s="31"/>
      <c r="M114" s="31"/>
      <c r="N114" s="33" t="n">
        <v>46269</v>
      </c>
      <c r="O114" s="33" t="n">
        <v>46430</v>
      </c>
      <c r="P114" s="34" t="s">
        <v>75</v>
      </c>
      <c r="Q114" s="31" t="n">
        <v>97</v>
      </c>
      <c r="R114" s="31"/>
      <c r="S114" s="31" t="n">
        <v>0</v>
      </c>
      <c r="T114" s="31" t="s">
        <v>76</v>
      </c>
      <c r="U114" s="31"/>
      <c r="V114" s="35" t="n">
        <v>0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509</v>
      </c>
      <c r="B115" s="39" t="s">
        <v>510</v>
      </c>
      <c r="C115" s="39"/>
      <c r="D115" s="39" t="s">
        <v>300</v>
      </c>
      <c r="E115" s="40" t="n">
        <v>2.5</v>
      </c>
      <c r="F115" s="38" t="s">
        <v>247</v>
      </c>
      <c r="G115" s="37"/>
      <c r="H115" s="37" t="n">
        <v>1</v>
      </c>
      <c r="I115" s="41" t="n">
        <v>46271</v>
      </c>
      <c r="J115" s="41" t="n">
        <v>46273</v>
      </c>
      <c r="K115" s="42"/>
      <c r="L115" s="42" t="n">
        <v>46315</v>
      </c>
      <c r="M115" s="43"/>
      <c r="N115" s="44" t="n">
        <v>46315</v>
      </c>
      <c r="O115" s="45" t="n">
        <v>46315</v>
      </c>
      <c r="P115" s="46" t="s">
        <v>511</v>
      </c>
      <c r="Q115" s="37" t="n">
        <v>42</v>
      </c>
      <c r="R115" s="39"/>
      <c r="S115" s="39" t="n">
        <v>1</v>
      </c>
      <c r="T115" s="39" t="s">
        <v>512</v>
      </c>
      <c r="U115" s="57" t="n">
        <v>46315.0115</v>
      </c>
      <c r="V115" s="47" t="n">
        <v>0</v>
      </c>
      <c r="W115" s="39" t="s">
        <v>86</v>
      </c>
      <c r="X115" s="39" t="s">
        <v>513</v>
      </c>
      <c r="Y115" s="38" t="s">
        <v>514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515</v>
      </c>
      <c r="B116" s="52" t="s">
        <v>516</v>
      </c>
      <c r="C116" s="52" t="s">
        <v>517</v>
      </c>
      <c r="D116" s="50" t="s">
        <v>86</v>
      </c>
      <c r="E116" s="51" t="n">
        <v>0.25</v>
      </c>
      <c r="F116" s="52"/>
      <c r="G116" s="52"/>
      <c r="H116" s="52"/>
      <c r="I116" s="53" t="n">
        <v>46271</v>
      </c>
      <c r="J116" s="53" t="n">
        <v>46271</v>
      </c>
      <c r="K116" s="52"/>
      <c r="L116" s="52"/>
      <c r="M116" s="54" t="s">
        <v>518</v>
      </c>
      <c r="N116" s="55" t="n">
        <v>46315</v>
      </c>
      <c r="O116" s="55" t="n">
        <v>46315</v>
      </c>
      <c r="P116" s="50" t="s">
        <v>105</v>
      </c>
      <c r="Q116" s="52" t="n">
        <v>44</v>
      </c>
      <c r="R116" s="52"/>
      <c r="S116" s="52" t="n">
        <v>2</v>
      </c>
      <c r="T116" s="52" t="s">
        <v>106</v>
      </c>
      <c r="U116" s="52"/>
      <c r="V116" s="56" t="n">
        <v>0</v>
      </c>
      <c r="W116" s="52" t="s">
        <v>80</v>
      </c>
      <c r="X116" s="52"/>
      <c r="Y116" s="52" t="s">
        <v>514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519</v>
      </c>
      <c r="B117" s="50" t="s">
        <v>520</v>
      </c>
      <c r="C117" s="50" t="s">
        <v>521</v>
      </c>
      <c r="D117" s="50" t="s">
        <v>91</v>
      </c>
      <c r="E117" s="51" t="n">
        <v>0.75</v>
      </c>
      <c r="F117" s="52"/>
      <c r="G117" s="52"/>
      <c r="H117" s="52"/>
      <c r="I117" s="53" t="n">
        <v>46271</v>
      </c>
      <c r="J117" s="53" t="n">
        <v>46272</v>
      </c>
      <c r="K117" s="52"/>
      <c r="L117" s="52"/>
      <c r="M117" s="54" t="s">
        <v>522</v>
      </c>
      <c r="N117" s="55" t="n">
        <v>46315</v>
      </c>
      <c r="O117" s="55" t="n">
        <v>46315</v>
      </c>
      <c r="P117" s="50" t="s">
        <v>105</v>
      </c>
      <c r="Q117" s="52" t="n">
        <v>43</v>
      </c>
      <c r="R117" s="52"/>
      <c r="S117" s="52" t="n">
        <v>2</v>
      </c>
      <c r="T117" s="52" t="s">
        <v>106</v>
      </c>
      <c r="U117" s="52"/>
      <c r="V117" s="56" t="n">
        <v>0</v>
      </c>
      <c r="W117" s="50" t="s">
        <v>86</v>
      </c>
      <c r="X117" s="52"/>
      <c r="Y117" s="52" t="s">
        <v>514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523</v>
      </c>
      <c r="B118" s="50" t="s">
        <v>524</v>
      </c>
      <c r="C118" s="50" t="s">
        <v>525</v>
      </c>
      <c r="D118" s="50" t="s">
        <v>91</v>
      </c>
      <c r="E118" s="51" t="n">
        <v>0.25</v>
      </c>
      <c r="F118" s="52"/>
      <c r="G118" s="52"/>
      <c r="H118" s="52"/>
      <c r="I118" s="53" t="n">
        <v>46272</v>
      </c>
      <c r="J118" s="53" t="n">
        <v>46272</v>
      </c>
      <c r="K118" s="52"/>
      <c r="L118" s="52"/>
      <c r="M118" s="54" t="s">
        <v>526</v>
      </c>
      <c r="N118" s="55" t="n">
        <v>46315</v>
      </c>
      <c r="O118" s="55" t="n">
        <v>46315</v>
      </c>
      <c r="P118" s="50" t="s">
        <v>105</v>
      </c>
      <c r="Q118" s="52" t="n">
        <v>43</v>
      </c>
      <c r="R118" s="52"/>
      <c r="S118" s="52" t="n">
        <v>2</v>
      </c>
      <c r="T118" s="52" t="s">
        <v>106</v>
      </c>
      <c r="U118" s="52"/>
      <c r="V118" s="56" t="n">
        <v>0</v>
      </c>
      <c r="W118" s="50" t="s">
        <v>86</v>
      </c>
      <c r="X118" s="52"/>
      <c r="Y118" s="52" t="s">
        <v>514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527</v>
      </c>
      <c r="B119" s="50" t="s">
        <v>528</v>
      </c>
      <c r="C119" s="50" t="s">
        <v>529</v>
      </c>
      <c r="D119" s="50" t="s">
        <v>91</v>
      </c>
      <c r="E119" s="51" t="n">
        <v>0.25</v>
      </c>
      <c r="F119" s="52"/>
      <c r="G119" s="52"/>
      <c r="H119" s="52"/>
      <c r="I119" s="53" t="n">
        <v>46272</v>
      </c>
      <c r="J119" s="53" t="n">
        <v>46272</v>
      </c>
      <c r="K119" s="52"/>
      <c r="L119" s="52"/>
      <c r="M119" s="54" t="s">
        <v>530</v>
      </c>
      <c r="N119" s="55" t="n">
        <v>46315</v>
      </c>
      <c r="O119" s="55" t="n">
        <v>46315</v>
      </c>
      <c r="P119" s="50" t="s">
        <v>105</v>
      </c>
      <c r="Q119" s="52" t="n">
        <v>43</v>
      </c>
      <c r="R119" s="52"/>
      <c r="S119" s="52" t="n">
        <v>2</v>
      </c>
      <c r="T119" s="52" t="s">
        <v>106</v>
      </c>
      <c r="U119" s="52"/>
      <c r="V119" s="56" t="n">
        <v>0</v>
      </c>
      <c r="W119" s="50" t="s">
        <v>86</v>
      </c>
      <c r="X119" s="52"/>
      <c r="Y119" s="52" t="s">
        <v>514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531</v>
      </c>
      <c r="B120" s="50" t="s">
        <v>532</v>
      </c>
      <c r="C120" s="50" t="s">
        <v>533</v>
      </c>
      <c r="D120" s="50" t="s">
        <v>91</v>
      </c>
      <c r="E120" s="51" t="n">
        <v>0.5</v>
      </c>
      <c r="F120" s="52"/>
      <c r="G120" s="52"/>
      <c r="H120" s="52"/>
      <c r="I120" s="53" t="n">
        <v>46272</v>
      </c>
      <c r="J120" s="53" t="n">
        <v>46273</v>
      </c>
      <c r="K120" s="52"/>
      <c r="L120" s="52"/>
      <c r="M120" s="54" t="s">
        <v>534</v>
      </c>
      <c r="N120" s="55" t="n">
        <v>46315</v>
      </c>
      <c r="O120" s="55" t="n">
        <v>46315</v>
      </c>
      <c r="P120" s="50" t="s">
        <v>105</v>
      </c>
      <c r="Q120" s="52" t="n">
        <v>42</v>
      </c>
      <c r="R120" s="52"/>
      <c r="S120" s="52" t="n">
        <v>2</v>
      </c>
      <c r="T120" s="52" t="s">
        <v>106</v>
      </c>
      <c r="U120" s="52"/>
      <c r="V120" s="56" t="n">
        <v>0</v>
      </c>
      <c r="W120" s="50" t="s">
        <v>86</v>
      </c>
      <c r="X120" s="52"/>
      <c r="Y120" s="52" t="s">
        <v>514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535</v>
      </c>
      <c r="B121" s="50" t="s">
        <v>536</v>
      </c>
      <c r="C121" s="50" t="s">
        <v>537</v>
      </c>
      <c r="D121" s="50" t="s">
        <v>91</v>
      </c>
      <c r="E121" s="51" t="n">
        <v>0.5</v>
      </c>
      <c r="F121" s="52"/>
      <c r="G121" s="52"/>
      <c r="H121" s="52"/>
      <c r="I121" s="53" t="n">
        <v>46272</v>
      </c>
      <c r="J121" s="53" t="n">
        <v>46273</v>
      </c>
      <c r="K121" s="52"/>
      <c r="L121" s="52"/>
      <c r="M121" s="54" t="s">
        <v>538</v>
      </c>
      <c r="N121" s="55" t="n">
        <v>46315</v>
      </c>
      <c r="O121" s="55" t="n">
        <v>46315</v>
      </c>
      <c r="P121" s="50" t="s">
        <v>105</v>
      </c>
      <c r="Q121" s="52" t="n">
        <v>42</v>
      </c>
      <c r="R121" s="52"/>
      <c r="S121" s="52" t="n">
        <v>2</v>
      </c>
      <c r="T121" s="52" t="s">
        <v>106</v>
      </c>
      <c r="U121" s="52"/>
      <c r="V121" s="56" t="n">
        <v>0</v>
      </c>
      <c r="W121" s="50" t="s">
        <v>86</v>
      </c>
      <c r="X121" s="52"/>
      <c r="Y121" s="52" t="s">
        <v>514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539</v>
      </c>
      <c r="B122" s="39" t="s">
        <v>540</v>
      </c>
      <c r="C122" s="39"/>
      <c r="D122" s="39" t="s">
        <v>79</v>
      </c>
      <c r="E122" s="40" t="n">
        <v>0</v>
      </c>
      <c r="F122" s="38" t="s">
        <v>247</v>
      </c>
      <c r="G122" s="37"/>
      <c r="H122" s="37" t="n">
        <v>1</v>
      </c>
      <c r="I122" s="41" t="n">
        <v>46273</v>
      </c>
      <c r="J122" s="41" t="n">
        <v>46273</v>
      </c>
      <c r="K122" s="42"/>
      <c r="L122" s="42"/>
      <c r="M122" s="43"/>
      <c r="N122" s="44" t="n">
        <v>46364</v>
      </c>
      <c r="O122" s="45" t="n">
        <v>46364</v>
      </c>
      <c r="P122" s="46" t="s">
        <v>105</v>
      </c>
      <c r="Q122" s="37" t="n">
        <v>91</v>
      </c>
      <c r="R122" s="39"/>
      <c r="S122" s="39" t="n">
        <v>1</v>
      </c>
      <c r="T122" s="39" t="s">
        <v>106</v>
      </c>
      <c r="U122" s="57" t="n">
        <v>46364.0122</v>
      </c>
      <c r="V122" s="47" t="n">
        <v>0</v>
      </c>
      <c r="W122" s="38" t="s">
        <v>80</v>
      </c>
      <c r="X122" s="39"/>
      <c r="Y122" s="38" t="s">
        <v>541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542</v>
      </c>
      <c r="B123" s="39" t="s">
        <v>543</v>
      </c>
      <c r="C123" s="38" t="s">
        <v>544</v>
      </c>
      <c r="D123" s="39" t="s">
        <v>79</v>
      </c>
      <c r="E123" s="40" t="n">
        <v>0</v>
      </c>
      <c r="F123" s="38" t="s">
        <v>494</v>
      </c>
      <c r="G123" s="37" t="n">
        <v>0</v>
      </c>
      <c r="H123" s="37" t="n">
        <v>5</v>
      </c>
      <c r="I123" s="41" t="n">
        <v>46271</v>
      </c>
      <c r="J123" s="41" t="n">
        <v>46275</v>
      </c>
      <c r="K123" s="42" t="n">
        <v>46269</v>
      </c>
      <c r="L123" s="42" t="n">
        <v>46275</v>
      </c>
      <c r="M123" s="43"/>
      <c r="N123" s="44" t="n">
        <v>46269</v>
      </c>
      <c r="O123" s="45" t="n">
        <v>46275</v>
      </c>
      <c r="P123" s="46" t="s">
        <v>60</v>
      </c>
      <c r="Q123" s="37" t="n">
        <v>0</v>
      </c>
      <c r="R123" s="39"/>
      <c r="S123" s="39" t="n">
        <v>1</v>
      </c>
      <c r="T123" s="39" t="s">
        <v>155</v>
      </c>
      <c r="U123" s="39"/>
      <c r="V123" s="47" t="n">
        <v>1</v>
      </c>
      <c r="W123" s="38" t="s">
        <v>80</v>
      </c>
      <c r="X123" s="39"/>
      <c r="Y123" s="38" t="s">
        <v>545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546</v>
      </c>
      <c r="B124" s="39" t="s">
        <v>547</v>
      </c>
      <c r="C124" s="39"/>
      <c r="D124" s="39" t="s">
        <v>79</v>
      </c>
      <c r="E124" s="40" t="n">
        <v>2.5</v>
      </c>
      <c r="F124" s="38" t="s">
        <v>548</v>
      </c>
      <c r="G124" s="37" t="n">
        <v>0</v>
      </c>
      <c r="H124" s="58" t="n">
        <v>14</v>
      </c>
      <c r="I124" s="41" t="n">
        <v>46320</v>
      </c>
      <c r="J124" s="41" t="n">
        <v>46333</v>
      </c>
      <c r="K124" s="42"/>
      <c r="L124" s="42"/>
      <c r="M124" s="43"/>
      <c r="N124" s="44" t="n">
        <v>46417</v>
      </c>
      <c r="O124" s="45" t="n">
        <v>46430</v>
      </c>
      <c r="P124" s="46" t="s">
        <v>105</v>
      </c>
      <c r="Q124" s="37" t="n">
        <v>97</v>
      </c>
      <c r="R124" s="39"/>
      <c r="S124" s="39" t="n">
        <v>1</v>
      </c>
      <c r="T124" s="39" t="s">
        <v>106</v>
      </c>
      <c r="U124" s="57" t="n">
        <v>46417.0124</v>
      </c>
      <c r="V124" s="47" t="n">
        <v>0</v>
      </c>
      <c r="W124" s="38" t="s">
        <v>80</v>
      </c>
      <c r="X124" s="39" t="s">
        <v>549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550</v>
      </c>
      <c r="B125" s="50" t="s">
        <v>551</v>
      </c>
      <c r="C125" s="50" t="s">
        <v>552</v>
      </c>
      <c r="D125" s="50" t="s">
        <v>86</v>
      </c>
      <c r="E125" s="51" t="n">
        <v>0.75</v>
      </c>
      <c r="F125" s="52"/>
      <c r="G125" s="52"/>
      <c r="H125" s="52"/>
      <c r="I125" s="53" t="n">
        <v>46320</v>
      </c>
      <c r="J125" s="53" t="n">
        <v>46324</v>
      </c>
      <c r="K125" s="52"/>
      <c r="L125" s="52"/>
      <c r="M125" s="54" t="s">
        <v>553</v>
      </c>
      <c r="N125" s="55" t="n">
        <v>46417</v>
      </c>
      <c r="O125" s="55" t="n">
        <v>46421</v>
      </c>
      <c r="P125" s="50" t="s">
        <v>105</v>
      </c>
      <c r="Q125" s="52" t="n">
        <v>97</v>
      </c>
      <c r="R125" s="52"/>
      <c r="S125" s="52" t="n">
        <v>2</v>
      </c>
      <c r="T125" s="52" t="s">
        <v>106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554</v>
      </c>
      <c r="B126" s="50" t="s">
        <v>555</v>
      </c>
      <c r="C126" s="52" t="s">
        <v>556</v>
      </c>
      <c r="D126" s="50" t="s">
        <v>86</v>
      </c>
      <c r="E126" s="51" t="n">
        <v>1</v>
      </c>
      <c r="F126" s="52"/>
      <c r="G126" s="52"/>
      <c r="H126" s="52"/>
      <c r="I126" s="53" t="n">
        <v>46323</v>
      </c>
      <c r="J126" s="53" t="n">
        <v>46330</v>
      </c>
      <c r="K126" s="52"/>
      <c r="L126" s="52"/>
      <c r="M126" s="54" t="s">
        <v>557</v>
      </c>
      <c r="N126" s="55" t="n">
        <v>46420</v>
      </c>
      <c r="O126" s="55" t="n">
        <v>46427</v>
      </c>
      <c r="P126" s="50" t="s">
        <v>105</v>
      </c>
      <c r="Q126" s="52" t="n">
        <v>97</v>
      </c>
      <c r="R126" s="52"/>
      <c r="S126" s="52" t="n">
        <v>2</v>
      </c>
      <c r="T126" s="52" t="s">
        <v>106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558</v>
      </c>
      <c r="B127" s="52" t="s">
        <v>559</v>
      </c>
      <c r="C127" s="52" t="s">
        <v>560</v>
      </c>
      <c r="D127" s="50" t="s">
        <v>86</v>
      </c>
      <c r="E127" s="51" t="n">
        <v>0.75</v>
      </c>
      <c r="F127" s="52"/>
      <c r="G127" s="52"/>
      <c r="H127" s="52"/>
      <c r="I127" s="53" t="n">
        <v>46330</v>
      </c>
      <c r="J127" s="53" t="n">
        <v>46333</v>
      </c>
      <c r="K127" s="52"/>
      <c r="L127" s="52"/>
      <c r="M127" s="54" t="s">
        <v>561</v>
      </c>
      <c r="N127" s="55" t="n">
        <v>46427</v>
      </c>
      <c r="O127" s="55" t="n">
        <v>46430</v>
      </c>
      <c r="P127" s="50" t="s">
        <v>105</v>
      </c>
      <c r="Q127" s="52" t="n">
        <v>97</v>
      </c>
      <c r="R127" s="52"/>
      <c r="S127" s="52" t="n">
        <v>2</v>
      </c>
      <c r="T127" s="52" t="s">
        <v>106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562</v>
      </c>
      <c r="B128" s="39" t="s">
        <v>563</v>
      </c>
      <c r="C128" s="39"/>
      <c r="D128" s="39" t="s">
        <v>300</v>
      </c>
      <c r="E128" s="40" t="n">
        <v>0</v>
      </c>
      <c r="F128" s="38" t="s">
        <v>247</v>
      </c>
      <c r="G128" s="37"/>
      <c r="H128" s="37" t="n">
        <v>1</v>
      </c>
      <c r="I128" s="41" t="n">
        <v>46283</v>
      </c>
      <c r="J128" s="41" t="n">
        <v>46283</v>
      </c>
      <c r="K128" s="42"/>
      <c r="L128" s="42" t="n">
        <v>46322</v>
      </c>
      <c r="M128" s="43"/>
      <c r="N128" s="44" t="n">
        <v>46322</v>
      </c>
      <c r="O128" s="45" t="n">
        <v>46322</v>
      </c>
      <c r="P128" s="46" t="s">
        <v>511</v>
      </c>
      <c r="Q128" s="37" t="n">
        <v>39</v>
      </c>
      <c r="R128" s="39"/>
      <c r="S128" s="39" t="n">
        <v>1</v>
      </c>
      <c r="T128" s="39" t="s">
        <v>512</v>
      </c>
      <c r="U128" s="57" t="n">
        <v>46322.0128</v>
      </c>
      <c r="V128" s="47" t="n">
        <v>0</v>
      </c>
      <c r="W128" s="39" t="s">
        <v>86</v>
      </c>
      <c r="X128" s="39"/>
      <c r="Y128" s="38" t="s">
        <v>564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565</v>
      </c>
      <c r="B129" s="38" t="s">
        <v>566</v>
      </c>
      <c r="C129" s="39" t="s">
        <v>567</v>
      </c>
      <c r="D129" s="39" t="s">
        <v>114</v>
      </c>
      <c r="E129" s="40" t="n">
        <v>0</v>
      </c>
      <c r="F129" s="38" t="s">
        <v>562</v>
      </c>
      <c r="G129" s="37" t="n">
        <v>0</v>
      </c>
      <c r="H129" s="37" t="n">
        <v>1</v>
      </c>
      <c r="I129" s="41" t="n">
        <v>46283</v>
      </c>
      <c r="J129" s="41" t="n">
        <v>46283</v>
      </c>
      <c r="K129" s="42"/>
      <c r="L129" s="42"/>
      <c r="M129" s="43" t="s">
        <v>230</v>
      </c>
      <c r="N129" s="44" t="n">
        <v>46283</v>
      </c>
      <c r="O129" s="45" t="n">
        <v>46283</v>
      </c>
      <c r="P129" s="46" t="s">
        <v>231</v>
      </c>
      <c r="Q129" s="37" t="n">
        <v>0</v>
      </c>
      <c r="R129" s="39"/>
      <c r="S129" s="39" t="n">
        <v>1</v>
      </c>
      <c r="T129" s="39" t="s">
        <v>163</v>
      </c>
      <c r="U129" s="39"/>
      <c r="V129" s="47" t="n">
        <v>1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568</v>
      </c>
      <c r="B130" s="38" t="s">
        <v>569</v>
      </c>
      <c r="C130" s="39"/>
      <c r="D130" s="39" t="s">
        <v>114</v>
      </c>
      <c r="E130" s="40" t="n">
        <v>0</v>
      </c>
      <c r="F130" s="38" t="s">
        <v>562</v>
      </c>
      <c r="G130" s="37" t="n">
        <v>0</v>
      </c>
      <c r="H130" s="37" t="n">
        <v>5</v>
      </c>
      <c r="I130" s="41" t="n">
        <v>46283</v>
      </c>
      <c r="J130" s="41" t="n">
        <v>46283</v>
      </c>
      <c r="K130" s="42"/>
      <c r="L130" s="42"/>
      <c r="M130" s="43"/>
      <c r="N130" s="44" t="n">
        <v>46323</v>
      </c>
      <c r="O130" s="45" t="n">
        <v>46328</v>
      </c>
      <c r="P130" s="46" t="s">
        <v>105</v>
      </c>
      <c r="Q130" s="37" t="n">
        <v>45</v>
      </c>
      <c r="R130" s="39"/>
      <c r="S130" s="39" t="n">
        <v>1</v>
      </c>
      <c r="T130" s="39" t="s">
        <v>106</v>
      </c>
      <c r="U130" s="57" t="n">
        <v>46323.013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570</v>
      </c>
      <c r="B131" s="39" t="s">
        <v>571</v>
      </c>
      <c r="C131" s="39"/>
      <c r="D131" s="39" t="s">
        <v>79</v>
      </c>
      <c r="E131" s="40" t="n">
        <v>0</v>
      </c>
      <c r="F131" s="38" t="s">
        <v>293</v>
      </c>
      <c r="G131" s="37" t="n">
        <v>0</v>
      </c>
      <c r="H131" s="58" t="n">
        <v>3</v>
      </c>
      <c r="I131" s="41" t="n">
        <v>46317</v>
      </c>
      <c r="J131" s="41" t="n">
        <v>46319</v>
      </c>
      <c r="K131" s="42"/>
      <c r="L131" s="42"/>
      <c r="M131" s="43"/>
      <c r="N131" s="44" t="n">
        <v>46414</v>
      </c>
      <c r="O131" s="45" t="n">
        <v>46416</v>
      </c>
      <c r="P131" s="46" t="s">
        <v>105</v>
      </c>
      <c r="Q131" s="37" t="n">
        <v>97</v>
      </c>
      <c r="R131" s="39"/>
      <c r="S131" s="39" t="n">
        <v>1</v>
      </c>
      <c r="T131" s="39" t="s">
        <v>106</v>
      </c>
      <c r="U131" s="57" t="n">
        <v>46414.0131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2" t="s">
        <v>572</v>
      </c>
      <c r="D134" s="6" t="s">
        <v>573</v>
      </c>
    </row>
    <row r="135" customFormat="false" ht="15" hidden="false" customHeight="true" outlineLevel="0" collapsed="false">
      <c r="B135" s="63" t="s">
        <v>574</v>
      </c>
      <c r="D135" s="63" t="s">
        <v>575</v>
      </c>
      <c r="E135" s="63" t="s">
        <v>576</v>
      </c>
      <c r="I135" s="64" t="s">
        <v>577</v>
      </c>
      <c r="J135" s="64" t="s">
        <v>578</v>
      </c>
      <c r="K135" s="64" t="s">
        <v>579</v>
      </c>
      <c r="L135" s="64" t="s">
        <v>580</v>
      </c>
      <c r="O135" s="63" t="s">
        <v>581</v>
      </c>
      <c r="P135" s="63" t="s">
        <v>582</v>
      </c>
    </row>
    <row r="136" customFormat="false" ht="15" hidden="false" customHeight="true" outlineLevel="0" collapsed="false">
      <c r="B136" s="65" t="s">
        <v>583</v>
      </c>
      <c r="D136" s="66" t="n">
        <v>0</v>
      </c>
      <c r="E136" s="66" t="n">
        <v>0</v>
      </c>
      <c r="I136" s="67" t="n">
        <v>0</v>
      </c>
      <c r="J136" s="68"/>
      <c r="K136" s="37"/>
      <c r="L136" s="37"/>
      <c r="O136" s="37"/>
      <c r="P136" s="69" t="s">
        <v>584</v>
      </c>
    </row>
    <row r="137" customFormat="false" ht="15" hidden="false" customHeight="true" outlineLevel="0" collapsed="false">
      <c r="B137" s="65" t="s">
        <v>585</v>
      </c>
      <c r="D137" s="66" t="n">
        <v>0</v>
      </c>
      <c r="E137" s="66" t="n">
        <v>0</v>
      </c>
      <c r="I137" s="67" t="n">
        <v>0</v>
      </c>
      <c r="J137" s="68"/>
      <c r="K137" s="37"/>
      <c r="L137" s="37"/>
      <c r="O137" s="37"/>
      <c r="P137" s="69" t="s">
        <v>586</v>
      </c>
    </row>
    <row r="138" customFormat="false" ht="15" hidden="false" customHeight="true" outlineLevel="0" collapsed="false">
      <c r="B138" s="65" t="s">
        <v>587</v>
      </c>
      <c r="D138" s="66" t="n">
        <v>0</v>
      </c>
      <c r="E138" s="66" t="n">
        <v>0</v>
      </c>
      <c r="I138" s="67" t="n">
        <v>0</v>
      </c>
      <c r="J138" s="68"/>
      <c r="K138" s="37"/>
      <c r="L138" s="37"/>
      <c r="O138" s="37"/>
      <c r="P138" s="69" t="s">
        <v>588</v>
      </c>
    </row>
    <row r="139" customFormat="false" ht="15" hidden="false" customHeight="true" outlineLevel="0" collapsed="false">
      <c r="B139" s="65" t="s">
        <v>589</v>
      </c>
      <c r="D139" s="66" t="n">
        <v>0</v>
      </c>
      <c r="E139" s="66" t="n">
        <v>0</v>
      </c>
      <c r="I139" s="67" t="n">
        <v>0</v>
      </c>
      <c r="J139" s="68"/>
      <c r="K139" s="37"/>
      <c r="L139" s="37"/>
      <c r="O139" s="37"/>
      <c r="P139" s="69" t="s">
        <v>590</v>
      </c>
    </row>
    <row r="140" customFormat="false" ht="15" hidden="false" customHeight="true" outlineLevel="0" collapsed="false">
      <c r="B140" s="65" t="s">
        <v>591</v>
      </c>
      <c r="D140" s="66" t="n">
        <v>0</v>
      </c>
      <c r="E140" s="66" t="n">
        <v>0</v>
      </c>
      <c r="I140" s="67" t="n">
        <v>0</v>
      </c>
      <c r="J140" s="68"/>
      <c r="K140" s="37"/>
      <c r="L140" s="37"/>
      <c r="O140" s="37"/>
      <c r="P140" s="69" t="s">
        <v>592</v>
      </c>
    </row>
    <row r="141" customFormat="false" ht="15" hidden="false" customHeight="true" outlineLevel="0" collapsed="false">
      <c r="B141" s="70" t="s">
        <v>593</v>
      </c>
      <c r="D141" s="66" t="n">
        <v>0</v>
      </c>
      <c r="E141" s="66" t="n">
        <v>0</v>
      </c>
      <c r="I141" s="67" t="n">
        <v>0</v>
      </c>
      <c r="J141" s="68"/>
      <c r="K141" s="37"/>
      <c r="L141" s="37"/>
      <c r="O141" s="37"/>
      <c r="P141" s="71" t="s">
        <v>594</v>
      </c>
    </row>
    <row r="142" customFormat="false" ht="15" hidden="false" customHeight="true" outlineLevel="0" collapsed="false">
      <c r="B142" s="72" t="s">
        <v>595</v>
      </c>
      <c r="D142" s="73" t="n">
        <v>0</v>
      </c>
      <c r="E142" s="73" t="n">
        <v>0</v>
      </c>
      <c r="I142" s="74" t="n">
        <v>0</v>
      </c>
      <c r="J142" s="75"/>
      <c r="K142" s="76"/>
      <c r="L142" s="76"/>
      <c r="O142" s="76"/>
      <c r="P142" s="72"/>
    </row>
    <row r="143" customFormat="false" ht="15" hidden="false" customHeight="true" outlineLevel="0" collapsed="false">
      <c r="B143" s="19" t="s">
        <v>596</v>
      </c>
    </row>
    <row r="145" customFormat="false" ht="15.75" hidden="false" customHeight="true" outlineLevel="0" collapsed="false">
      <c r="A145" s="77" t="s">
        <v>597</v>
      </c>
    </row>
    <row r="146" customFormat="false" ht="15" hidden="false" customHeight="true" outlineLevel="0" collapsed="false">
      <c r="B146" s="17" t="s">
        <v>598</v>
      </c>
      <c r="D146" s="78" t="s">
        <v>599</v>
      </c>
      <c r="E146" s="78"/>
      <c r="F146" s="78"/>
      <c r="G146" s="78"/>
      <c r="H146" s="78"/>
      <c r="I146" s="78"/>
      <c r="J146" s="78"/>
      <c r="K146" s="19" t="s">
        <v>600</v>
      </c>
    </row>
    <row r="147" customFormat="false" ht="15" hidden="false" customHeight="true" outlineLevel="0" collapsed="false">
      <c r="B147" s="79" t="s">
        <v>601</v>
      </c>
      <c r="E147" s="80" t="s">
        <v>602</v>
      </c>
      <c r="I147" s="79" t="s">
        <v>603</v>
      </c>
    </row>
    <row r="148" customFormat="false" ht="24" hidden="false" customHeight="true" outlineLevel="0" collapsed="false">
      <c r="A148" s="81" t="s">
        <v>604</v>
      </c>
      <c r="B148" s="82" t="s">
        <v>605</v>
      </c>
      <c r="E148" s="83" t="n">
        <v>5</v>
      </c>
      <c r="I148" s="61"/>
    </row>
    <row r="149" customFormat="false" ht="24" hidden="false" customHeight="true" outlineLevel="0" collapsed="false">
      <c r="A149" s="81" t="s">
        <v>606</v>
      </c>
      <c r="B149" s="82" t="s">
        <v>607</v>
      </c>
      <c r="E149" s="83" t="n">
        <v>20</v>
      </c>
      <c r="I149" s="61"/>
    </row>
    <row r="150" customFormat="false" ht="24" hidden="false" customHeight="true" outlineLevel="0" collapsed="false">
      <c r="A150" s="81" t="s">
        <v>608</v>
      </c>
      <c r="B150" s="82" t="s">
        <v>609</v>
      </c>
      <c r="E150" s="83" t="n">
        <v>30</v>
      </c>
      <c r="I150" s="61"/>
    </row>
    <row r="151" customFormat="false" ht="24" hidden="false" customHeight="true" outlineLevel="0" collapsed="false">
      <c r="A151" s="81" t="s">
        <v>610</v>
      </c>
      <c r="B151" s="82" t="s">
        <v>611</v>
      </c>
      <c r="E151" s="83" t="n">
        <v>25</v>
      </c>
      <c r="I151" s="61"/>
    </row>
    <row r="152" customFormat="false" ht="24" hidden="false" customHeight="true" outlineLevel="0" collapsed="false">
      <c r="A152" s="81" t="s">
        <v>612</v>
      </c>
      <c r="B152" s="82" t="s">
        <v>613</v>
      </c>
      <c r="E152" s="83" t="n">
        <v>10</v>
      </c>
      <c r="I152" s="61"/>
    </row>
    <row r="153" customFormat="false" ht="24" hidden="false" customHeight="true" outlineLevel="0" collapsed="false">
      <c r="A153" s="81" t="s">
        <v>614</v>
      </c>
      <c r="B153" s="82" t="s">
        <v>615</v>
      </c>
      <c r="E153" s="83" t="n">
        <v>10</v>
      </c>
      <c r="I153" s="61"/>
    </row>
    <row r="154" customFormat="false" ht="15" hidden="false" customHeight="true" outlineLevel="0" collapsed="false">
      <c r="B154" s="84" t="s">
        <v>616</v>
      </c>
      <c r="I154" s="85" t="n">
        <v>0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617</v>
      </c>
    </row>
    <row r="2" customFormat="false" ht="15" hidden="false" customHeight="false" outlineLevel="0" collapsed="false">
      <c r="B2" s="87" t="s">
        <v>618</v>
      </c>
      <c r="C2" s="88" t="s">
        <v>619</v>
      </c>
    </row>
    <row r="3" customFormat="false" ht="15" hidden="false" customHeight="false" outlineLevel="0" collapsed="false">
      <c r="B3" s="87" t="s">
        <v>620</v>
      </c>
      <c r="C3" s="88" t="s">
        <v>621</v>
      </c>
    </row>
    <row r="4" customFormat="false" ht="15" hidden="false" customHeight="false" outlineLevel="0" collapsed="false">
      <c r="B4" s="89" t="s">
        <v>622</v>
      </c>
      <c r="C4" s="88" t="s">
        <v>623</v>
      </c>
    </row>
    <row r="5" customFormat="false" ht="15" hidden="false" customHeight="false" outlineLevel="0" collapsed="false">
      <c r="H5" s="90" t="s">
        <v>624</v>
      </c>
      <c r="I5" s="90"/>
      <c r="J5" s="90" t="s">
        <v>625</v>
      </c>
      <c r="K5" s="90"/>
      <c r="L5" s="90"/>
      <c r="M5" s="90"/>
      <c r="N5" s="90"/>
      <c r="O5" s="90" t="s">
        <v>626</v>
      </c>
      <c r="P5" s="90"/>
      <c r="Q5" s="90"/>
      <c r="R5" s="90"/>
      <c r="S5" s="90" t="s">
        <v>627</v>
      </c>
      <c r="T5" s="90"/>
      <c r="U5" s="90"/>
      <c r="V5" s="90"/>
      <c r="W5" s="90"/>
      <c r="X5" s="90" t="s">
        <v>628</v>
      </c>
      <c r="Y5" s="90"/>
      <c r="Z5" s="90"/>
      <c r="AA5" s="90"/>
      <c r="AB5" s="90" t="s">
        <v>629</v>
      </c>
      <c r="AC5" s="90"/>
      <c r="AD5" s="90"/>
      <c r="AE5" s="90"/>
      <c r="AF5" s="90" t="s">
        <v>630</v>
      </c>
      <c r="AG5" s="90"/>
      <c r="AH5" s="90"/>
      <c r="AI5" s="90"/>
      <c r="AJ5" s="90"/>
      <c r="AK5" s="90" t="s">
        <v>631</v>
      </c>
      <c r="AL5" s="90"/>
      <c r="AM5" s="90"/>
      <c r="AN5" s="90"/>
      <c r="AO5" s="90" t="s">
        <v>632</v>
      </c>
      <c r="AP5" s="90"/>
      <c r="AQ5" s="90"/>
      <c r="AR5" s="90"/>
      <c r="AS5" s="90" t="s">
        <v>633</v>
      </c>
      <c r="AT5" s="90"/>
      <c r="AU5" s="90"/>
      <c r="AV5" s="90"/>
      <c r="AW5" s="90" t="s">
        <v>634</v>
      </c>
      <c r="AX5" s="90"/>
      <c r="AY5" s="90"/>
      <c r="AZ5" s="90"/>
      <c r="BA5" s="90"/>
      <c r="BB5" s="90" t="s">
        <v>635</v>
      </c>
      <c r="BC5" s="90"/>
      <c r="BD5" s="90"/>
      <c r="BE5" s="90"/>
      <c r="BF5" s="90" t="s">
        <v>636</v>
      </c>
      <c r="BG5" s="90"/>
      <c r="BH5" s="90"/>
      <c r="BI5" s="90"/>
      <c r="BJ5" s="90"/>
      <c r="BK5" s="90" t="s">
        <v>637</v>
      </c>
      <c r="BL5" s="90"/>
      <c r="BM5" s="90"/>
      <c r="BN5" s="90"/>
      <c r="BO5" s="90" t="s">
        <v>638</v>
      </c>
      <c r="BP5" s="90"/>
      <c r="BQ5" s="90"/>
      <c r="BR5" s="90"/>
      <c r="BS5" s="90" t="s">
        <v>639</v>
      </c>
      <c r="BT5" s="90"/>
      <c r="BU5" s="90"/>
      <c r="BV5" s="90"/>
      <c r="BW5" s="90"/>
      <c r="BX5" s="90" t="s">
        <v>640</v>
      </c>
      <c r="BY5" s="90"/>
    </row>
    <row r="6" customFormat="false" ht="43.5" hidden="false" customHeight="true" outlineLevel="0" collapsed="false">
      <c r="A6" s="91" t="s">
        <v>641</v>
      </c>
      <c r="B6" s="91" t="s">
        <v>642</v>
      </c>
      <c r="C6" s="91" t="s">
        <v>643</v>
      </c>
      <c r="D6" s="91" t="s">
        <v>644</v>
      </c>
      <c r="E6" s="91" t="s">
        <v>645</v>
      </c>
      <c r="F6" s="91" t="s">
        <v>646</v>
      </c>
      <c r="G6" s="91" t="s">
        <v>647</v>
      </c>
      <c r="H6" s="92" t="n">
        <v>46160</v>
      </c>
      <c r="I6" s="92" t="n">
        <v>46167</v>
      </c>
      <c r="J6" s="92" t="n">
        <v>46174</v>
      </c>
      <c r="K6" s="92" t="n">
        <v>46181</v>
      </c>
      <c r="L6" s="92" t="n">
        <v>46188</v>
      </c>
      <c r="M6" s="92" t="n">
        <v>46195</v>
      </c>
      <c r="N6" s="92" t="n">
        <v>46202</v>
      </c>
      <c r="O6" s="92" t="n">
        <v>46209</v>
      </c>
      <c r="P6" s="92" t="n">
        <v>46216</v>
      </c>
      <c r="Q6" s="92" t="n">
        <v>46223</v>
      </c>
      <c r="R6" s="92" t="n">
        <v>46230</v>
      </c>
      <c r="S6" s="92" t="n">
        <v>46237</v>
      </c>
      <c r="T6" s="92" t="n">
        <v>46244</v>
      </c>
      <c r="U6" s="92" t="n">
        <v>46251</v>
      </c>
      <c r="V6" s="92" t="n">
        <v>46258</v>
      </c>
      <c r="W6" s="92" t="n">
        <v>46265</v>
      </c>
      <c r="X6" s="92" t="n">
        <v>46272</v>
      </c>
      <c r="Y6" s="92" t="n">
        <v>46279</v>
      </c>
      <c r="Z6" s="92" t="n">
        <v>46286</v>
      </c>
      <c r="AA6" s="92" t="n">
        <v>46293</v>
      </c>
      <c r="AB6" s="92" t="n">
        <v>46300</v>
      </c>
      <c r="AC6" s="92" t="n">
        <v>46307</v>
      </c>
      <c r="AD6" s="92" t="n">
        <v>46314</v>
      </c>
      <c r="AE6" s="92" t="n">
        <v>46321</v>
      </c>
      <c r="AF6" s="92" t="n">
        <v>46328</v>
      </c>
      <c r="AG6" s="92" t="n">
        <v>46335</v>
      </c>
      <c r="AH6" s="92" t="n">
        <v>46342</v>
      </c>
      <c r="AI6" s="92" t="n">
        <v>46349</v>
      </c>
      <c r="AJ6" s="92" t="n">
        <v>46356</v>
      </c>
      <c r="AK6" s="92" t="n">
        <v>46363</v>
      </c>
      <c r="AL6" s="92" t="n">
        <v>46370</v>
      </c>
      <c r="AM6" s="92" t="n">
        <v>46377</v>
      </c>
      <c r="AN6" s="92" t="n">
        <v>46384</v>
      </c>
      <c r="AO6" s="92" t="n">
        <v>46391</v>
      </c>
      <c r="AP6" s="92" t="n">
        <v>46398</v>
      </c>
      <c r="AQ6" s="92" t="n">
        <v>46405</v>
      </c>
      <c r="AR6" s="92" t="n">
        <v>46412</v>
      </c>
      <c r="AS6" s="92" t="n">
        <v>46419</v>
      </c>
      <c r="AT6" s="92" t="n">
        <v>46426</v>
      </c>
      <c r="AU6" s="92" t="n">
        <v>46433</v>
      </c>
      <c r="AV6" s="92" t="n">
        <v>46440</v>
      </c>
      <c r="AW6" s="92" t="n">
        <v>46447</v>
      </c>
      <c r="AX6" s="92" t="n">
        <v>46454</v>
      </c>
      <c r="AY6" s="92" t="n">
        <v>46461</v>
      </c>
      <c r="AZ6" s="92" t="n">
        <v>46468</v>
      </c>
      <c r="BA6" s="92" t="n">
        <v>46475</v>
      </c>
      <c r="BB6" s="92" t="n">
        <v>46482</v>
      </c>
      <c r="BC6" s="92" t="n">
        <v>46489</v>
      </c>
      <c r="BD6" s="92" t="n">
        <v>46496</v>
      </c>
      <c r="BE6" s="92" t="n">
        <v>46503</v>
      </c>
      <c r="BF6" s="92" t="n">
        <v>46510</v>
      </c>
      <c r="BG6" s="92" t="n">
        <v>46517</v>
      </c>
      <c r="BH6" s="92" t="n">
        <v>46524</v>
      </c>
      <c r="BI6" s="92" t="n">
        <v>46531</v>
      </c>
      <c r="BJ6" s="92" t="n">
        <v>46538</v>
      </c>
      <c r="BK6" s="92" t="n">
        <v>46545</v>
      </c>
      <c r="BL6" s="92" t="n">
        <v>46552</v>
      </c>
      <c r="BM6" s="92" t="n">
        <v>46559</v>
      </c>
      <c r="BN6" s="92" t="n">
        <v>46566</v>
      </c>
      <c r="BO6" s="92" t="n">
        <v>46573</v>
      </c>
      <c r="BP6" s="92" t="n">
        <v>46580</v>
      </c>
      <c r="BQ6" s="92" t="n">
        <v>46587</v>
      </c>
      <c r="BR6" s="92" t="n">
        <v>46594</v>
      </c>
      <c r="BS6" s="92" t="n">
        <v>46601</v>
      </c>
      <c r="BT6" s="92" t="n">
        <v>46608</v>
      </c>
      <c r="BU6" s="92" t="n">
        <v>46615</v>
      </c>
      <c r="BV6" s="92" t="n">
        <v>46622</v>
      </c>
      <c r="BW6" s="92" t="n">
        <v>46629</v>
      </c>
      <c r="BX6" s="92" t="n">
        <v>46636</v>
      </c>
      <c r="BY6" s="92" t="n">
        <v>46643</v>
      </c>
    </row>
    <row r="7" customFormat="false" ht="15" hidden="false" customHeight="false" outlineLevel="0" collapsed="false">
      <c r="A7" s="93"/>
      <c r="B7" s="94" t="s">
        <v>173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174</v>
      </c>
      <c r="B8" s="95" t="s">
        <v>648</v>
      </c>
      <c r="C8" s="95" t="s">
        <v>649</v>
      </c>
      <c r="D8" s="96" t="n">
        <v>0.5</v>
      </c>
      <c r="E8" s="97" t="n">
        <v>46208</v>
      </c>
      <c r="F8" s="97" t="n">
        <v>46208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</v>
      </c>
      <c r="N8" s="98" t="n">
        <f aca="false">IF($E8="",0,IF(N$6+6&lt;$E8,0,IF(N$6&gt;$F8,0,$D8*(IF(N$6+6&lt;$F8,N$6+6,$F8)-IF(N$6&gt;$E8,N$6,$E8)+1)/($F8-$E8+1))))</f>
        <v>0.5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650</v>
      </c>
      <c r="D9" s="96"/>
      <c r="E9" s="99"/>
      <c r="F9" s="99"/>
      <c r="G9" s="100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190</v>
      </c>
      <c r="B10" s="95" t="s">
        <v>651</v>
      </c>
      <c r="C10" s="95" t="s">
        <v>649</v>
      </c>
      <c r="D10" s="96" t="n">
        <v>1</v>
      </c>
      <c r="E10" s="97" t="n">
        <v>46215</v>
      </c>
      <c r="F10" s="97" t="n">
        <v>46224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</v>
      </c>
      <c r="K10" s="98" t="n">
        <f aca="false">IF($E10="",0,IF(K$6+6&lt;$E10,0,IF(K$6&gt;$F10,0,$D10*(IF(K$6+6&lt;$F10,K$6+6,$F10)-IF(K$6&gt;$E10,K$6,$E10)+1)/($F10-$E10+1))))</f>
        <v>0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</v>
      </c>
      <c r="O10" s="98" t="n">
        <f aca="false">IF($E10="",0,IF(O$6+6&lt;$E10,0,IF(O$6&gt;$F10,0,$D10*(IF(O$6+6&lt;$F10,O$6+6,$F10)-IF(O$6&gt;$E10,O$6,$E10)+1)/($F10-$E10+1))))</f>
        <v>0.1</v>
      </c>
      <c r="P10" s="98" t="n">
        <f aca="false">IF($E10="",0,IF(P$6+6&lt;$E10,0,IF(P$6&gt;$F10,0,$D10*(IF(P$6+6&lt;$F10,P$6+6,$F10)-IF(P$6&gt;$E10,P$6,$E10)+1)/($F10-$E10+1))))</f>
        <v>0.7</v>
      </c>
      <c r="Q10" s="98" t="n">
        <f aca="false">IF($E10="",0,IF(Q$6+6&lt;$E10,0,IF(Q$6&gt;$F10,0,$D10*(IF(Q$6+6&lt;$F10,Q$6+6,$F10)-IF(Q$6&gt;$E10,Q$6,$E10)+1)/($F10-$E10+1))))</f>
        <v>0.2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650</v>
      </c>
      <c r="D11" s="96"/>
      <c r="E11" s="99"/>
      <c r="F11" s="99"/>
      <c r="G11" s="100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210</v>
      </c>
      <c r="B12" s="95" t="s">
        <v>652</v>
      </c>
      <c r="C12" s="95" t="s">
        <v>649</v>
      </c>
      <c r="D12" s="96" t="n">
        <v>0.5</v>
      </c>
      <c r="E12" s="97" t="n">
        <v>46238</v>
      </c>
      <c r="F12" s="97" t="n">
        <v>46238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0.5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650</v>
      </c>
      <c r="D13" s="96"/>
      <c r="E13" s="99"/>
      <c r="F13" s="99"/>
      <c r="G13" s="100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226</v>
      </c>
      <c r="B14" s="95" t="s">
        <v>653</v>
      </c>
      <c r="C14" s="95" t="s">
        <v>649</v>
      </c>
      <c r="D14" s="96" t="n">
        <v>1</v>
      </c>
      <c r="E14" s="97" t="n">
        <v>46215</v>
      </c>
      <c r="F14" s="97" t="n">
        <v>46228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</v>
      </c>
      <c r="K14" s="98" t="n">
        <f aca="false">IF($E14="",0,IF(K$6+6&lt;$E14,0,IF(K$6&gt;$F14,0,$D14*(IF(K$6+6&lt;$F14,K$6+6,$F14)-IF(K$6&gt;$E14,K$6,$E14)+1)/($F14-$E14+1))))</f>
        <v>0</v>
      </c>
      <c r="L14" s="98" t="n">
        <f aca="false">IF($E14="",0,IF(L$6+6&lt;$E14,0,IF(L$6&gt;$F14,0,$D14*(IF(L$6+6&lt;$F14,L$6+6,$F14)-IF(L$6&gt;$E14,L$6,$E14)+1)/($F14-$E14+1))))</f>
        <v>0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</v>
      </c>
      <c r="O14" s="98" t="n">
        <f aca="false">IF($E14="",0,IF(O$6+6&lt;$E14,0,IF(O$6&gt;$F14,0,$D14*(IF(O$6+6&lt;$F14,O$6+6,$F14)-IF(O$6&gt;$E14,O$6,$E14)+1)/($F14-$E14+1))))</f>
        <v>0.0714285714285714</v>
      </c>
      <c r="P14" s="98" t="n">
        <f aca="false">IF($E14="",0,IF(P$6+6&lt;$E14,0,IF(P$6&gt;$F14,0,$D14*(IF(P$6+6&lt;$F14,P$6+6,$F14)-IF(P$6&gt;$E14,P$6,$E14)+1)/($F14-$E14+1))))</f>
        <v>0.5</v>
      </c>
      <c r="Q14" s="98" t="n">
        <f aca="false">IF($E14="",0,IF(Q$6+6&lt;$E14,0,IF(Q$6&gt;$F14,0,$D14*(IF(Q$6+6&lt;$F14,Q$6+6,$F14)-IF(Q$6&gt;$E14,Q$6,$E14)+1)/($F14-$E14+1))))</f>
        <v>0.428571428571429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650</v>
      </c>
      <c r="D15" s="96"/>
      <c r="E15" s="99" t="n">
        <v>46215</v>
      </c>
      <c r="F15" s="99" t="n">
        <v>46228</v>
      </c>
      <c r="G15" s="100"/>
      <c r="H15" s="101"/>
      <c r="I15" s="101"/>
      <c r="J15" s="101"/>
      <c r="K15" s="101"/>
      <c r="L15" s="101"/>
      <c r="M15" s="101"/>
      <c r="N15" s="101"/>
      <c r="O15" s="101" t="n">
        <v>0.3333</v>
      </c>
      <c r="P15" s="101" t="n">
        <v>0.3333</v>
      </c>
      <c r="Q15" s="101" t="n">
        <v>0.3333</v>
      </c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245</v>
      </c>
      <c r="B16" s="95" t="s">
        <v>654</v>
      </c>
      <c r="C16" s="95" t="s">
        <v>649</v>
      </c>
      <c r="D16" s="96" t="n">
        <v>1</v>
      </c>
      <c r="E16" s="97" t="n">
        <v>46271</v>
      </c>
      <c r="F16" s="97" t="n">
        <v>46271</v>
      </c>
      <c r="G16" s="95" t="n">
        <v>1</v>
      </c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0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1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650</v>
      </c>
      <c r="D17" s="96"/>
      <c r="E17" s="99" t="n">
        <v>46295</v>
      </c>
      <c r="F17" s="99" t="n">
        <v>46295</v>
      </c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 t="n">
        <v>1</v>
      </c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265</v>
      </c>
      <c r="B18" s="95" t="s">
        <v>655</v>
      </c>
      <c r="C18" s="95" t="s">
        <v>649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650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656</v>
      </c>
      <c r="B20" s="95" t="s">
        <v>657</v>
      </c>
      <c r="C20" s="95" t="s">
        <v>649</v>
      </c>
      <c r="D20" s="96" t="n">
        <v>1</v>
      </c>
      <c r="E20" s="97" t="n">
        <v>46271</v>
      </c>
      <c r="F20" s="97" t="n">
        <v>46316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</v>
      </c>
      <c r="S20" s="98" t="n">
        <f aca="false">IF($E20="",0,IF(S$6+6&lt;$E20,0,IF(S$6&gt;$F20,0,$D20*(IF(S$6+6&lt;$F20,S$6+6,$F20)-IF(S$6&gt;$E20,S$6,$E20)+1)/($F20-$E20+1))))</f>
        <v>0</v>
      </c>
      <c r="T20" s="98" t="n">
        <f aca="false">IF($E20="",0,IF(T$6+6&lt;$E20,0,IF(T$6&gt;$F20,0,$D20*(IF(T$6+6&lt;$F20,T$6+6,$F20)-IF(T$6&gt;$E20,T$6,$E20)+1)/($F20-$E20+1))))</f>
        <v>0</v>
      </c>
      <c r="U20" s="98" t="n">
        <f aca="false">IF($E20="",0,IF(U$6+6&lt;$E20,0,IF(U$6&gt;$F20,0,$D20*(IF(U$6+6&lt;$F20,U$6+6,$F20)-IF(U$6&gt;$E20,U$6,$E20)+1)/($F20-$E20+1))))</f>
        <v>0</v>
      </c>
      <c r="V20" s="98" t="n">
        <f aca="false">IF($E20="",0,IF(V$6+6&lt;$E20,0,IF(V$6&gt;$F20,0,$D20*(IF(V$6+6&lt;$F20,V$6+6,$F20)-IF(V$6&gt;$E20,V$6,$E20)+1)/($F20-$E20+1))))</f>
        <v>0</v>
      </c>
      <c r="W20" s="98" t="n">
        <f aca="false">IF($E20="",0,IF(W$6+6&lt;$E20,0,IF(W$6&gt;$F20,0,$D20*(IF(W$6+6&lt;$F20,W$6+6,$F20)-IF(W$6&gt;$E20,W$6,$E20)+1)/($F20-$E20+1))))</f>
        <v>0.0217391304347826</v>
      </c>
      <c r="X20" s="98" t="n">
        <f aca="false">IF($E20="",0,IF(X$6+6&lt;$E20,0,IF(X$6&gt;$F20,0,$D20*(IF(X$6+6&lt;$F20,X$6+6,$F20)-IF(X$6&gt;$E20,X$6,$E20)+1)/($F20-$E20+1))))</f>
        <v>0.152173913043478</v>
      </c>
      <c r="Y20" s="98" t="n">
        <f aca="false">IF($E20="",0,IF(Y$6+6&lt;$E20,0,IF(Y$6&gt;$F20,0,$D20*(IF(Y$6+6&lt;$F20,Y$6+6,$F20)-IF(Y$6&gt;$E20,Y$6,$E20)+1)/($F20-$E20+1))))</f>
        <v>0.152173913043478</v>
      </c>
      <c r="Z20" s="98" t="n">
        <f aca="false">IF($E20="",0,IF(Z$6+6&lt;$E20,0,IF(Z$6&gt;$F20,0,$D20*(IF(Z$6+6&lt;$F20,Z$6+6,$F20)-IF(Z$6&gt;$E20,Z$6,$E20)+1)/($F20-$E20+1))))</f>
        <v>0.152173913043478</v>
      </c>
      <c r="AA20" s="98" t="n">
        <f aca="false">IF($E20="",0,IF(AA$6+6&lt;$E20,0,IF(AA$6&gt;$F20,0,$D20*(IF(AA$6+6&lt;$F20,AA$6+6,$F20)-IF(AA$6&gt;$E20,AA$6,$E20)+1)/($F20-$E20+1))))</f>
        <v>0.152173913043478</v>
      </c>
      <c r="AB20" s="98" t="n">
        <f aca="false">IF($E20="",0,IF(AB$6+6&lt;$E20,0,IF(AB$6&gt;$F20,0,$D20*(IF(AB$6+6&lt;$F20,AB$6+6,$F20)-IF(AB$6&gt;$E20,AB$6,$E20)+1)/($F20-$E20+1))))</f>
        <v>0.152173913043478</v>
      </c>
      <c r="AC20" s="98" t="n">
        <f aca="false">IF($E20="",0,IF(AC$6+6&lt;$E20,0,IF(AC$6&gt;$F20,0,$D20*(IF(AC$6+6&lt;$F20,AC$6+6,$F20)-IF(AC$6&gt;$E20,AC$6,$E20)+1)/($F20-$E20+1))))</f>
        <v>0.152173913043478</v>
      </c>
      <c r="AD20" s="98" t="n">
        <f aca="false">IF($E20="",0,IF(AD$6+6&lt;$E20,0,IF(AD$6&gt;$F20,0,$D20*(IF(AD$6+6&lt;$F20,AD$6+6,$F20)-IF(AD$6&gt;$E20,AD$6,$E20)+1)/($F20-$E20+1))))</f>
        <v>0.0652173913043478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650</v>
      </c>
      <c r="D21" s="96"/>
      <c r="E21" s="99" t="n">
        <v>46293</v>
      </c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 t="n">
        <v>0.25</v>
      </c>
      <c r="AB21" s="101" t="n">
        <v>0.25</v>
      </c>
      <c r="AC21" s="101" t="n">
        <v>0.25</v>
      </c>
      <c r="AD21" s="101" t="n">
        <v>0.25</v>
      </c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296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297</v>
      </c>
      <c r="B23" s="95" t="s">
        <v>658</v>
      </c>
      <c r="C23" s="95" t="s">
        <v>649</v>
      </c>
      <c r="D23" s="96" t="n">
        <v>20</v>
      </c>
      <c r="E23" s="97" t="n">
        <v>46241</v>
      </c>
      <c r="F23" s="97" t="n">
        <v>46258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0</v>
      </c>
      <c r="N23" s="98" t="n">
        <f aca="false">IF($E23="",0,IF(N$6+6&lt;$E23,0,IF(N$6&gt;$F23,0,$D23*(IF(N$6+6&lt;$F23,N$6+6,$F23)-IF(N$6&gt;$E23,N$6,$E23)+1)/($F23-$E23+1))))</f>
        <v>0</v>
      </c>
      <c r="O23" s="98" t="n">
        <f aca="false">IF($E23="",0,IF(O$6+6&lt;$E23,0,IF(O$6&gt;$F23,0,$D23*(IF(O$6+6&lt;$F23,O$6+6,$F23)-IF(O$6&gt;$E23,O$6,$E23)+1)/($F23-$E23+1))))</f>
        <v>0</v>
      </c>
      <c r="P23" s="98" t="n">
        <f aca="false">IF($E23="",0,IF(P$6+6&lt;$E23,0,IF(P$6&gt;$F23,0,$D23*(IF(P$6+6&lt;$F23,P$6+6,$F23)-IF(P$6&gt;$E23,P$6,$E23)+1)/($F23-$E23+1))))</f>
        <v>0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0</v>
      </c>
      <c r="S23" s="98" t="n">
        <f aca="false">IF($E23="",0,IF(S$6+6&lt;$E23,0,IF(S$6&gt;$F23,0,$D23*(IF(S$6+6&lt;$F23,S$6+6,$F23)-IF(S$6&gt;$E23,S$6,$E23)+1)/($F23-$E23+1))))</f>
        <v>3.33333333333333</v>
      </c>
      <c r="T23" s="98" t="n">
        <f aca="false">IF($E23="",0,IF(T$6+6&lt;$E23,0,IF(T$6&gt;$F23,0,$D23*(IF(T$6+6&lt;$F23,T$6+6,$F23)-IF(T$6&gt;$E23,T$6,$E23)+1)/($F23-$E23+1))))</f>
        <v>7.77777777777778</v>
      </c>
      <c r="U23" s="98" t="n">
        <f aca="false">IF($E23="",0,IF(U$6+6&lt;$E23,0,IF(U$6&gt;$F23,0,$D23*(IF(U$6+6&lt;$F23,U$6+6,$F23)-IF(U$6&gt;$E23,U$6,$E23)+1)/($F23-$E23+1))))</f>
        <v>7.77777777777778</v>
      </c>
      <c r="V23" s="98" t="n">
        <f aca="false">IF($E23="",0,IF(V$6+6&lt;$E23,0,IF(V$6&gt;$F23,0,$D23*(IF(V$6+6&lt;$F23,V$6+6,$F23)-IF(V$6&gt;$E23,V$6,$E23)+1)/($F23-$E23+1))))</f>
        <v>1.11111111111111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650</v>
      </c>
      <c r="D24" s="96"/>
      <c r="E24" s="99"/>
      <c r="F24" s="99"/>
      <c r="G24" s="100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332</v>
      </c>
      <c r="B25" s="95" t="s">
        <v>659</v>
      </c>
      <c r="C25" s="95" t="s">
        <v>649</v>
      </c>
      <c r="D25" s="96" t="n">
        <v>10</v>
      </c>
      <c r="E25" s="97" t="n">
        <v>46259</v>
      </c>
      <c r="F25" s="97" t="n">
        <v>46268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0</v>
      </c>
      <c r="Q25" s="98" t="n">
        <f aca="false">IF($E25="",0,IF(Q$6+6&lt;$E25,0,IF(Q$6&gt;$F25,0,$D25*(IF(Q$6+6&lt;$F25,Q$6+6,$F25)-IF(Q$6&gt;$E25,Q$6,$E25)+1)/($F25-$E25+1))))</f>
        <v>0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0</v>
      </c>
      <c r="U25" s="98" t="n">
        <f aca="false">IF($E25="",0,IF(U$6+6&lt;$E25,0,IF(U$6&gt;$F25,0,$D25*(IF(U$6+6&lt;$F25,U$6+6,$F25)-IF(U$6&gt;$E25,U$6,$E25)+1)/($F25-$E25+1))))</f>
        <v>0</v>
      </c>
      <c r="V25" s="98" t="n">
        <f aca="false">IF($E25="",0,IF(V$6+6&lt;$E25,0,IF(V$6&gt;$F25,0,$D25*(IF(V$6+6&lt;$F25,V$6+6,$F25)-IF(V$6&gt;$E25,V$6,$E25)+1)/($F25-$E25+1))))</f>
        <v>6</v>
      </c>
      <c r="W25" s="98" t="n">
        <f aca="false">IF($E25="",0,IF(W$6+6&lt;$E25,0,IF(W$6&gt;$F25,0,$D25*(IF(W$6+6&lt;$F25,W$6+6,$F25)-IF(W$6&gt;$E25,W$6,$E25)+1)/($F25-$E25+1))))</f>
        <v>4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650</v>
      </c>
      <c r="D26" s="96"/>
      <c r="E26" s="99"/>
      <c r="F26" s="99"/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356</v>
      </c>
      <c r="B27" s="95" t="s">
        <v>660</v>
      </c>
      <c r="C27" s="95" t="s">
        <v>649</v>
      </c>
      <c r="D27" s="96" t="n">
        <v>20</v>
      </c>
      <c r="E27" s="97" t="n">
        <v>46259</v>
      </c>
      <c r="F27" s="97" t="n">
        <v>46268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0</v>
      </c>
      <c r="Q27" s="98" t="n">
        <f aca="false">IF($E27="",0,IF(Q$6+6&lt;$E27,0,IF(Q$6&gt;$F27,0,$D27*(IF(Q$6+6&lt;$F27,Q$6+6,$F27)-IF(Q$6&gt;$E27,Q$6,$E27)+1)/($F27-$E27+1))))</f>
        <v>0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0</v>
      </c>
      <c r="U27" s="98" t="n">
        <f aca="false">IF($E27="",0,IF(U$6+6&lt;$E27,0,IF(U$6&gt;$F27,0,$D27*(IF(U$6+6&lt;$F27,U$6+6,$F27)-IF(U$6&gt;$E27,U$6,$E27)+1)/($F27-$E27+1))))</f>
        <v>0</v>
      </c>
      <c r="V27" s="98" t="n">
        <f aca="false">IF($E27="",0,IF(V$6+6&lt;$E27,0,IF(V$6&gt;$F27,0,$D27*(IF(V$6+6&lt;$F27,V$6+6,$F27)-IF(V$6&gt;$E27,V$6,$E27)+1)/($F27-$E27+1))))</f>
        <v>12</v>
      </c>
      <c r="W27" s="98" t="n">
        <f aca="false">IF($E27="",0,IF(W$6+6&lt;$E27,0,IF(W$6&gt;$F27,0,$D27*(IF(W$6+6&lt;$F27,W$6+6,$F27)-IF(W$6&gt;$E27,W$6,$E27)+1)/($F27-$E27+1))))</f>
        <v>8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650</v>
      </c>
      <c r="D28" s="96"/>
      <c r="E28" s="99"/>
      <c r="F28" s="99"/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380</v>
      </c>
      <c r="B29" s="95" t="s">
        <v>661</v>
      </c>
      <c r="C29" s="95" t="s">
        <v>649</v>
      </c>
      <c r="D29" s="96" t="n">
        <v>2.5</v>
      </c>
      <c r="E29" s="97" t="n">
        <v>46262</v>
      </c>
      <c r="F29" s="97" t="n">
        <v>46265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0</v>
      </c>
      <c r="Q29" s="98" t="n">
        <f aca="false">IF($E29="",0,IF(Q$6+6&lt;$E29,0,IF(Q$6&gt;$F29,0,$D29*(IF(Q$6+6&lt;$F29,Q$6+6,$F29)-IF(Q$6&gt;$E29,Q$6,$E29)+1)/($F29-$E29+1))))</f>
        <v>0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0</v>
      </c>
      <c r="V29" s="98" t="n">
        <f aca="false">IF($E29="",0,IF(V$6+6&lt;$E29,0,IF(V$6&gt;$F29,0,$D29*(IF(V$6+6&lt;$F29,V$6+6,$F29)-IF(V$6&gt;$E29,V$6,$E29)+1)/($F29-$E29+1))))</f>
        <v>1.875</v>
      </c>
      <c r="W29" s="98" t="n">
        <f aca="false">IF($E29="",0,IF(W$6+6&lt;$E29,0,IF(W$6&gt;$F29,0,$D29*(IF(W$6+6&lt;$F29,W$6+6,$F29)-IF(W$6&gt;$E29,W$6,$E29)+1)/($F29-$E29+1))))</f>
        <v>0.625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650</v>
      </c>
      <c r="D30" s="96"/>
      <c r="E30" s="99"/>
      <c r="F30" s="99"/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392</v>
      </c>
      <c r="B31" s="95" t="s">
        <v>662</v>
      </c>
      <c r="C31" s="95" t="s">
        <v>649</v>
      </c>
      <c r="D31" s="96" t="n">
        <v>15</v>
      </c>
      <c r="E31" s="97" t="n">
        <v>46258</v>
      </c>
      <c r="F31" s="97" t="n">
        <v>46266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0</v>
      </c>
      <c r="Q31" s="98" t="n">
        <f aca="false">IF($E31="",0,IF(Q$6+6&lt;$E31,0,IF(Q$6&gt;$F31,0,$D31*(IF(Q$6+6&lt;$F31,Q$6+6,$F31)-IF(Q$6&gt;$E31,Q$6,$E31)+1)/($F31-$E31+1))))</f>
        <v>0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0</v>
      </c>
      <c r="U31" s="98" t="n">
        <f aca="false">IF($E31="",0,IF(U$6+6&lt;$E31,0,IF(U$6&gt;$F31,0,$D31*(IF(U$6+6&lt;$F31,U$6+6,$F31)-IF(U$6&gt;$E31,U$6,$E31)+1)/($F31-$E31+1))))</f>
        <v>0</v>
      </c>
      <c r="V31" s="98" t="n">
        <f aca="false">IF($E31="",0,IF(V$6+6&lt;$E31,0,IF(V$6&gt;$F31,0,$D31*(IF(V$6+6&lt;$F31,V$6+6,$F31)-IF(V$6&gt;$E31,V$6,$E31)+1)/($F31-$E31+1))))</f>
        <v>11.6666666666667</v>
      </c>
      <c r="W31" s="98" t="n">
        <f aca="false">IF($E31="",0,IF(W$6+6&lt;$E31,0,IF(W$6&gt;$F31,0,$D31*(IF(W$6+6&lt;$F31,W$6+6,$F31)-IF(W$6&gt;$E31,W$6,$E31)+1)/($F31-$E31+1))))</f>
        <v>3.33333333333333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650</v>
      </c>
      <c r="D32" s="96"/>
      <c r="E32" s="99"/>
      <c r="F32" s="99"/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412</v>
      </c>
      <c r="B33" s="95" t="s">
        <v>663</v>
      </c>
      <c r="C33" s="95" t="s">
        <v>649</v>
      </c>
      <c r="D33" s="96" t="n">
        <v>10</v>
      </c>
      <c r="E33" s="97" t="n">
        <v>46258</v>
      </c>
      <c r="F33" s="97" t="n">
        <v>46267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0</v>
      </c>
      <c r="Q33" s="98" t="n">
        <f aca="false">IF($E33="",0,IF(Q$6+6&lt;$E33,0,IF(Q$6&gt;$F33,0,$D33*(IF(Q$6+6&lt;$F33,Q$6+6,$F33)-IF(Q$6&gt;$E33,Q$6,$E33)+1)/($F33-$E33+1))))</f>
        <v>0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0</v>
      </c>
      <c r="U33" s="98" t="n">
        <f aca="false">IF($E33="",0,IF(U$6+6&lt;$E33,0,IF(U$6&gt;$F33,0,$D33*(IF(U$6+6&lt;$F33,U$6+6,$F33)-IF(U$6&gt;$E33,U$6,$E33)+1)/($F33-$E33+1))))</f>
        <v>0</v>
      </c>
      <c r="V33" s="98" t="n">
        <f aca="false">IF($E33="",0,IF(V$6+6&lt;$E33,0,IF(V$6&gt;$F33,0,$D33*(IF(V$6+6&lt;$F33,V$6+6,$F33)-IF(V$6&gt;$E33,V$6,$E33)+1)/($F33-$E33+1))))</f>
        <v>7</v>
      </c>
      <c r="W33" s="98" t="n">
        <f aca="false">IF($E33="",0,IF(W$6+6&lt;$E33,0,IF(W$6&gt;$F33,0,$D33*(IF(W$6+6&lt;$F33,W$6+6,$F33)-IF(W$6&gt;$E33,W$6,$E33)+1)/($F33-$E33+1))))</f>
        <v>3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650</v>
      </c>
      <c r="D34" s="96"/>
      <c r="E34" s="99"/>
      <c r="F34" s="99"/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436</v>
      </c>
      <c r="B35" s="95" t="s">
        <v>664</v>
      </c>
      <c r="C35" s="95" t="s">
        <v>649</v>
      </c>
      <c r="D35" s="96" t="n">
        <v>5</v>
      </c>
      <c r="E35" s="97" t="n">
        <v>46261</v>
      </c>
      <c r="F35" s="97" t="n">
        <v>46267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0</v>
      </c>
      <c r="Q35" s="98" t="n">
        <f aca="false">IF($E35="",0,IF(Q$6+6&lt;$E35,0,IF(Q$6&gt;$F35,0,$D35*(IF(Q$6+6&lt;$F35,Q$6+6,$F35)-IF(Q$6&gt;$E35,Q$6,$E35)+1)/($F35-$E35+1))))</f>
        <v>0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</v>
      </c>
      <c r="U35" s="98" t="n">
        <f aca="false">IF($E35="",0,IF(U$6+6&lt;$E35,0,IF(U$6&gt;$F35,0,$D35*(IF(U$6+6&lt;$F35,U$6+6,$F35)-IF(U$6&gt;$E35,U$6,$E35)+1)/($F35-$E35+1))))</f>
        <v>0</v>
      </c>
      <c r="V35" s="98" t="n">
        <f aca="false">IF($E35="",0,IF(V$6+6&lt;$E35,0,IF(V$6&gt;$F35,0,$D35*(IF(V$6+6&lt;$F35,V$6+6,$F35)-IF(V$6&gt;$E35,V$6,$E35)+1)/($F35-$E35+1))))</f>
        <v>2.85714285714286</v>
      </c>
      <c r="W35" s="98" t="n">
        <f aca="false">IF($E35="",0,IF(W$6+6&lt;$E35,0,IF(W$6&gt;$F35,0,$D35*(IF(W$6+6&lt;$F35,W$6+6,$F35)-IF(W$6&gt;$E35,W$6,$E35)+1)/($F35-$E35+1))))</f>
        <v>2.14285714285714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650</v>
      </c>
      <c r="D36" s="96"/>
      <c r="E36" s="99"/>
      <c r="F36" s="99"/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451</v>
      </c>
      <c r="B37" s="95" t="s">
        <v>665</v>
      </c>
      <c r="C37" s="95" t="s">
        <v>649</v>
      </c>
      <c r="D37" s="96" t="n">
        <v>5</v>
      </c>
      <c r="E37" s="97" t="n">
        <v>46263</v>
      </c>
      <c r="F37" s="97" t="n">
        <v>46268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</v>
      </c>
      <c r="Q37" s="98" t="n">
        <f aca="false">IF($E37="",0,IF(Q$6+6&lt;$E37,0,IF(Q$6&gt;$F37,0,$D37*(IF(Q$6+6&lt;$F37,Q$6+6,$F37)-IF(Q$6&gt;$E37,Q$6,$E37)+1)/($F37-$E37+1))))</f>
        <v>0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0</v>
      </c>
      <c r="V37" s="98" t="n">
        <f aca="false">IF($E37="",0,IF(V$6+6&lt;$E37,0,IF(V$6&gt;$F37,0,$D37*(IF(V$6+6&lt;$F37,V$6+6,$F37)-IF(V$6&gt;$E37,V$6,$E37)+1)/($F37-$E37+1))))</f>
        <v>1.66666666666667</v>
      </c>
      <c r="W37" s="98" t="n">
        <f aca="false">IF($E37="",0,IF(W$6+6&lt;$E37,0,IF(W$6&gt;$F37,0,$D37*(IF(W$6+6&lt;$F37,W$6+6,$F37)-IF(W$6&gt;$E37,W$6,$E37)+1)/($F37-$E37+1))))</f>
        <v>3.33333333333333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650</v>
      </c>
      <c r="D38" s="96"/>
      <c r="E38" s="99"/>
      <c r="F38" s="99"/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479</v>
      </c>
      <c r="B39" s="95" t="s">
        <v>666</v>
      </c>
      <c r="C39" s="95" t="s">
        <v>649</v>
      </c>
      <c r="D39" s="96" t="n">
        <v>2.5</v>
      </c>
      <c r="E39" s="97" t="n">
        <v>46265</v>
      </c>
      <c r="F39" s="97" t="n">
        <v>46269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0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0</v>
      </c>
      <c r="V39" s="98" t="n">
        <f aca="false">IF($E39="",0,IF(V$6+6&lt;$E39,0,IF(V$6&gt;$F39,0,$D39*(IF(V$6+6&lt;$F39,V$6+6,$F39)-IF(V$6&gt;$E39,V$6,$E39)+1)/($F39-$E39+1))))</f>
        <v>0</v>
      </c>
      <c r="W39" s="98" t="n">
        <f aca="false">IF($E39="",0,IF(W$6+6&lt;$E39,0,IF(W$6&gt;$F39,0,$D39*(IF(W$6+6&lt;$F39,W$6+6,$F39)-IF(W$6&gt;$E39,W$6,$E39)+1)/($F39-$E39+1))))</f>
        <v>2.5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650</v>
      </c>
      <c r="D40" s="96"/>
      <c r="E40" s="99"/>
      <c r="F40" s="99"/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667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509</v>
      </c>
      <c r="B42" s="95" t="s">
        <v>668</v>
      </c>
      <c r="C42" s="95" t="s">
        <v>649</v>
      </c>
      <c r="D42" s="96" t="n">
        <v>2.5</v>
      </c>
      <c r="E42" s="97" t="n">
        <v>46271</v>
      </c>
      <c r="F42" s="97" t="n">
        <v>46273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0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0</v>
      </c>
      <c r="W42" s="98" t="n">
        <f aca="false">IF($E42="",0,IF(W$6+6&lt;$E42,0,IF(W$6&gt;$F42,0,$D42*(IF(W$6+6&lt;$F42,W$6+6,$F42)-IF(W$6&gt;$E42,W$6,$E42)+1)/($F42-$E42+1))))</f>
        <v>0.833333333333333</v>
      </c>
      <c r="X42" s="98" t="n">
        <f aca="false">IF($E42="",0,IF(X$6+6&lt;$E42,0,IF(X$6&gt;$F42,0,$D42*(IF(X$6+6&lt;$F42,X$6+6,$F42)-IF(X$6&gt;$E42,X$6,$E42)+1)/($F42-$E42+1))))</f>
        <v>1.66666666666667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650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546</v>
      </c>
      <c r="B44" s="95" t="s">
        <v>669</v>
      </c>
      <c r="C44" s="95" t="s">
        <v>649</v>
      </c>
      <c r="D44" s="96" t="n">
        <v>2.5</v>
      </c>
      <c r="E44" s="97" t="n">
        <v>46320</v>
      </c>
      <c r="F44" s="97" t="n">
        <v>46333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0</v>
      </c>
      <c r="Z44" s="98" t="n">
        <f aca="false">IF($E44="",0,IF(Z$6+6&lt;$E44,0,IF(Z$6&gt;$F44,0,$D44*(IF(Z$6+6&lt;$F44,Z$6+6,$F44)-IF(Z$6&gt;$E44,Z$6,$E44)+1)/($F44-$E44+1))))</f>
        <v>0</v>
      </c>
      <c r="AA44" s="98" t="n">
        <f aca="false">IF($E44="",0,IF(AA$6+6&lt;$E44,0,IF(AA$6&gt;$F44,0,$D44*(IF(AA$6+6&lt;$F44,AA$6+6,$F44)-IF(AA$6&gt;$E44,AA$6,$E44)+1)/($F44-$E44+1))))</f>
        <v>0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</v>
      </c>
      <c r="AD44" s="98" t="n">
        <f aca="false">IF($E44="",0,IF(AD$6+6&lt;$E44,0,IF(AD$6&gt;$F44,0,$D44*(IF(AD$6+6&lt;$F44,AD$6+6,$F44)-IF(AD$6&gt;$E44,AD$6,$E44)+1)/($F44-$E44+1))))</f>
        <v>0.178571428571429</v>
      </c>
      <c r="AE44" s="98" t="n">
        <f aca="false">IF($E44="",0,IF(AE$6+6&lt;$E44,0,IF(AE$6&gt;$F44,0,$D44*(IF(AE$6+6&lt;$F44,AE$6+6,$F44)-IF(AE$6&gt;$E44,AE$6,$E44)+1)/($F44-$E44+1))))</f>
        <v>1.25</v>
      </c>
      <c r="AF44" s="98" t="n">
        <f aca="false">IF($E44="",0,IF(AF$6+6&lt;$E44,0,IF(AF$6&gt;$F44,0,$D44*(IF(AF$6+6&lt;$F44,AF$6+6,$F44)-IF(AF$6&gt;$E44,AF$6,$E44)+1)/($F44-$E44+1))))</f>
        <v>1.07142857142857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650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670</v>
      </c>
      <c r="H47" s="103" t="n">
        <f aca="false">SUMIF($C$7:$C$45,"Plan",H$7:H$45)</f>
        <v>0</v>
      </c>
      <c r="I47" s="103" t="n">
        <f aca="false">SUMIF($C$7:$C$45,"Plan",I$7:I$45)</f>
        <v>0</v>
      </c>
      <c r="J47" s="103" t="n">
        <f aca="false">SUMIF($C$7:$C$45,"Plan",J$7:J$45)</f>
        <v>0</v>
      </c>
      <c r="K47" s="103" t="n">
        <f aca="false">SUMIF($C$7:$C$45,"Plan",K$7:K$45)</f>
        <v>0</v>
      </c>
      <c r="L47" s="103" t="n">
        <f aca="false">SUMIF($C$7:$C$45,"Plan",L$7:L$45)</f>
        <v>0</v>
      </c>
      <c r="M47" s="103" t="n">
        <f aca="false">SUMIF($C$7:$C$45,"Plan",M$7:M$45)</f>
        <v>0</v>
      </c>
      <c r="N47" s="103" t="n">
        <f aca="false">SUMIF($C$7:$C$45,"Plan",N$7:N$45)</f>
        <v>0.5</v>
      </c>
      <c r="O47" s="103" t="n">
        <f aca="false">SUMIF($C$7:$C$45,"Plan",O$7:O$45)</f>
        <v>0.171428571428571</v>
      </c>
      <c r="P47" s="103" t="n">
        <f aca="false">SUMIF($C$7:$C$45,"Plan",P$7:P$45)</f>
        <v>1.2</v>
      </c>
      <c r="Q47" s="103" t="n">
        <f aca="false">SUMIF($C$7:$C$45,"Plan",Q$7:Q$45)</f>
        <v>0.628571428571429</v>
      </c>
      <c r="R47" s="103" t="n">
        <f aca="false">SUMIF($C$7:$C$45,"Plan",R$7:R$45)</f>
        <v>0</v>
      </c>
      <c r="S47" s="103" t="n">
        <f aca="false">SUMIF($C$7:$C$45,"Plan",S$7:S$45)</f>
        <v>3.83333333333333</v>
      </c>
      <c r="T47" s="103" t="n">
        <f aca="false">SUMIF($C$7:$C$45,"Plan",T$7:T$45)</f>
        <v>7.77777777777778</v>
      </c>
      <c r="U47" s="103" t="n">
        <f aca="false">SUMIF($C$7:$C$45,"Plan",U$7:U$45)</f>
        <v>7.77777777777778</v>
      </c>
      <c r="V47" s="103" t="n">
        <f aca="false">SUMIF($C$7:$C$45,"Plan",V$7:V$45)</f>
        <v>44.1765873015873</v>
      </c>
      <c r="W47" s="103" t="n">
        <f aca="false">SUMIF($C$7:$C$45,"Plan",W$7:W$45)</f>
        <v>28.7895962732919</v>
      </c>
      <c r="X47" s="103" t="n">
        <f aca="false">SUMIF($C$7:$C$45,"Plan",X$7:X$45)</f>
        <v>1.81884057971015</v>
      </c>
      <c r="Y47" s="103" t="n">
        <f aca="false">SUMIF($C$7:$C$45,"Plan",Y$7:Y$45)</f>
        <v>0.152173913043478</v>
      </c>
      <c r="Z47" s="103" t="n">
        <f aca="false">SUMIF($C$7:$C$45,"Plan",Z$7:Z$45)</f>
        <v>0.152173913043478</v>
      </c>
      <c r="AA47" s="103" t="n">
        <f aca="false">SUMIF($C$7:$C$45,"Plan",AA$7:AA$45)</f>
        <v>0.152173913043478</v>
      </c>
      <c r="AB47" s="103" t="n">
        <f aca="false">SUMIF($C$7:$C$45,"Plan",AB$7:AB$45)</f>
        <v>0.152173913043478</v>
      </c>
      <c r="AC47" s="103" t="n">
        <f aca="false">SUMIF($C$7:$C$45,"Plan",AC$7:AC$45)</f>
        <v>0.152173913043478</v>
      </c>
      <c r="AD47" s="103" t="n">
        <f aca="false">SUMIF($C$7:$C$45,"Plan",AD$7:AD$45)</f>
        <v>0.243788819875776</v>
      </c>
      <c r="AE47" s="103" t="n">
        <f aca="false">SUMIF($C$7:$C$45,"Plan",AE$7:AE$45)</f>
        <v>1.25</v>
      </c>
      <c r="AF47" s="103" t="n">
        <f aca="false">SUMIF($C$7:$C$45,"Plan",AF$7:AF$45)</f>
        <v>1.07142857142857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671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</v>
      </c>
      <c r="L48" s="103" t="n">
        <f aca="false">SUMIF($C$7:$C$45,"Actual",L$7:L$45)</f>
        <v>0</v>
      </c>
      <c r="M48" s="103" t="n">
        <f aca="false">SUMIF($C$7:$C$45,"Actual",M$7:M$45)</f>
        <v>0</v>
      </c>
      <c r="N48" s="103" t="n">
        <f aca="false">SUMIF($C$7:$C$45,"Actual",N$7:N$45)</f>
        <v>0</v>
      </c>
      <c r="O48" s="103" t="n">
        <f aca="false">SUMIF($C$7:$C$45,"Actual",O$7:O$45)</f>
        <v>0.3333</v>
      </c>
      <c r="P48" s="103" t="n">
        <f aca="false">SUMIF($C$7:$C$45,"Actual",P$7:P$45)</f>
        <v>0.3333</v>
      </c>
      <c r="Q48" s="103" t="n">
        <f aca="false">SUMIF($C$7:$C$45,"Actual",Q$7:Q$45)</f>
        <v>0.3333</v>
      </c>
      <c r="R48" s="103" t="n">
        <f aca="false">SUMIF($C$7:$C$45,"Actual",R$7:R$45)</f>
        <v>0</v>
      </c>
      <c r="S48" s="103" t="n">
        <f aca="false">SUMIF($C$7:$C$45,"Actual",S$7:S$45)</f>
        <v>0</v>
      </c>
      <c r="T48" s="103" t="n">
        <f aca="false">SUMIF($C$7:$C$45,"Actual",T$7:T$45)</f>
        <v>0</v>
      </c>
      <c r="U48" s="103" t="n">
        <f aca="false">SUMIF($C$7:$C$45,"Actual",U$7:U$45)</f>
        <v>0</v>
      </c>
      <c r="V48" s="103" t="n">
        <f aca="false">SUMIF($C$7:$C$45,"Actual",V$7:V$45)</f>
        <v>0</v>
      </c>
      <c r="W48" s="103" t="n">
        <f aca="false">SUMIF($C$7:$C$45,"Actual",W$7:W$45)</f>
        <v>0</v>
      </c>
      <c r="X48" s="103" t="n">
        <f aca="false">SUMIF($C$7:$C$45,"Actual",X$7:X$45)</f>
        <v>0</v>
      </c>
      <c r="Y48" s="103" t="n">
        <f aca="false">SUMIF($C$7:$C$45,"Actual",Y$7:Y$45)</f>
        <v>0</v>
      </c>
      <c r="Z48" s="103" t="n">
        <f aca="false">SUMIF($C$7:$C$45,"Actual",Z$7:Z$45)</f>
        <v>0</v>
      </c>
      <c r="AA48" s="103" t="n">
        <f aca="false">SUMIF($C$7:$C$45,"Actual",AA$7:AA$45)</f>
        <v>1.25</v>
      </c>
      <c r="AB48" s="103" t="n">
        <f aca="false">SUMIF($C$7:$C$45,"Actual",AB$7:AB$45)</f>
        <v>0.25</v>
      </c>
      <c r="AC48" s="103" t="n">
        <f aca="false">SUMIF($C$7:$C$45,"Actual",AC$7:AC$45)</f>
        <v>0.25</v>
      </c>
      <c r="AD48" s="103" t="n">
        <f aca="false">SUMIF($C$7:$C$45,"Actual",AD$7:AD$45)</f>
        <v>0.25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672</v>
      </c>
      <c r="H49" s="105" t="n">
        <f aca="false">H47</f>
        <v>0</v>
      </c>
      <c r="I49" s="105" t="n">
        <f aca="false">H49+I47</f>
        <v>0</v>
      </c>
      <c r="J49" s="105" t="n">
        <f aca="false">I49+J47</f>
        <v>0</v>
      </c>
      <c r="K49" s="105" t="n">
        <f aca="false">J49+K47</f>
        <v>0</v>
      </c>
      <c r="L49" s="105" t="n">
        <f aca="false">K49+L47</f>
        <v>0</v>
      </c>
      <c r="M49" s="105" t="n">
        <f aca="false">L49+M47</f>
        <v>0</v>
      </c>
      <c r="N49" s="105" t="n">
        <f aca="false">M49+N47</f>
        <v>0.5</v>
      </c>
      <c r="O49" s="105" t="n">
        <f aca="false">N49+O47</f>
        <v>0.671428571428572</v>
      </c>
      <c r="P49" s="105" t="n">
        <f aca="false">O49+P47</f>
        <v>1.87142857142857</v>
      </c>
      <c r="Q49" s="105" t="n">
        <f aca="false">P49+Q47</f>
        <v>2.5</v>
      </c>
      <c r="R49" s="105" t="n">
        <f aca="false">Q49+R47</f>
        <v>2.5</v>
      </c>
      <c r="S49" s="105" t="n">
        <f aca="false">R49+S47</f>
        <v>6.33333333333333</v>
      </c>
      <c r="T49" s="105" t="n">
        <f aca="false">S49+T47</f>
        <v>14.1111111111111</v>
      </c>
      <c r="U49" s="105" t="n">
        <f aca="false">T49+U47</f>
        <v>21.8888888888889</v>
      </c>
      <c r="V49" s="105" t="n">
        <f aca="false">U49+V47</f>
        <v>66.0654761904762</v>
      </c>
      <c r="W49" s="105" t="n">
        <f aca="false">V49+W47</f>
        <v>94.8550724637681</v>
      </c>
      <c r="X49" s="105" t="n">
        <f aca="false">W49+X47</f>
        <v>96.6739130434783</v>
      </c>
      <c r="Y49" s="105" t="n">
        <f aca="false">X49+Y47</f>
        <v>96.8260869565218</v>
      </c>
      <c r="Z49" s="105" t="n">
        <f aca="false">Y49+Z47</f>
        <v>96.9782608695652</v>
      </c>
      <c r="AA49" s="105" t="n">
        <f aca="false">Z49+AA47</f>
        <v>97.1304347826087</v>
      </c>
      <c r="AB49" s="105" t="n">
        <f aca="false">AA49+AB47</f>
        <v>97.2826086956522</v>
      </c>
      <c r="AC49" s="105" t="n">
        <f aca="false">AB49+AC47</f>
        <v>97.4347826086957</v>
      </c>
      <c r="AD49" s="105" t="n">
        <f aca="false">AC49+AD47</f>
        <v>97.6785714285715</v>
      </c>
      <c r="AE49" s="105" t="n">
        <f aca="false">AD49+AE47</f>
        <v>98.9285714285715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673</v>
      </c>
      <c r="H50" s="105" t="n">
        <f aca="false">H48</f>
        <v>0</v>
      </c>
      <c r="I50" s="105" t="n">
        <f aca="false">IF(I$6&gt;46314,"",H50+I48)</f>
        <v>0</v>
      </c>
      <c r="J50" s="105" t="n">
        <f aca="false">IF(J$6&gt;46314,"",I50+J48)</f>
        <v>0</v>
      </c>
      <c r="K50" s="105" t="n">
        <f aca="false">IF(K$6&gt;46314,"",J50+K48)</f>
        <v>0</v>
      </c>
      <c r="L50" s="105" t="n">
        <f aca="false">IF(L$6&gt;46314,"",K50+L48)</f>
        <v>0</v>
      </c>
      <c r="M50" s="105" t="n">
        <f aca="false">IF(M$6&gt;46314,"",L50+M48)</f>
        <v>0</v>
      </c>
      <c r="N50" s="105" t="n">
        <f aca="false">IF(N$6&gt;46314,"",M50+N48)</f>
        <v>0</v>
      </c>
      <c r="O50" s="105" t="n">
        <f aca="false">IF(O$6&gt;46314,"",N50+O48)</f>
        <v>0.3333</v>
      </c>
      <c r="P50" s="105" t="n">
        <f aca="false">IF(P$6&gt;46314,"",O50+P48)</f>
        <v>0.6666</v>
      </c>
      <c r="Q50" s="105" t="n">
        <f aca="false">IF(Q$6&gt;46314,"",P50+Q48)</f>
        <v>0.9999</v>
      </c>
      <c r="R50" s="105" t="n">
        <f aca="false">IF(R$6&gt;46314,"",Q50+R48)</f>
        <v>0.9999</v>
      </c>
      <c r="S50" s="105" t="n">
        <f aca="false">IF(S$6&gt;46314,"",R50+S48)</f>
        <v>0.9999</v>
      </c>
      <c r="T50" s="105" t="n">
        <f aca="false">IF(T$6&gt;46314,"",S50+T48)</f>
        <v>0.9999</v>
      </c>
      <c r="U50" s="105" t="n">
        <f aca="false">IF(U$6&gt;46314,"",T50+U48)</f>
        <v>0.9999</v>
      </c>
      <c r="V50" s="105" t="n">
        <f aca="false">IF(V$6&gt;46314,"",U50+V48)</f>
        <v>0.9999</v>
      </c>
      <c r="W50" s="105" t="n">
        <f aca="false">IF(W$6&gt;46314,"",V50+W48)</f>
        <v>0.9999</v>
      </c>
      <c r="X50" s="105" t="n">
        <f aca="false">IF(X$6&gt;46314,"",W50+X48)</f>
        <v>0.9999</v>
      </c>
      <c r="Y50" s="105" t="n">
        <f aca="false">IF(Y$6&gt;46314,"",X50+Y48)</f>
        <v>0.9999</v>
      </c>
      <c r="Z50" s="105" t="n">
        <f aca="false">IF(Z$6&gt;46314,"",Y50+Z48)</f>
        <v>0.9999</v>
      </c>
      <c r="AA50" s="105" t="n">
        <f aca="false">IF(AA$6&gt;46314,"",Z50+AA48)</f>
        <v>2.2499</v>
      </c>
      <c r="AB50" s="105" t="n">
        <f aca="false">IF(AB$6&gt;46314,"",AA50+AB48)</f>
        <v>2.4999</v>
      </c>
      <c r="AC50" s="105" t="n">
        <f aca="false">IF(AC$6&gt;46314,"",AB50+AC48)</f>
        <v>2.7499</v>
      </c>
      <c r="AD50" s="105" t="n">
        <f aca="false">IF(AD$6&gt;46314,"",AC50+AD48)</f>
        <v>2.9999</v>
      </c>
      <c r="AE50" s="105" t="str">
        <f aca="false">IF(AE$6&gt;46314,"",AD50+AE48)</f>
        <v/>
      </c>
      <c r="AF50" s="105" t="str">
        <f aca="false">IF(AF$6&gt;46314,"",AE50+AF48)</f>
        <v/>
      </c>
      <c r="AG50" s="105" t="str">
        <f aca="false">IF(AG$6&gt;46314,"",AF50+AG48)</f>
        <v/>
      </c>
      <c r="AH50" s="105" t="str">
        <f aca="false">IF(AH$6&gt;46314,"",AG50+AH48)</f>
        <v/>
      </c>
      <c r="AI50" s="105" t="str">
        <f aca="false">IF(AI$6&gt;46314,"",AH50+AI48)</f>
        <v/>
      </c>
      <c r="AJ50" s="105" t="str">
        <f aca="false">IF(AJ$6&gt;46314,"",AI50+AJ48)</f>
        <v/>
      </c>
      <c r="AK50" s="105" t="str">
        <f aca="false">IF(AK$6&gt;46314,"",AJ50+AK48)</f>
        <v/>
      </c>
      <c r="AL50" s="105" t="str">
        <f aca="false">IF(AL$6&gt;46314,"",AK50+AL48)</f>
        <v/>
      </c>
      <c r="AM50" s="105" t="str">
        <f aca="false">IF(AM$6&gt;46314,"",AL50+AM48)</f>
        <v/>
      </c>
      <c r="AN50" s="105" t="str">
        <f aca="false">IF(AN$6&gt;46314,"",AM50+AN48)</f>
        <v/>
      </c>
      <c r="AO50" s="105" t="str">
        <f aca="false">IF(AO$6&gt;46314,"",AN50+AO48)</f>
        <v/>
      </c>
      <c r="AP50" s="105" t="str">
        <f aca="false">IF(AP$6&gt;46314,"",AO50+AP48)</f>
        <v/>
      </c>
      <c r="AQ50" s="105" t="str">
        <f aca="false">IF(AQ$6&gt;46314,"",AP50+AQ48)</f>
        <v/>
      </c>
      <c r="AR50" s="105" t="str">
        <f aca="false">IF(AR$6&gt;46314,"",AQ50+AR48)</f>
        <v/>
      </c>
      <c r="AS50" s="105" t="str">
        <f aca="false">IF(AS$6&gt;46314,"",AR50+AS48)</f>
        <v/>
      </c>
      <c r="AT50" s="105" t="str">
        <f aca="false">IF(AT$6&gt;46314,"",AS50+AT48)</f>
        <v/>
      </c>
      <c r="AU50" s="105" t="str">
        <f aca="false">IF(AU$6&gt;46314,"",AT50+AU48)</f>
        <v/>
      </c>
      <c r="AV50" s="105" t="str">
        <f aca="false">IF(AV$6&gt;46314,"",AU50+AV48)</f>
        <v/>
      </c>
      <c r="AW50" s="105" t="str">
        <f aca="false">IF(AW$6&gt;46314,"",AV50+AW48)</f>
        <v/>
      </c>
      <c r="AX50" s="105" t="str">
        <f aca="false">IF(AX$6&gt;46314,"",AW50+AX48)</f>
        <v/>
      </c>
      <c r="AY50" s="105" t="str">
        <f aca="false">IF(AY$6&gt;46314,"",AX50+AY48)</f>
        <v/>
      </c>
      <c r="AZ50" s="105" t="str">
        <f aca="false">IF(AZ$6&gt;46314,"",AY50+AZ48)</f>
        <v/>
      </c>
      <c r="BA50" s="105" t="str">
        <f aca="false">IF(BA$6&gt;46314,"",AZ50+BA48)</f>
        <v/>
      </c>
      <c r="BB50" s="105" t="str">
        <f aca="false">IF(BB$6&gt;46314,"",BA50+BB48)</f>
        <v/>
      </c>
      <c r="BC50" s="105" t="str">
        <f aca="false">IF(BC$6&gt;46314,"",BB50+BC48)</f>
        <v/>
      </c>
      <c r="BD50" s="105" t="str">
        <f aca="false">IF(BD$6&gt;46314,"",BC50+BD48)</f>
        <v/>
      </c>
      <c r="BE50" s="105" t="str">
        <f aca="false">IF(BE$6&gt;46314,"",BD50+BE48)</f>
        <v/>
      </c>
      <c r="BF50" s="105" t="str">
        <f aca="false">IF(BF$6&gt;46314,"",BE50+BF48)</f>
        <v/>
      </c>
      <c r="BG50" s="105" t="str">
        <f aca="false">IF(BG$6&gt;46314,"",BF50+BG48)</f>
        <v/>
      </c>
      <c r="BH50" s="105" t="str">
        <f aca="false">IF(BH$6&gt;46314,"",BG50+BH48)</f>
        <v/>
      </c>
      <c r="BI50" s="105" t="str">
        <f aca="false">IF(BI$6&gt;46314,"",BH50+BI48)</f>
        <v/>
      </c>
      <c r="BJ50" s="105" t="str">
        <f aca="false">IF(BJ$6&gt;46314,"",BI50+BJ48)</f>
        <v/>
      </c>
      <c r="BK50" s="105" t="str">
        <f aca="false">IF(BK$6&gt;46314,"",BJ50+BK48)</f>
        <v/>
      </c>
      <c r="BL50" s="105" t="str">
        <f aca="false">IF(BL$6&gt;46314,"",BK50+BL48)</f>
        <v/>
      </c>
      <c r="BM50" s="105" t="str">
        <f aca="false">IF(BM$6&gt;46314,"",BL50+BM48)</f>
        <v/>
      </c>
      <c r="BN50" s="105" t="str">
        <f aca="false">IF(BN$6&gt;46314,"",BM50+BN48)</f>
        <v/>
      </c>
      <c r="BO50" s="105" t="str">
        <f aca="false">IF(BO$6&gt;46314,"",BN50+BO48)</f>
        <v/>
      </c>
      <c r="BP50" s="105" t="str">
        <f aca="false">IF(BP$6&gt;46314,"",BO50+BP48)</f>
        <v/>
      </c>
      <c r="BQ50" s="105" t="str">
        <f aca="false">IF(BQ$6&gt;46314,"",BP50+BQ48)</f>
        <v/>
      </c>
      <c r="BR50" s="105" t="str">
        <f aca="false">IF(BR$6&gt;46314,"",BQ50+BR48)</f>
        <v/>
      </c>
      <c r="BS50" s="105" t="str">
        <f aca="false">IF(BS$6&gt;46314,"",BR50+BS48)</f>
        <v/>
      </c>
      <c r="BT50" s="105" t="str">
        <f aca="false">IF(BT$6&gt;46314,"",BS50+BT48)</f>
        <v/>
      </c>
      <c r="BU50" s="105" t="str">
        <f aca="false">IF(BU$6&gt;46314,"",BT50+BU48)</f>
        <v/>
      </c>
      <c r="BV50" s="105" t="str">
        <f aca="false">IF(BV$6&gt;46314,"",BU50+BV48)</f>
        <v/>
      </c>
      <c r="BW50" s="105" t="str">
        <f aca="false">IF(BW$6&gt;46314,"",BV50+BW48)</f>
        <v/>
      </c>
      <c r="BX50" s="105" t="str">
        <f aca="false">IF(BX$6&gt;46314,"",BW50+BX48)</f>
        <v/>
      </c>
      <c r="BY50" s="105" t="str">
        <f aca="false">IF(BY$6&gt;46314,"",BX50+BY48)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2026-10-26T04:40:48Z</dcterms:created>
  <dc:creator>openpyxl</dc:creator>
  <dc:description/>
  <dc:language>en-US</dc:language>
  <cp:lastModifiedBy/>
  <dcterms:modified xsi:type="dcterms:W3CDTF">2026-10-26T11:45:34Z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