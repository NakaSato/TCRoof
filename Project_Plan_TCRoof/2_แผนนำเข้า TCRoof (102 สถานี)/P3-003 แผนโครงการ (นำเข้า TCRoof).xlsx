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<sst xmlns="http://schemas.openxmlformats.org/spreadsheetml/2006/main" count="1288" uniqueCount="668">
  <si>
    <t xml:space="preserve">แผนโครงการ P3-003 – สถานีผลิตน้ำบ้านหมี่ 150.48 kWp</t>
  </si>
  <si>
    <t xml:space="preserve">กปภ.สาขาบ้านหมี่, ภาคเหนือ-กลาง, กฟภ. เขต น.3, Inverter 125 kW (ไม่ต้อง พค.2), Zero export LV, คำขอ PPIM1A506744, วิศวกร เปรม, Admin บีม, ผรม. B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</si>
  <si>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</si>
  <si>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</si>
  <si>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</si>
  <si>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</si>
  <si>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</si>
  <si>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</si>
  <si>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</si>
  <si>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</si>
  <si>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</si>
  <si>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</si>
  <si>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</si>
  <si>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</si>
  <si>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</si>
  <si>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</si>
  <si>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</si>
  <si>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</si>
  <si>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</si>
  <si>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</si>
  <si>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</si>
  <si>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</si>
  <si>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</si>
  <si>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</si>
  <si>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</si>
  <si>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</si>
  <si>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</si>
  <si>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</si>
  <si>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</si>
  <si>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P3-003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</si>
  <si>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</si>
  <si>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</si>
  <si>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</si>
  <si>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</si>
  <si>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</si>
  <si>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</si>
  <si>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</si>
  <si>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</si>
  <si>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</si>
  <si>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</si>
  <si>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</si>
  <si>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</si>
  <si>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</si>
  <si>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</si>
  <si>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</si>
  <si>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</si>
  <si>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</si>
  <si>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</si>
  <si>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</si>
  <si>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</si>
  <si>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</si>
  <si>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</si>
  <si>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</si>
  <si>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</si>
  <si>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</si>
  <si>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</si>
  <si>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</si>
  <si>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</si>
  <si>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</si>
  <si>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</si>
  <si>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</si>
  <si>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</si>
  <si>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</si>
  <si>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</si>
  <si>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</si>
  <si>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</si>
  <si>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</si>
  <si>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</si>
  <si>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</si>
  <si>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</si>
  <si>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</si>
  <si>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</si>
  <si>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</si>
  <si>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</si>
  <si>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</si>
  <si>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</si>
  <si>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</si>
  <si>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</si>
  <si>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</si>
  <si>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เปรม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</si>
  <si>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</si>
  <si>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</si>
  <si>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</si>
  <si>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</si>
  <si>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</si>
  <si>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</si>
  <si>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</si>
  <si>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</si>
  <si>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</si>
  <si>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</si>
  <si>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</si>
  <si>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</si>
  <si>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</si>
  <si>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</si>
  <si>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</si>
  <si>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</si>
  <si>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</si>
  <si>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</si>
  <si>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</si>
  <si>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</si>
  <si>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</si>
  <si>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</si>
  <si>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</si>
  <si>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</si>
  <si>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</si>
  <si>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</si>
  <si>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</si>
  <si>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</si>
  <si>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</si>
  <si>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</si>
  <si>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</si>
  <si>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</si>
  <si>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</si>
  <si>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</si>
  <si>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</si>
  <si>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</si>
  <si>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</si>
  <si>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</si>
  <si>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</si>
  <si>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</si>
  <si>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</si>
  <si>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</si>
  <si>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</si>
  <si>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WBS'!L1149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</si>
  <si>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</si>
  <si>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</si>
  <si>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</si>
  <si>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</si>
  <si>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</si>
  <si>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</si>
  <si>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</si>
  <si>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</si>
  <si>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</si>
  <si>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</si>
  <si>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</si>
  <si>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</si>
  <si>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</si>
  <si>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</si>
  <si>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</si>
  <si>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</si>
  <si>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</si>
  <si>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</si>
  <si>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</si>
  <si>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</si>
  <si>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WBS'!L1154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</si>
  <si>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</si>
  <si>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</si>
  <si>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</si>
  <si>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</si>
  <si>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</si>
  <si>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</si>
  <si>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</si>
  <si>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</si>
  <si>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WBS'!L1155</t>
    </r>
  </si>
  <si>
    <t xml:space="preserve">0.3</t>
  </si>
  <si>
    <t xml:space="preserve">หนังสือแจ้งขอดับไฟ</t>
  </si>
  <si>
    <t xml:space="preserve">TC-PML-2026-419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</si>
  <si>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</si>
  <si>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</si>
  <si>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</si>
  <si>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</si>
  <si>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</si>
  <si>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</si>
  <si>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</si>
  <si>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</si>
  <si>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</si>
  <si>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</si>
  <si>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</si>
  <si>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</si>
  <si>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</si>
  <si>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</si>
  <si>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</si>
  <si>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</si>
  <si>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</si>
  <si>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</si>
  <si>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</si>
  <si>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</si>
  <si>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</si>
  <si>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</si>
  <si>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</si>
  <si>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</si>
  <si>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</si>
  <si>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</si>
  <si>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</si>
  <si>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</si>
  <si>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</si>
  <si>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</si>
  <si>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</si>
  <si>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</si>
  <si>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</si>
  <si>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</si>
  <si>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</si>
  <si>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</si>
  <si>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</si>
  <si>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</si>
  <si>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</si>
  <si>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</si>
  <si>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</si>
  <si>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</si>
  <si>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</si>
  <si>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</si>
  <si>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</si>
  <si>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</si>
  <si>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</si>
  <si>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</si>
  <si>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</si>
  <si>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</si>
  <si>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</si>
  <si>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</si>
  <si>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</si>
  <si>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</si>
  <si>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</si>
  <si>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</si>
  <si>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</si>
  <si>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</si>
  <si>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</si>
  <si>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</si>
  <si>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</si>
  <si>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</si>
  <si>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</si>
  <si>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</si>
  <si>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</si>
  <si>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</si>
  <si>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</si>
  <si>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</si>
  <si>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</si>
  <si>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</si>
  <si>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</si>
  <si>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</si>
  <si>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</si>
  <si>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</si>
  <si>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</si>
  <si>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</si>
  <si>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</si>
  <si>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</si>
  <si>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</si>
  <si>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</si>
  <si>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</si>
  <si>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</si>
  <si>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</si>
  <si>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</si>
  <si>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</si>
  <si>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</si>
  <si>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WBS'!L1171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</si>
  <si>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</si>
  <si>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</si>
  <si>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</si>
  <si>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</si>
  <si>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</si>
  <si>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</si>
  <si>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</si>
  <si>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</si>
  <si>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</si>
  <si>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</si>
  <si>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</si>
  <si>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</si>
  <si>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</si>
  <si>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</si>
  <si>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</si>
  <si>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</si>
  <si>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</si>
  <si>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</si>
  <si>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</si>
  <si>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</si>
  <si>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</si>
  <si>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</si>
  <si>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</si>
  <si>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</si>
  <si>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</si>
  <si>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</si>
  <si>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</si>
  <si>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</si>
  <si>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WBS'!L1173</t>
    </r>
  </si>
  <si>
    <t xml:space="preserve">1.7.1</t>
  </si>
  <si>
    <t xml:space="preserve">คำขอขนานไฟ PPIM (ชุด 11 ไฟล์)</t>
  </si>
  <si>
    <t xml:space="preserve">PPIM1A506744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</si>
  <si>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</si>
  <si>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</si>
  <si>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</si>
  <si>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</si>
  <si>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</si>
  <si>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</si>
  <si>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</si>
  <si>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</si>
  <si>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</si>
  <si>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</si>
  <si>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</si>
  <si>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</si>
  <si>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</si>
  <si>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</si>
  <si>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</si>
  <si>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</si>
  <si>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</si>
  <si>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</si>
  <si>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</si>
  <si>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</si>
  <si>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</si>
  <si>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</si>
  <si>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</si>
  <si>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</si>
  <si>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</si>
  <si>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</si>
  <si>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</si>
  <si>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</si>
  <si>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</si>
  <si>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</si>
  <si>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</si>
  <si>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</si>
  <si>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</si>
  <si>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</si>
  <si>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</si>
  <si>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</si>
  <si>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</si>
  <si>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</si>
  <si>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</si>
  <si>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</si>
  <si>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</si>
  <si>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</si>
  <si>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</si>
  <si>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</si>
  <si>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</si>
  <si>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</si>
  <si>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</si>
  <si>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</si>
  <si>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</si>
  <si>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</si>
  <si>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</si>
  <si>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</si>
  <si>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</si>
  <si>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</si>
  <si>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</si>
  <si>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</si>
  <si>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</si>
  <si>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</si>
  <si>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</si>
  <si>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</si>
  <si>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</si>
  <si>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</si>
  <si>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</si>
  <si>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</si>
  <si>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</si>
  <si>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</si>
  <si>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</si>
  <si>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</si>
  <si>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</si>
  <si>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</si>
  <si>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</si>
  <si>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</si>
  <si>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</si>
  <si>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</si>
  <si>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</si>
  <si>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</si>
  <si>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</si>
  <si>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</si>
  <si>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</si>
  <si>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</si>
  <si>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</si>
  <si>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</si>
  <si>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</si>
  <si>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</si>
  <si>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</si>
  <si>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</si>
  <si>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</si>
  <si>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</si>
  <si>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</si>
  <si>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</si>
  <si>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</si>
  <si>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</si>
  <si>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</si>
  <si>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</si>
  <si>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</si>
  <si>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</si>
  <si>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</si>
  <si>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</si>
  <si>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</si>
  <si>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</si>
  <si>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</si>
  <si>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</si>
  <si>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</si>
  <si>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</si>
  <si>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</si>
  <si>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</si>
  <si>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</si>
  <si>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</si>
  <si>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</si>
  <si>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</si>
  <si>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</si>
  <si>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</si>
  <si>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WBS'!L1192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</si>
  <si>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</si>
  <si>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</si>
  <si>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</si>
  <si>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</si>
  <si>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</si>
  <si>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</si>
  <si>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</si>
  <si>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</si>
  <si>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</si>
  <si>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</si>
  <si>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</si>
  <si>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</si>
  <si>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</si>
  <si>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</si>
  <si>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</si>
  <si>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</si>
  <si>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</si>
  <si>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</si>
  <si>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</si>
  <si>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WBS'!L1196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</si>
  <si>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</si>
  <si>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</si>
  <si>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</si>
  <si>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</si>
  <si>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</si>
  <si>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</si>
  <si>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</si>
  <si>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</si>
  <si>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</si>
  <si>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</si>
  <si>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</si>
  <si>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</si>
  <si>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</si>
  <si>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</si>
  <si>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</si>
  <si>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</si>
  <si>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</si>
  <si>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</si>
  <si>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</si>
  <si>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</si>
  <si>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</si>
  <si>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</si>
  <si>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</si>
  <si>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</si>
  <si>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</si>
  <si>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</si>
  <si>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</si>
  <si>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</si>
  <si>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</si>
  <si>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</si>
  <si>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</si>
  <si>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</si>
  <si>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</si>
  <si>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</si>
  <si>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</si>
  <si>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</si>
  <si>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</si>
  <si>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</si>
  <si>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WBS'!L1204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</si>
  <si>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</si>
  <si>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</si>
  <si>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</si>
  <si>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</si>
  <si>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</si>
  <si>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</si>
  <si>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</si>
  <si>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</si>
  <si>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</si>
  <si>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</si>
  <si>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</si>
  <si>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</si>
  <si>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</si>
  <si>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WBS'!L1205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</si>
  <si>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</si>
  <si>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</si>
  <si>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</si>
  <si>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</si>
  <si>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</si>
  <si>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</si>
  <si>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</si>
  <si>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</si>
  <si>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</si>
  <si>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</si>
  <si>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</si>
  <si>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</si>
  <si>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</si>
  <si>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</si>
  <si>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</si>
  <si>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</si>
  <si>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</si>
  <si>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</si>
  <si>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</si>
  <si>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</si>
  <si>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</si>
  <si>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</si>
  <si>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</si>
  <si>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</si>
  <si>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</si>
  <si>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</si>
  <si>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WBS'!L1211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</si>
  <si>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</si>
  <si>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</si>
  <si>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4/8/69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</si>
  <si>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</si>
  <si>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</si>
  <si>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</si>
  <si>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</si>
  <si>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</si>
  <si>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</si>
  <si>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</si>
  <si>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</si>
  <si>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</si>
  <si>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</si>
  <si>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</si>
  <si>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</si>
  <si>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</si>
  <si>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</si>
  <si>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</si>
  <si>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</si>
  <si>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</si>
  <si>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</si>
  <si>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</si>
  <si>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</si>
  <si>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</si>
  <si>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</si>
  <si>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</si>
  <si>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</si>
  <si>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</si>
  <si>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</si>
  <si>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</si>
  <si>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</si>
  <si>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</si>
  <si>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</si>
  <si>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</si>
  <si>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</si>
  <si>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</si>
  <si>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</si>
  <si>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</si>
  <si>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</si>
  <si>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</si>
  <si>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</si>
  <si>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</si>
  <si>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</si>
  <si>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</si>
  <si>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</si>
  <si>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</si>
  <si>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</si>
  <si>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</si>
  <si>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</si>
  <si>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</si>
  <si>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</si>
  <si>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</si>
  <si>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</si>
  <si>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</si>
  <si>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</si>
  <si>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</si>
  <si>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</si>
  <si>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</si>
  <si>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</si>
  <si>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</si>
  <si>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</si>
  <si>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</si>
  <si>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</si>
  <si>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</si>
  <si>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</si>
  <si>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</si>
  <si>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</si>
  <si>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</si>
  <si>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</si>
  <si>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</si>
  <si>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</si>
  <si>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</si>
  <si>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</si>
  <si>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</si>
  <si>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รอภาคผนวก ก</t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</si>
  <si>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</si>
  <si>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</si>
  <si>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</si>
  <si>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</si>
  <si>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</si>
  <si>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</si>
  <si>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</si>
  <si>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</si>
  <si>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</si>
  <si>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</si>
  <si>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</si>
  <si>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</si>
  <si>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</si>
  <si>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</si>
  <si>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</si>
  <si>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</si>
  <si>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</si>
  <si>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</si>
  <si>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</si>
  <si>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</si>
  <si>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</si>
  <si>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</si>
  <si>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</si>
  <si>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</si>
  <si>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</si>
  <si>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</si>
  <si>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</si>
  <si>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</si>
  <si>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</si>
  <si>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</si>
  <si>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</si>
  <si>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</si>
  <si>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</si>
  <si>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</si>
  <si>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</si>
  <si>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</si>
  <si>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</si>
  <si>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</si>
  <si>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</si>
  <si>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</si>
  <si>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</si>
  <si>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</si>
  <si>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</si>
  <si>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</si>
  <si>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</si>
  <si>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</si>
  <si>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</si>
  <si>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</si>
  <si>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</si>
  <si>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สถานีผลิตน้ำบ้านหมี่ การประปาส่วนภูมิภาคสาขาบ้านหมี่ 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</si>
  <si>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</si>
  <si>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</si>
  <si>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</si>
  <si>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P3-003,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เปรม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</si>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</sst>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1.5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89.7501</c:v>
                </c:pt>
                <c:pt idx="11">
                  <c:v>93.5001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338712"/>
        <c:axId val="35448155"/>
      </c:lineChart>
      <c:catAx>
        <c:axId val="7933871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48155"/>
        <c:crosses val="autoZero"/>
        <c:auto val="1"/>
        <c:lblAlgn val="ctr"/>
        <c:lblOffset val="100"/>
        <c:noMultiLvlLbl val="0"/>
      </c:catAx>
      <c:valAx>
        <c:axId val="35448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387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46394</v>
      </c>
      <c r="G4" s="10"/>
      <c r="H4" s="10"/>
      <c r="J4" s="11" t="n">
        <v>0.95</v>
      </c>
      <c r="K4" s="11"/>
      <c r="L4" s="12" t="n">
        <v>63</v>
      </c>
      <c r="M4" s="12"/>
      <c r="N4" s="12" t="n">
        <v>102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46178</v>
      </c>
      <c r="O8" s="33" t="n">
        <v>46412</v>
      </c>
      <c r="P8" s="34" t="s">
        <v>75</v>
      </c>
      <c r="Q8" s="31" t="n">
        <v>103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46178</v>
      </c>
      <c r="O9" s="45" t="n">
        <v>46412</v>
      </c>
      <c r="P9" s="46" t="s">
        <v>75</v>
      </c>
      <c r="Q9" s="37" t="n">
        <v>103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46178</v>
      </c>
      <c r="O10" s="55" t="n">
        <v>46201</v>
      </c>
      <c r="P10" s="50" t="s">
        <v>75</v>
      </c>
      <c r="Q10" s="52" t="n">
        <v>5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46178</v>
      </c>
      <c r="O11" s="55" t="n">
        <v>46201</v>
      </c>
      <c r="P11" s="50" t="s">
        <v>75</v>
      </c>
      <c r="Q11" s="52" t="n">
        <v>5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46178</v>
      </c>
      <c r="O12" s="55" t="n">
        <v>46201</v>
      </c>
      <c r="P12" s="50" t="s">
        <v>75</v>
      </c>
      <c r="Q12" s="52" t="n">
        <v>5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46178</v>
      </c>
      <c r="O13" s="55" t="n">
        <v>46213</v>
      </c>
      <c r="P13" s="50" t="s">
        <v>75</v>
      </c>
      <c r="Q13" s="52" t="n">
        <v>10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46201</v>
      </c>
      <c r="O14" s="55" t="n">
        <v>46412</v>
      </c>
      <c r="P14" s="50" t="s">
        <v>75</v>
      </c>
      <c r="Q14" s="52" t="n">
        <v>103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46201</v>
      </c>
      <c r="O15" s="55" t="n">
        <v>46412</v>
      </c>
      <c r="P15" s="50" t="s">
        <v>75</v>
      </c>
      <c r="Q15" s="52" t="n">
        <v>103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46204</v>
      </c>
      <c r="O16" s="45" t="n">
        <v>46213</v>
      </c>
      <c r="P16" s="46" t="s">
        <v>115</v>
      </c>
      <c r="Q16" s="37" t="n">
        <v>-1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46204</v>
      </c>
      <c r="O17" s="55" t="n">
        <v>46206</v>
      </c>
      <c r="P17" s="50" t="s">
        <v>124</v>
      </c>
      <c r="Q17" s="52" t="n">
        <v>1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46205</v>
      </c>
      <c r="O18" s="55" t="n">
        <v>46208</v>
      </c>
      <c r="P18" s="50" t="s">
        <v>124</v>
      </c>
      <c r="Q18" s="52" t="n">
        <v>1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46207</v>
      </c>
      <c r="O19" s="55" t="n">
        <v>46210</v>
      </c>
      <c r="P19" s="50" t="s">
        <v>124</v>
      </c>
      <c r="Q19" s="52" t="n">
        <v>-1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46207</v>
      </c>
      <c r="O20" s="55" t="n">
        <v>46210</v>
      </c>
      <c r="P20" s="50" t="s">
        <v>124</v>
      </c>
      <c r="Q20" s="52" t="n">
        <v>-1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46208</v>
      </c>
      <c r="O21" s="55" t="n">
        <v>46211</v>
      </c>
      <c r="P21" s="50" t="s">
        <v>124</v>
      </c>
      <c r="Q21" s="52" t="n">
        <v>-1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46209</v>
      </c>
      <c r="O22" s="55" t="n">
        <v>46212</v>
      </c>
      <c r="P22" s="50" t="s">
        <v>124</v>
      </c>
      <c r="Q22" s="52" t="n">
        <v>-1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153</v>
      </c>
      <c r="N24" s="55" t="n">
        <v>46209</v>
      </c>
      <c r="O24" s="55" t="n">
        <v>46213</v>
      </c>
      <c r="P24" s="50" t="s">
        <v>124</v>
      </c>
      <c r="Q24" s="52" t="n">
        <v>-1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46219</v>
      </c>
      <c r="M25" s="43"/>
      <c r="N25" s="44" t="n">
        <v>46219</v>
      </c>
      <c r="O25" s="45" t="n">
        <v>46219</v>
      </c>
      <c r="P25" s="46" t="s">
        <v>60</v>
      </c>
      <c r="Q25" s="37" t="n">
        <v>11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164</v>
      </c>
      <c r="N26" s="55" t="n">
        <v>46219</v>
      </c>
      <c r="O26" s="55" t="n">
        <v>46219</v>
      </c>
      <c r="P26" s="50" t="s">
        <v>124</v>
      </c>
      <c r="Q26" s="52" t="n">
        <v>11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168</v>
      </c>
      <c r="N27" s="55" t="n">
        <v>46219</v>
      </c>
      <c r="O27" s="55" t="n">
        <v>46219</v>
      </c>
      <c r="P27" s="50" t="s">
        <v>124</v>
      </c>
      <c r="Q27" s="52" t="n">
        <v>11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172</v>
      </c>
      <c r="N28" s="55" t="n">
        <v>46219</v>
      </c>
      <c r="O28" s="55" t="n">
        <v>46219</v>
      </c>
      <c r="P28" s="50" t="s">
        <v>124</v>
      </c>
      <c r="Q28" s="52" t="n">
        <v>11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46178</v>
      </c>
      <c r="O29" s="33" t="n">
        <v>46394</v>
      </c>
      <c r="P29" s="34" t="s">
        <v>75</v>
      </c>
      <c r="Q29" s="31" t="n">
        <v>102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46178</v>
      </c>
      <c r="O30" s="45" t="n">
        <v>46178</v>
      </c>
      <c r="P30" s="46" t="s">
        <v>115</v>
      </c>
      <c r="Q30" s="37" t="n">
        <v>-6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182</v>
      </c>
      <c r="N31" s="55" t="n">
        <v>46178</v>
      </c>
      <c r="O31" s="55" t="n">
        <v>46178</v>
      </c>
      <c r="P31" s="50" t="s">
        <v>124</v>
      </c>
      <c r="Q31" s="52" t="n">
        <v>-6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186</v>
      </c>
      <c r="N32" s="55" t="n">
        <v>46178</v>
      </c>
      <c r="O32" s="55" t="n">
        <v>46178</v>
      </c>
      <c r="P32" s="50" t="s">
        <v>124</v>
      </c>
      <c r="Q32" s="52" t="n">
        <v>-6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190</v>
      </c>
      <c r="N33" s="55" t="n">
        <v>46178</v>
      </c>
      <c r="O33" s="55" t="n">
        <v>46178</v>
      </c>
      <c r="P33" s="50" t="s">
        <v>124</v>
      </c>
      <c r="Q33" s="52" t="n">
        <v>-6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46184</v>
      </c>
      <c r="O34" s="45" t="n">
        <v>46193</v>
      </c>
      <c r="P34" s="46" t="s">
        <v>115</v>
      </c>
      <c r="Q34" s="37" t="n">
        <v>-7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198</v>
      </c>
      <c r="N35" s="55" t="n">
        <v>46184</v>
      </c>
      <c r="O35" s="55" t="n">
        <v>46189</v>
      </c>
      <c r="P35" s="50" t="s">
        <v>124</v>
      </c>
      <c r="Q35" s="52" t="n">
        <v>-6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202</v>
      </c>
      <c r="N36" s="55" t="n">
        <v>46184</v>
      </c>
      <c r="O36" s="55" t="n">
        <v>46189</v>
      </c>
      <c r="P36" s="50" t="s">
        <v>124</v>
      </c>
      <c r="Q36" s="52" t="n">
        <v>-7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206</v>
      </c>
      <c r="N37" s="55" t="n">
        <v>46187</v>
      </c>
      <c r="O37" s="55" t="n">
        <v>46190</v>
      </c>
      <c r="P37" s="50" t="s">
        <v>124</v>
      </c>
      <c r="Q37" s="52" t="n">
        <v>-7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210</v>
      </c>
      <c r="N38" s="55" t="n">
        <v>46189</v>
      </c>
      <c r="O38" s="55" t="n">
        <v>46193</v>
      </c>
      <c r="P38" s="50" t="s">
        <v>124</v>
      </c>
      <c r="Q38" s="52" t="n">
        <v>-7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46203</v>
      </c>
      <c r="O39" s="45" t="n">
        <v>46203</v>
      </c>
      <c r="P39" s="46" t="s">
        <v>115</v>
      </c>
      <c r="Q39" s="37" t="n">
        <v>-11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218</v>
      </c>
      <c r="N40" s="55" t="n">
        <v>46203</v>
      </c>
      <c r="O40" s="55" t="n">
        <v>46203</v>
      </c>
      <c r="P40" s="50" t="s">
        <v>124</v>
      </c>
      <c r="Q40" s="52" t="n">
        <v>-11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222</v>
      </c>
      <c r="N41" s="55" t="n">
        <v>46203</v>
      </c>
      <c r="O41" s="55" t="n">
        <v>46203</v>
      </c>
      <c r="P41" s="50" t="s">
        <v>124</v>
      </c>
      <c r="Q41" s="52" t="n">
        <v>-11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226</v>
      </c>
      <c r="N42" s="55" t="n">
        <v>46203</v>
      </c>
      <c r="O42" s="55" t="n">
        <v>46203</v>
      </c>
      <c r="P42" s="50" t="s">
        <v>124</v>
      </c>
      <c r="Q42" s="52" t="n">
        <v>-11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46185</v>
      </c>
      <c r="O43" s="45" t="n">
        <v>46198</v>
      </c>
      <c r="P43" s="46" t="s">
        <v>115</v>
      </c>
      <c r="Q43" s="37" t="n">
        <v>-6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235</v>
      </c>
      <c r="N44" s="55" t="n">
        <v>46185</v>
      </c>
      <c r="O44" s="55" t="n">
        <v>46188</v>
      </c>
      <c r="P44" s="50" t="s">
        <v>124</v>
      </c>
      <c r="Q44" s="52" t="n">
        <v>-6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239</v>
      </c>
      <c r="N45" s="55" t="n">
        <v>46186</v>
      </c>
      <c r="O45" s="55" t="n">
        <v>46192</v>
      </c>
      <c r="P45" s="50" t="s">
        <v>124</v>
      </c>
      <c r="Q45" s="52" t="n">
        <v>-5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243</v>
      </c>
      <c r="N46" s="55" t="n">
        <v>46192</v>
      </c>
      <c r="O46" s="55" t="n">
        <v>46198</v>
      </c>
      <c r="P46" s="50" t="s">
        <v>124</v>
      </c>
      <c r="Q46" s="52" t="n">
        <v>-6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46262</v>
      </c>
      <c r="M55" s="43"/>
      <c r="N55" s="44" t="n">
        <v>46262</v>
      </c>
      <c r="O55" s="45" t="n">
        <v>46262</v>
      </c>
      <c r="P55" s="46" t="s">
        <v>60</v>
      </c>
      <c r="Q55" s="37" t="n">
        <v>15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46314</v>
      </c>
      <c r="M56" s="43"/>
      <c r="N56" s="44" t="n">
        <v>46314</v>
      </c>
      <c r="O56" s="45" t="n">
        <v>46314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46248</v>
      </c>
      <c r="J57" s="41" t="n">
        <v>46268</v>
      </c>
      <c r="K57" s="42" t="n">
        <v>46314</v>
      </c>
      <c r="L57" s="42"/>
      <c r="M57" s="43"/>
      <c r="N57" s="44" t="n">
        <v>46314</v>
      </c>
      <c r="O57" s="45" t="n">
        <v>46336</v>
      </c>
      <c r="P57" s="46" t="s">
        <v>75</v>
      </c>
      <c r="Q57" s="37" t="n">
        <v>68</v>
      </c>
      <c r="R57" s="39"/>
      <c r="S57" s="39" t="n">
        <v>1</v>
      </c>
      <c r="T57" s="39" t="s">
        <v>76</v>
      </c>
      <c r="U57" s="58" t="n">
        <v>46314.0057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46337</v>
      </c>
      <c r="O58" s="45" t="n">
        <v>46343</v>
      </c>
      <c r="P58" s="46" t="s">
        <v>284</v>
      </c>
      <c r="Q58" s="37" t="n">
        <v>68</v>
      </c>
      <c r="R58" s="39"/>
      <c r="S58" s="39" t="n">
        <v>1</v>
      </c>
      <c r="T58" s="39" t="s">
        <v>285</v>
      </c>
      <c r="U58" s="58" t="n">
        <v>46337.0058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46346</v>
      </c>
      <c r="O59" s="45" t="n">
        <v>46346</v>
      </c>
      <c r="P59" s="46" t="s">
        <v>284</v>
      </c>
      <c r="Q59" s="37" t="n">
        <v>70</v>
      </c>
      <c r="R59" s="39"/>
      <c r="S59" s="39" t="n">
        <v>1</v>
      </c>
      <c r="T59" s="39" t="s">
        <v>285</v>
      </c>
      <c r="U59" s="58" t="n">
        <v>46346.0059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46353</v>
      </c>
      <c r="O60" s="60" t="n">
        <v>46394</v>
      </c>
      <c r="P60" s="46" t="s">
        <v>284</v>
      </c>
      <c r="Q60" s="37" t="n">
        <v>102</v>
      </c>
      <c r="R60" s="39"/>
      <c r="S60" s="39" t="n">
        <v>1</v>
      </c>
      <c r="T60" s="39" t="s">
        <v>285</v>
      </c>
      <c r="U60" s="58" t="n">
        <v>46353.006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46216</v>
      </c>
      <c r="O61" s="33" t="n">
        <v>46238</v>
      </c>
      <c r="P61" s="34" t="s">
        <v>60</v>
      </c>
      <c r="Q61" s="31" t="n">
        <v>-8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15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46216</v>
      </c>
      <c r="O62" s="45" t="n">
        <v>46230</v>
      </c>
      <c r="P62" s="46" t="s">
        <v>115</v>
      </c>
      <c r="Q62" s="37" t="n">
        <v>-4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304</v>
      </c>
      <c r="N63" s="55" t="n">
        <v>46216</v>
      </c>
      <c r="O63" s="55" t="n">
        <v>46217</v>
      </c>
      <c r="P63" s="50" t="s">
        <v>124</v>
      </c>
      <c r="Q63" s="52" t="n">
        <v>-2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308</v>
      </c>
      <c r="N64" s="55" t="n">
        <v>46216</v>
      </c>
      <c r="O64" s="55" t="n">
        <v>46219</v>
      </c>
      <c r="P64" s="50" t="s">
        <v>124</v>
      </c>
      <c r="Q64" s="52" t="n">
        <v>-1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312</v>
      </c>
      <c r="N65" s="55" t="n">
        <v>46217</v>
      </c>
      <c r="O65" s="55" t="n">
        <v>46223</v>
      </c>
      <c r="P65" s="50" t="s">
        <v>124</v>
      </c>
      <c r="Q65" s="52" t="n">
        <v>-2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316</v>
      </c>
      <c r="N66" s="55" t="n">
        <v>46222</v>
      </c>
      <c r="O66" s="55" t="n">
        <v>46228</v>
      </c>
      <c r="P66" s="50" t="s">
        <v>124</v>
      </c>
      <c r="Q66" s="52" t="n">
        <v>-3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320</v>
      </c>
      <c r="N67" s="55" t="n">
        <v>46224</v>
      </c>
      <c r="O67" s="55" t="n">
        <v>46229</v>
      </c>
      <c r="P67" s="50" t="s">
        <v>124</v>
      </c>
      <c r="Q67" s="52" t="n">
        <v>-4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324</v>
      </c>
      <c r="N68" s="55" t="n">
        <v>46227</v>
      </c>
      <c r="O68" s="55" t="n">
        <v>46230</v>
      </c>
      <c r="P68" s="50" t="s">
        <v>124</v>
      </c>
      <c r="Q68" s="52" t="n">
        <v>-4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328</v>
      </c>
      <c r="N69" s="55" t="n">
        <v>46229</v>
      </c>
      <c r="O69" s="55" t="n">
        <v>46230</v>
      </c>
      <c r="P69" s="50" t="s">
        <v>124</v>
      </c>
      <c r="Q69" s="52" t="n">
        <v>-4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46232</v>
      </c>
      <c r="O70" s="45" t="n">
        <v>46235</v>
      </c>
      <c r="P70" s="46" t="s">
        <v>115</v>
      </c>
      <c r="Q70" s="37" t="n">
        <v>-9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336</v>
      </c>
      <c r="N71" s="55" t="n">
        <v>46232</v>
      </c>
      <c r="O71" s="55" t="n">
        <v>46233</v>
      </c>
      <c r="P71" s="50" t="s">
        <v>124</v>
      </c>
      <c r="Q71" s="52" t="n">
        <v>-6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340</v>
      </c>
      <c r="N72" s="55" t="n">
        <v>46233</v>
      </c>
      <c r="O72" s="55" t="n">
        <v>46234</v>
      </c>
      <c r="P72" s="50" t="s">
        <v>124</v>
      </c>
      <c r="Q72" s="52" t="n">
        <v>-8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344</v>
      </c>
      <c r="N73" s="55" t="n">
        <v>46233</v>
      </c>
      <c r="O73" s="55" t="n">
        <v>46234</v>
      </c>
      <c r="P73" s="50" t="s">
        <v>124</v>
      </c>
      <c r="Q73" s="52" t="n">
        <v>-8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348</v>
      </c>
      <c r="N74" s="55" t="n">
        <v>46234</v>
      </c>
      <c r="O74" s="55" t="n">
        <v>46235</v>
      </c>
      <c r="P74" s="50" t="s">
        <v>124</v>
      </c>
      <c r="Q74" s="52" t="n">
        <v>-9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352</v>
      </c>
      <c r="N75" s="55" t="n">
        <v>46234</v>
      </c>
      <c r="O75" s="55" t="n">
        <v>46235</v>
      </c>
      <c r="P75" s="50" t="s">
        <v>124</v>
      </c>
      <c r="Q75" s="52" t="n">
        <v>-9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6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46231</v>
      </c>
      <c r="O76" s="45" t="n">
        <v>46236</v>
      </c>
      <c r="P76" s="46" t="s">
        <v>115</v>
      </c>
      <c r="Q76" s="37" t="n">
        <v>-8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360</v>
      </c>
      <c r="N77" s="55" t="n">
        <v>46231</v>
      </c>
      <c r="O77" s="55" t="n">
        <v>46233</v>
      </c>
      <c r="P77" s="50" t="s">
        <v>124</v>
      </c>
      <c r="Q77" s="52" t="n">
        <v>-5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364</v>
      </c>
      <c r="N78" s="55" t="n">
        <v>46232</v>
      </c>
      <c r="O78" s="55" t="n">
        <v>46235</v>
      </c>
      <c r="P78" s="50" t="s">
        <v>124</v>
      </c>
      <c r="Q78" s="52" t="n">
        <v>-8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368</v>
      </c>
      <c r="N79" s="55" t="n">
        <v>46233</v>
      </c>
      <c r="O79" s="55" t="n">
        <v>46236</v>
      </c>
      <c r="P79" s="50" t="s">
        <v>124</v>
      </c>
      <c r="Q79" s="52" t="n">
        <v>-8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372</v>
      </c>
      <c r="N80" s="55" t="n">
        <v>46235</v>
      </c>
      <c r="O80" s="55" t="n">
        <v>46236</v>
      </c>
      <c r="P80" s="50" t="s">
        <v>124</v>
      </c>
      <c r="Q80" s="52" t="n">
        <v>-8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376</v>
      </c>
      <c r="N81" s="55" t="n">
        <v>46236</v>
      </c>
      <c r="O81" s="55" t="n">
        <v>46236</v>
      </c>
      <c r="P81" s="50" t="s">
        <v>124</v>
      </c>
      <c r="Q81" s="52" t="n">
        <v>-8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46234</v>
      </c>
      <c r="O82" s="45" t="n">
        <v>46236</v>
      </c>
      <c r="P82" s="46" t="s">
        <v>115</v>
      </c>
      <c r="Q82" s="37" t="n">
        <v>-5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384</v>
      </c>
      <c r="N83" s="55" t="n">
        <v>46234</v>
      </c>
      <c r="O83" s="55" t="n">
        <v>46235</v>
      </c>
      <c r="P83" s="50" t="s">
        <v>124</v>
      </c>
      <c r="Q83" s="52" t="n">
        <v>-5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388</v>
      </c>
      <c r="N84" s="55" t="n">
        <v>46235</v>
      </c>
      <c r="O84" s="55" t="n">
        <v>46236</v>
      </c>
      <c r="P84" s="50" t="s">
        <v>124</v>
      </c>
      <c r="Q84" s="52" t="n">
        <v>-5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46232</v>
      </c>
      <c r="O85" s="45" t="n">
        <v>46235</v>
      </c>
      <c r="P85" s="46" t="s">
        <v>115</v>
      </c>
      <c r="Q85" s="37" t="n">
        <v>-7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396</v>
      </c>
      <c r="N86" s="55" t="n">
        <v>46232</v>
      </c>
      <c r="O86" s="55" t="n">
        <v>46234</v>
      </c>
      <c r="P86" s="50" t="s">
        <v>124</v>
      </c>
      <c r="Q86" s="52" t="n">
        <v>-4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400</v>
      </c>
      <c r="N87" s="55" t="n">
        <v>46233</v>
      </c>
      <c r="O87" s="55" t="n">
        <v>46235</v>
      </c>
      <c r="P87" s="50" t="s">
        <v>124</v>
      </c>
      <c r="Q87" s="52" t="n">
        <v>-6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404</v>
      </c>
      <c r="N88" s="55" t="n">
        <v>46234</v>
      </c>
      <c r="O88" s="55" t="n">
        <v>46235</v>
      </c>
      <c r="P88" s="50" t="s">
        <v>124</v>
      </c>
      <c r="Q88" s="52" t="n">
        <v>-7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408</v>
      </c>
      <c r="N89" s="55" t="n">
        <v>46235</v>
      </c>
      <c r="O89" s="55" t="n">
        <v>46235</v>
      </c>
      <c r="P89" s="50" t="s">
        <v>124</v>
      </c>
      <c r="Q89" s="52" t="n">
        <v>-7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46233</v>
      </c>
      <c r="O90" s="45" t="n">
        <v>46236</v>
      </c>
      <c r="P90" s="46" t="s">
        <v>115</v>
      </c>
      <c r="Q90" s="37" t="n">
        <v>-7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416</v>
      </c>
      <c r="N91" s="55" t="n">
        <v>46233</v>
      </c>
      <c r="O91" s="55" t="n">
        <v>46235</v>
      </c>
      <c r="P91" s="50" t="s">
        <v>124</v>
      </c>
      <c r="Q91" s="52" t="n">
        <v>-4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420</v>
      </c>
      <c r="N92" s="55" t="n">
        <v>46235</v>
      </c>
      <c r="O92" s="55" t="n">
        <v>46236</v>
      </c>
      <c r="P92" s="50" t="s">
        <v>124</v>
      </c>
      <c r="Q92" s="52" t="n">
        <v>-7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424</v>
      </c>
      <c r="N93" s="55" t="n">
        <v>46233</v>
      </c>
      <c r="O93" s="55" t="n">
        <v>46235</v>
      </c>
      <c r="P93" s="50" t="s">
        <v>124</v>
      </c>
      <c r="Q93" s="52" t="n">
        <v>-3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428</v>
      </c>
      <c r="N94" s="55" t="n">
        <v>46235</v>
      </c>
      <c r="O94" s="55" t="n">
        <v>46236</v>
      </c>
      <c r="P94" s="50" t="s">
        <v>124</v>
      </c>
      <c r="Q94" s="52" t="n">
        <v>-7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432</v>
      </c>
      <c r="N95" s="55" t="n">
        <v>46236</v>
      </c>
      <c r="O95" s="55" t="n">
        <v>46236</v>
      </c>
      <c r="P95" s="50" t="s">
        <v>124</v>
      </c>
      <c r="Q95" s="52" t="n">
        <v>-7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46234</v>
      </c>
      <c r="O96" s="45" t="n">
        <v>46236</v>
      </c>
      <c r="P96" s="46" t="s">
        <v>115</v>
      </c>
      <c r="Q96" s="37" t="n">
        <v>-7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439</v>
      </c>
      <c r="N97" s="55" t="n">
        <v>46234</v>
      </c>
      <c r="O97" s="55" t="n">
        <v>46236</v>
      </c>
      <c r="P97" s="50" t="s">
        <v>124</v>
      </c>
      <c r="Q97" s="52" t="n">
        <v>-6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443</v>
      </c>
      <c r="N98" s="55" t="n">
        <v>46235</v>
      </c>
      <c r="O98" s="55" t="n">
        <v>46236</v>
      </c>
      <c r="P98" s="50" t="s">
        <v>124</v>
      </c>
      <c r="Q98" s="52" t="n">
        <v>-7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447</v>
      </c>
      <c r="N99" s="55" t="n">
        <v>46236</v>
      </c>
      <c r="O99" s="55" t="n">
        <v>46236</v>
      </c>
      <c r="P99" s="50" t="s">
        <v>124</v>
      </c>
      <c r="Q99" s="52" t="n">
        <v>-7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46235</v>
      </c>
      <c r="O100" s="45" t="n">
        <v>46237</v>
      </c>
      <c r="P100" s="46" t="s">
        <v>115</v>
      </c>
      <c r="Q100" s="37" t="n">
        <v>-7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46240</v>
      </c>
      <c r="J103" s="53" t="n">
        <v>46243</v>
      </c>
      <c r="K103" s="52"/>
      <c r="L103" s="52"/>
      <c r="M103" s="54" t="s">
        <v>461</v>
      </c>
      <c r="N103" s="55" t="n">
        <v>46235</v>
      </c>
      <c r="O103" s="55" t="n">
        <v>46236</v>
      </c>
      <c r="P103" s="50" t="s">
        <v>124</v>
      </c>
      <c r="Q103" s="52" t="n">
        <v>-7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465</v>
      </c>
      <c r="N104" s="55" t="n">
        <v>46236</v>
      </c>
      <c r="O104" s="55" t="n">
        <v>46237</v>
      </c>
      <c r="P104" s="50" t="s">
        <v>124</v>
      </c>
      <c r="Q104" s="52" t="n">
        <v>-6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469</v>
      </c>
      <c r="N105" s="55" t="n">
        <v>46236</v>
      </c>
      <c r="O105" s="55" t="n">
        <v>46237</v>
      </c>
      <c r="P105" s="50" t="s">
        <v>124</v>
      </c>
      <c r="Q105" s="52" t="n">
        <v>-7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473</v>
      </c>
      <c r="N106" s="55" t="n">
        <v>46237</v>
      </c>
      <c r="O106" s="55" t="n">
        <v>46237</v>
      </c>
      <c r="P106" s="50" t="s">
        <v>124</v>
      </c>
      <c r="Q106" s="52" t="n">
        <v>-7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46236</v>
      </c>
      <c r="O107" s="45" t="n">
        <v>46237</v>
      </c>
      <c r="P107" s="46" t="s">
        <v>115</v>
      </c>
      <c r="Q107" s="37" t="n">
        <v>-8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480</v>
      </c>
      <c r="N108" s="55" t="n">
        <v>46236</v>
      </c>
      <c r="O108" s="55" t="n">
        <v>46237</v>
      </c>
      <c r="P108" s="50" t="s">
        <v>124</v>
      </c>
      <c r="Q108" s="52" t="n">
        <v>-7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484</v>
      </c>
      <c r="N109" s="55" t="n">
        <v>46237</v>
      </c>
      <c r="O109" s="55" t="n">
        <v>46237</v>
      </c>
      <c r="P109" s="50" t="s">
        <v>124</v>
      </c>
      <c r="Q109" s="52" t="n">
        <v>-8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488</v>
      </c>
      <c r="N110" s="55" t="n">
        <v>46236</v>
      </c>
      <c r="O110" s="55" t="n">
        <v>46237</v>
      </c>
      <c r="P110" s="50" t="s">
        <v>124</v>
      </c>
      <c r="Q110" s="52" t="n">
        <v>-7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 t="s">
        <v>491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46238</v>
      </c>
      <c r="M111" s="43"/>
      <c r="N111" s="44" t="n">
        <v>46238</v>
      </c>
      <c r="O111" s="45" t="n">
        <v>46238</v>
      </c>
      <c r="P111" s="46" t="s">
        <v>60</v>
      </c>
      <c r="Q111" s="37" t="n">
        <v>-8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497</v>
      </c>
      <c r="N112" s="55" t="n">
        <v>46238</v>
      </c>
      <c r="O112" s="55" t="n">
        <v>46238</v>
      </c>
      <c r="P112" s="50" t="s">
        <v>124</v>
      </c>
      <c r="Q112" s="52" t="n">
        <v>-8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501</v>
      </c>
      <c r="N113" s="55" t="n">
        <v>46238</v>
      </c>
      <c r="O113" s="55" t="n">
        <v>46238</v>
      </c>
      <c r="P113" s="50" t="s">
        <v>124</v>
      </c>
      <c r="Q113" s="52" t="n">
        <v>-8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46239</v>
      </c>
      <c r="O114" s="33" t="n">
        <v>46412</v>
      </c>
      <c r="P114" s="34" t="s">
        <v>75</v>
      </c>
      <c r="Q114" s="31" t="n">
        <v>103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46315</v>
      </c>
      <c r="O115" s="45" t="n">
        <v>46315</v>
      </c>
      <c r="P115" s="46" t="s">
        <v>284</v>
      </c>
      <c r="Q115" s="37" t="n">
        <v>66</v>
      </c>
      <c r="R115" s="39"/>
      <c r="S115" s="39" t="n">
        <v>1</v>
      </c>
      <c r="T115" s="39" t="s">
        <v>285</v>
      </c>
      <c r="U115" s="58" t="n">
        <v>46315.0115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511</v>
      </c>
      <c r="N116" s="55" t="n">
        <v>46315</v>
      </c>
      <c r="O116" s="55" t="n">
        <v>46315</v>
      </c>
      <c r="P116" s="50" t="s">
        <v>284</v>
      </c>
      <c r="Q116" s="52" t="n">
        <v>68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515</v>
      </c>
      <c r="N117" s="55" t="n">
        <v>46315</v>
      </c>
      <c r="O117" s="55" t="n">
        <v>46315</v>
      </c>
      <c r="P117" s="50" t="s">
        <v>284</v>
      </c>
      <c r="Q117" s="52" t="n">
        <v>67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519</v>
      </c>
      <c r="N118" s="55" t="n">
        <v>46315</v>
      </c>
      <c r="O118" s="55" t="n">
        <v>46315</v>
      </c>
      <c r="P118" s="50" t="s">
        <v>284</v>
      </c>
      <c r="Q118" s="52" t="n">
        <v>67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523</v>
      </c>
      <c r="N119" s="55" t="n">
        <v>46315</v>
      </c>
      <c r="O119" s="55" t="n">
        <v>46315</v>
      </c>
      <c r="P119" s="50" t="s">
        <v>284</v>
      </c>
      <c r="Q119" s="52" t="n">
        <v>67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527</v>
      </c>
      <c r="N120" s="55" t="n">
        <v>46315</v>
      </c>
      <c r="O120" s="55" t="n">
        <v>46315</v>
      </c>
      <c r="P120" s="50" t="s">
        <v>284</v>
      </c>
      <c r="Q120" s="52" t="n">
        <v>66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531</v>
      </c>
      <c r="N121" s="55" t="n">
        <v>46315</v>
      </c>
      <c r="O121" s="55" t="n">
        <v>46315</v>
      </c>
      <c r="P121" s="50" t="s">
        <v>284</v>
      </c>
      <c r="Q121" s="52" t="n">
        <v>66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 t="n">
        <v>46270</v>
      </c>
      <c r="M122" s="43"/>
      <c r="N122" s="44" t="n">
        <v>46270</v>
      </c>
      <c r="O122" s="45" t="n">
        <v>46270</v>
      </c>
      <c r="P122" s="46" t="s">
        <v>60</v>
      </c>
      <c r="Q122" s="37" t="n">
        <v>21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8" t="s">
        <v>537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-7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46399</v>
      </c>
      <c r="O124" s="45" t="n">
        <v>46412</v>
      </c>
      <c r="P124" s="46" t="s">
        <v>284</v>
      </c>
      <c r="Q124" s="37" t="n">
        <v>103</v>
      </c>
      <c r="R124" s="39"/>
      <c r="S124" s="39" t="n">
        <v>1</v>
      </c>
      <c r="T124" s="39" t="s">
        <v>285</v>
      </c>
      <c r="U124" s="58" t="n">
        <v>46399.0124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546</v>
      </c>
      <c r="N125" s="55" t="n">
        <v>46399</v>
      </c>
      <c r="O125" s="55" t="n">
        <v>46403</v>
      </c>
      <c r="P125" s="50" t="s">
        <v>284</v>
      </c>
      <c r="Q125" s="52" t="n">
        <v>103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550</v>
      </c>
      <c r="N126" s="55" t="n">
        <v>46402</v>
      </c>
      <c r="O126" s="55" t="n">
        <v>46409</v>
      </c>
      <c r="P126" s="50" t="s">
        <v>284</v>
      </c>
      <c r="Q126" s="52" t="n">
        <v>103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554</v>
      </c>
      <c r="N127" s="55" t="n">
        <v>46409</v>
      </c>
      <c r="O127" s="55" t="n">
        <v>46412</v>
      </c>
      <c r="P127" s="50" t="s">
        <v>284</v>
      </c>
      <c r="Q127" s="52" t="n">
        <v>103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46322</v>
      </c>
      <c r="O128" s="45" t="n">
        <v>46322</v>
      </c>
      <c r="P128" s="46" t="s">
        <v>284</v>
      </c>
      <c r="Q128" s="37" t="n">
        <v>63</v>
      </c>
      <c r="R128" s="39"/>
      <c r="S128" s="39" t="n">
        <v>1</v>
      </c>
      <c r="T128" s="39" t="s">
        <v>285</v>
      </c>
      <c r="U128" s="58" t="n">
        <v>46322.0128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 t="s">
        <v>560</v>
      </c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 t="s">
        <v>114</v>
      </c>
      <c r="N129" s="44" t="n">
        <v>46259</v>
      </c>
      <c r="O129" s="45" t="n">
        <v>46259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 t="s">
        <v>563</v>
      </c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46323</v>
      </c>
      <c r="O130" s="45" t="n">
        <v>46328</v>
      </c>
      <c r="P130" s="46" t="s">
        <v>284</v>
      </c>
      <c r="Q130" s="37" t="n">
        <v>69</v>
      </c>
      <c r="R130" s="39"/>
      <c r="S130" s="39" t="n">
        <v>1</v>
      </c>
      <c r="T130" s="39" t="s">
        <v>285</v>
      </c>
      <c r="U130" s="58" t="n">
        <v>46323.013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46395</v>
      </c>
      <c r="O131" s="45" t="n">
        <v>46398</v>
      </c>
      <c r="P131" s="46" t="s">
        <v>284</v>
      </c>
      <c r="Q131" s="37" t="n">
        <v>103</v>
      </c>
      <c r="R131" s="39"/>
      <c r="S131" s="39" t="n">
        <v>1</v>
      </c>
      <c r="T131" s="39" t="s">
        <v>285</v>
      </c>
      <c r="U131" s="58" t="n">
        <v>46395.0131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46178</v>
      </c>
      <c r="F9" s="99" t="n">
        <v>46178</v>
      </c>
      <c r="G9" s="100"/>
      <c r="H9" s="101"/>
      <c r="I9" s="101"/>
      <c r="J9" s="101" t="n">
        <v>0.5</v>
      </c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46184</v>
      </c>
      <c r="F11" s="99" t="n">
        <v>46193</v>
      </c>
      <c r="G11" s="100"/>
      <c r="H11" s="101"/>
      <c r="I11" s="101"/>
      <c r="J11" s="101"/>
      <c r="K11" s="101" t="n">
        <v>0.5</v>
      </c>
      <c r="L11" s="101" t="n">
        <v>0.5</v>
      </c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46203</v>
      </c>
      <c r="F13" s="99" t="n">
        <v>46203</v>
      </c>
      <c r="G13" s="100"/>
      <c r="H13" s="101"/>
      <c r="I13" s="101"/>
      <c r="J13" s="101"/>
      <c r="K13" s="101"/>
      <c r="L13" s="101"/>
      <c r="M13" s="101"/>
      <c r="N13" s="101" t="n">
        <v>0.5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46185</v>
      </c>
      <c r="F15" s="99" t="n">
        <v>46198</v>
      </c>
      <c r="G15" s="100"/>
      <c r="H15" s="101"/>
      <c r="I15" s="101"/>
      <c r="J15" s="101"/>
      <c r="K15" s="101" t="n">
        <v>0.5</v>
      </c>
      <c r="L15" s="101" t="n">
        <v>0.5</v>
      </c>
      <c r="M15" s="101" t="n">
        <v>0.5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46262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652</v>
      </c>
      <c r="C23" s="95" t="s">
        <v>643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46216</v>
      </c>
      <c r="F24" s="99" t="n">
        <v>46230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653</v>
      </c>
      <c r="C25" s="95" t="s">
        <v>643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46232</v>
      </c>
      <c r="F26" s="99" t="n">
        <v>46235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 t="n">
        <v>10</v>
      </c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654</v>
      </c>
      <c r="C27" s="95" t="s">
        <v>643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46231</v>
      </c>
      <c r="F28" s="99" t="n">
        <v>46236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 t="n">
        <v>20</v>
      </c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655</v>
      </c>
      <c r="C29" s="95" t="s">
        <v>643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46234</v>
      </c>
      <c r="F30" s="99" t="n">
        <v>46236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 t="n">
        <v>2.5</v>
      </c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656</v>
      </c>
      <c r="C31" s="95" t="s">
        <v>643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46232</v>
      </c>
      <c r="F32" s="99" t="n">
        <v>46235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 t="n">
        <v>15</v>
      </c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657</v>
      </c>
      <c r="C33" s="95" t="s">
        <v>643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46233</v>
      </c>
      <c r="F34" s="99" t="n">
        <v>46236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 t="n">
        <v>10</v>
      </c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658</v>
      </c>
      <c r="C35" s="95" t="s">
        <v>643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46234</v>
      </c>
      <c r="F36" s="99" t="n">
        <v>46236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 t="n">
        <v>5</v>
      </c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659</v>
      </c>
      <c r="C37" s="95" t="s">
        <v>643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46235</v>
      </c>
      <c r="F38" s="99" t="n">
        <v>46237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 t="n">
        <v>2.5</v>
      </c>
      <c r="S38" s="101" t="n">
        <v>2.5</v>
      </c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660</v>
      </c>
      <c r="C39" s="95" t="s">
        <v>643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46236</v>
      </c>
      <c r="F40" s="99" t="n">
        <v>46237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 t="n">
        <v>1.25</v>
      </c>
      <c r="S40" s="101" t="n">
        <v>1.25</v>
      </c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662</v>
      </c>
      <c r="C42" s="95" t="s">
        <v>643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663</v>
      </c>
      <c r="C44" s="95" t="s">
        <v>643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0.5</v>
      </c>
      <c r="K48" s="103" t="n">
        <f aca="false">SUMIF($C$7:$C$45,"Actual",K$7:K$45)</f>
        <v>1</v>
      </c>
      <c r="L48" s="103" t="n">
        <f aca="false">SUMIF($C$7:$C$45,"Actual",L$7:L$45)</f>
        <v>1</v>
      </c>
      <c r="M48" s="103" t="n">
        <f aca="false">SUMIF($C$7:$C$45,"Actual",M$7:M$45)</f>
        <v>0.5</v>
      </c>
      <c r="N48" s="103" t="n">
        <f aca="false">SUMIF($C$7:$C$45,"Actual",N$7:N$45)</f>
        <v>0.5</v>
      </c>
      <c r="O48" s="103" t="n">
        <f aca="false">SUMIF($C$7:$C$45,"Actual",O$7:O$45)</f>
        <v>0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72.9167</v>
      </c>
      <c r="S48" s="103" t="n">
        <f aca="false">SUMIF($C$7:$C$45,"Actual",S$7:S$45)</f>
        <v>3.75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0.5</v>
      </c>
      <c r="K50" s="105" t="n">
        <f aca="false">IF(K$6&gt;46314,"",J50+K48)</f>
        <v>1.5</v>
      </c>
      <c r="L50" s="105" t="n">
        <f aca="false">IF(L$6&gt;46314,"",K50+L48)</f>
        <v>2.5</v>
      </c>
      <c r="M50" s="105" t="n">
        <f aca="false">IF(M$6&gt;46314,"",L50+M48)</f>
        <v>3</v>
      </c>
      <c r="N50" s="105" t="n">
        <f aca="false">IF(N$6&gt;46314,"",M50+N48)</f>
        <v>3.5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89.7501</v>
      </c>
      <c r="S50" s="105" t="n">
        <f aca="false">IF(S$6&gt;46314,"",R50+S48)</f>
        <v>93.5001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2026-10-26T04:40:18Z</dcterms:created>
  <dc:creator>openpyxl</dc:creator>
  <dc:description/>
  <dc:language>en-US</dc:language>
  <cp:lastModifiedBy/>
  <dcterms:modified xsi:type="dcterms:W3CDTF">2026-10-26T11:45:19Z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