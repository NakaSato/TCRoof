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<sst xmlns="http://schemas.openxmlformats.org/spreadsheetml/2006/main" count="1300" uniqueCount="673">
  <si>
    <t xml:space="preserve">แผนโครงการ P4-046 – สถานีผลิตน้ำดอนทราย 287.28 kWp</t>
  </si>
  <si>
    <t xml:space="preserve">กปภ.สาขาปากท่อ, ภาคใต้, กฟภ. เขต ต.1, Inverter 290 kW (ต้องยื่น พค.2), Zero export HV, คำขอ PPIM1A506F47, วิศวกร นีโน่, Admin ลูกแก้ว,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</si>
  <si>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</si>
  <si>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</si>
  <si>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</si>
  <si>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</si>
  <si>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</si>
  <si>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</si>
  <si>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</si>
  <si>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</si>
  <si>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</si>
  <si>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</si>
  <si>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</si>
  <si>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</si>
  <si>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</si>
  <si>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</si>
  <si>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</si>
  <si>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</si>
  <si>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</si>
  <si>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</si>
  <si>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</si>
  <si>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</si>
  <si>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</si>
  <si>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</si>
  <si>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</si>
  <si>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</si>
  <si>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</si>
  <si>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</si>
  <si>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</si>
  <si>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</si>
  <si>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</si>
  <si>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</si>
  <si>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</si>
  <si>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</si>
  <si>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</si>
  <si>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</si>
  <si>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</si>
  <si>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</si>
  <si>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</si>
  <si>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</si>
  <si>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</si>
  <si>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</si>
  <si>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</si>
  <si>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</si>
  <si>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</si>
  <si>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</si>
  <si>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</si>
  <si>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</si>
  <si>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</si>
  <si>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</si>
  <si>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</si>
  <si>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</si>
  <si>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</si>
  <si>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</si>
  <si>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</si>
  <si>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</si>
  <si>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</si>
  <si>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</si>
  <si>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</si>
  <si>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</si>
  <si>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</si>
  <si>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</si>
  <si>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</si>
  <si>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</si>
  <si>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</si>
  <si>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</si>
  <si>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</si>
  <si>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</si>
  <si>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</si>
  <si>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</si>
  <si>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</si>
  <si>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</si>
  <si>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</si>
  <si>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</si>
  <si>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</si>
  <si>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</si>
  <si>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</si>
  <si>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</si>
  <si>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</si>
  <si>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</si>
  <si>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</si>
  <si>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</si>
  <si>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</si>
  <si>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</si>
  <si>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</si>
  <si>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</si>
  <si>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</si>
  <si>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</si>
  <si>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</si>
  <si>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</si>
  <si>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</si>
  <si>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</si>
  <si>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</si>
  <si>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</si>
  <si>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</si>
  <si>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</si>
  <si>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</si>
  <si>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</si>
  <si>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</si>
  <si>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</si>
  <si>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</si>
  <si>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</si>
  <si>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</si>
  <si>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</si>
  <si>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</si>
  <si>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</si>
  <si>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</si>
  <si>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</si>
  <si>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</si>
  <si>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</si>
  <si>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</si>
  <si>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TC-PML-2026-219,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</si>
  <si>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</si>
  <si>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</si>
  <si>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</si>
  <si>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</si>
  <si>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</si>
  <si>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</si>
  <si>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</si>
  <si>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</si>
  <si>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</si>
  <si>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</si>
  <si>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</si>
  <si>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</si>
  <si>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</si>
  <si>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</si>
  <si>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</si>
  <si>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</si>
  <si>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</si>
  <si>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</si>
  <si>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</si>
  <si>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</si>
  <si>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</si>
  <si>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</si>
  <si>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</si>
  <si>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</si>
  <si>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</si>
  <si>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</si>
  <si>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</si>
  <si>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</si>
  <si>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</si>
  <si>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</si>
  <si>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</si>
  <si>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</si>
  <si>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</si>
  <si>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</si>
  <si>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</si>
  <si>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</si>
  <si>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</si>
  <si>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</si>
  <si>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</si>
  <si>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</si>
  <si>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WBS'!L4681</t>
    </r>
  </si>
  <si>
    <t xml:space="preserve">0.3</t>
  </si>
  <si>
    <t xml:space="preserve">หนังสือแจ้งขอดับไฟ</t>
  </si>
  <si>
    <t xml:space="preserve">TC-PML-2026-486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</si>
  <si>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</si>
  <si>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</si>
  <si>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</si>
  <si>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</si>
  <si>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</si>
  <si>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</si>
  <si>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</si>
  <si>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</si>
  <si>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</si>
  <si>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</si>
  <si>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</si>
  <si>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</si>
  <si>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</si>
  <si>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</si>
  <si>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</si>
  <si>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</si>
  <si>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</si>
  <si>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</si>
  <si>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</si>
  <si>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</si>
  <si>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</si>
  <si>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</si>
  <si>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</si>
  <si>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</si>
  <si>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</si>
  <si>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</si>
  <si>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</si>
  <si>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</si>
  <si>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</si>
  <si>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</si>
  <si>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</si>
  <si>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</si>
  <si>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</si>
  <si>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</si>
  <si>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</si>
  <si>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</si>
  <si>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</si>
  <si>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</si>
  <si>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</si>
  <si>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</si>
  <si>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</si>
  <si>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</si>
  <si>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</si>
  <si>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</si>
  <si>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</si>
  <si>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</si>
  <si>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</si>
  <si>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</si>
  <si>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</si>
  <si>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</si>
  <si>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</si>
  <si>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</si>
  <si>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</si>
  <si>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</si>
  <si>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</si>
  <si>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</si>
  <si>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</si>
  <si>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</si>
  <si>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</si>
  <si>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</si>
  <si>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</si>
  <si>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</si>
  <si>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</si>
  <si>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</si>
  <si>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</si>
  <si>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</si>
  <si>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</si>
  <si>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</si>
  <si>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</si>
  <si>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</si>
  <si>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</si>
  <si>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</si>
  <si>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</si>
  <si>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</si>
  <si>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</si>
  <si>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</si>
  <si>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</si>
  <si>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</si>
  <si>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</si>
  <si>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</si>
  <si>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</si>
  <si>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</si>
  <si>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</si>
  <si>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</si>
  <si>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</si>
  <si>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</si>
  <si>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WBS'!L4697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</si>
  <si>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</si>
  <si>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</si>
  <si>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</si>
  <si>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</si>
  <si>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</si>
  <si>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</si>
  <si>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</si>
  <si>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</si>
  <si>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WBS'!L4698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</si>
  <si>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</si>
  <si>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</si>
  <si>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</si>
  <si>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WBS'!L4699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</si>
  <si>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</si>
  <si>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</si>
  <si>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</si>
  <si>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</si>
  <si>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</si>
  <si>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WBS'!L4700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</si>
  <si>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</si>
  <si>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</si>
  <si>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</si>
  <si>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</si>
  <si>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</si>
  <si>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</si>
  <si>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</si>
  <si>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</si>
  <si>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</si>
  <si>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</si>
  <si>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</si>
  <si>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</si>
  <si>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WBS'!L4702</t>
    </r>
  </si>
  <si>
    <t xml:space="preserve">1.7.1</t>
  </si>
  <si>
    <t xml:space="preserve">คำขอขนานไฟ PPIM (ชุด 11 ไฟล์)</t>
  </si>
  <si>
    <t xml:space="preserve">PPIM1A506F47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</si>
  <si>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</si>
  <si>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</si>
  <si>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</si>
  <si>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</si>
  <si>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</si>
  <si>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</si>
  <si>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</si>
  <si>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</si>
  <si>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</si>
  <si>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16/10/69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</si>
  <si>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</si>
  <si>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</si>
  <si>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</si>
  <si>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</si>
  <si>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</si>
  <si>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</si>
  <si>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</si>
  <si>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</si>
  <si>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</si>
  <si>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</si>
  <si>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</si>
  <si>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</si>
  <si>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</si>
  <si>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</si>
  <si>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</si>
  <si>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</si>
  <si>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</si>
  <si>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</si>
  <si>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</si>
  <si>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</si>
  <si>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</si>
  <si>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</si>
  <si>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</si>
  <si>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</si>
  <si>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</si>
  <si>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</si>
  <si>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</si>
  <si>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</si>
  <si>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</si>
  <si>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</si>
  <si>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</si>
  <si>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</si>
  <si>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</si>
  <si>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</si>
  <si>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</si>
  <si>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</si>
  <si>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</si>
  <si>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</si>
  <si>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</si>
  <si>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</si>
  <si>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</si>
  <si>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</si>
  <si>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</si>
  <si>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</si>
  <si>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</si>
  <si>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</si>
  <si>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</si>
  <si>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</si>
  <si>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</si>
  <si>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</si>
  <si>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</si>
  <si>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</si>
  <si>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</si>
  <si>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</si>
  <si>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</si>
  <si>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</si>
  <si>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</si>
  <si>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</si>
  <si>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</si>
  <si>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</si>
  <si>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</si>
  <si>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</si>
  <si>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</si>
  <si>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</si>
  <si>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</si>
  <si>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</si>
  <si>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</si>
  <si>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</si>
  <si>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</si>
  <si>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</si>
  <si>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</si>
  <si>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</si>
  <si>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</si>
  <si>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</si>
  <si>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</si>
  <si>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</si>
  <si>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</si>
  <si>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</si>
  <si>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</si>
  <si>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</si>
  <si>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</si>
  <si>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</si>
  <si>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</si>
  <si>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</si>
  <si>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</si>
  <si>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</si>
  <si>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</si>
  <si>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</si>
  <si>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</si>
  <si>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</si>
  <si>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</si>
  <si>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</si>
  <si>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</si>
  <si>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</si>
  <si>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</si>
  <si>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</si>
  <si>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</si>
  <si>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</si>
  <si>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</si>
  <si>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</si>
  <si>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</si>
  <si>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</si>
  <si>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</si>
  <si>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</si>
  <si>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</si>
  <si>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WBS'!L4721</t>
    </r>
  </si>
  <si>
    <t xml:space="preserve">2.5</t>
  </si>
  <si>
    <t xml:space="preserve">ติดตั้ง Inverter</t>
  </si>
  <si>
    <t xml:space="preserve">Inverter 290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</si>
  <si>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</si>
  <si>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</si>
  <si>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</si>
  <si>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</si>
  <si>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</si>
  <si>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</si>
  <si>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</si>
  <si>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</si>
  <si>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</si>
  <si>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</si>
  <si>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</si>
  <si>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</si>
  <si>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</si>
  <si>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</si>
  <si>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</si>
  <si>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</si>
  <si>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</si>
  <si>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</si>
  <si>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</si>
  <si>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</si>
  <si>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</si>
  <si>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</si>
  <si>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</si>
  <si>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</si>
  <si>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</si>
  <si>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</si>
  <si>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</si>
  <si>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</si>
  <si>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</si>
  <si>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</si>
  <si>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</si>
  <si>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</si>
  <si>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</si>
  <si>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</si>
  <si>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</si>
  <si>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</si>
  <si>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</si>
  <si>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</si>
  <si>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</si>
  <si>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</si>
  <si>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</si>
  <si>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</si>
  <si>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</si>
  <si>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</si>
  <si>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</si>
  <si>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</si>
  <si>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</si>
  <si>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</si>
  <si>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</si>
  <si>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</si>
  <si>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</si>
  <si>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</si>
  <si>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</si>
  <si>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</si>
  <si>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</si>
  <si>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</si>
  <si>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</si>
  <si>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</si>
  <si>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</si>
  <si>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</si>
  <si>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</si>
  <si>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</si>
  <si>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</si>
  <si>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</si>
  <si>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</si>
  <si>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</si>
  <si>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</si>
  <si>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</si>
  <si>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</si>
  <si>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</si>
  <si>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</si>
  <si>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</si>
  <si>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</si>
  <si>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</si>
  <si>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</si>
  <si>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</si>
  <si>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</si>
  <si>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</si>
  <si>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</si>
  <si>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</si>
  <si>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</si>
  <si>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</si>
  <si>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</si>
  <si>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</si>
  <si>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</si>
  <si>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</si>
  <si>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</si>
  <si>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</si>
  <si>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</si>
  <si>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</si>
  <si>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</si>
  <si>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</si>
  <si>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</si>
  <si>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</si>
  <si>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</si>
  <si>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</si>
  <si>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</si>
  <si>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</si>
  <si>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</si>
  <si>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</si>
  <si>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</si>
  <si>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20/8/69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</si>
  <si>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</si>
  <si>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</si>
  <si>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</si>
  <si>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</si>
  <si>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</si>
  <si>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</si>
  <si>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</si>
  <si>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</si>
  <si>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</si>
  <si>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</si>
  <si>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</si>
  <si>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</si>
  <si>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</si>
  <si>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</si>
  <si>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</si>
  <si>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</si>
  <si>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</si>
  <si>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</si>
  <si>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</si>
  <si>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</si>
  <si>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</si>
  <si>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</si>
  <si>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</si>
  <si>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</si>
  <si>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</si>
  <si>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</si>
  <si>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</si>
  <si>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</si>
  <si>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</si>
  <si>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</si>
  <si>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</si>
  <si>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</si>
  <si>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</si>
  <si>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</si>
  <si>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</si>
  <si>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</si>
  <si>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</si>
  <si>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</si>
  <si>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</si>
  <si>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</si>
  <si>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</si>
  <si>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</si>
  <si>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</si>
  <si>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</si>
  <si>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</si>
  <si>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</si>
  <si>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</si>
  <si>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</si>
  <si>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</si>
  <si>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</si>
  <si>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</si>
  <si>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</si>
  <si>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</si>
  <si>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</si>
  <si>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</si>
  <si>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</si>
  <si>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</si>
  <si>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</si>
  <si>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</si>
  <si>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</si>
  <si>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</si>
  <si>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</si>
  <si>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</si>
  <si>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</si>
  <si>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</si>
  <si>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</si>
  <si>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</si>
  <si>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</si>
  <si>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</si>
  <si>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</si>
  <si>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</si>
  <si>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</si>
  <si>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</si>
  <si>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</si>
  <si>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</si>
  <si>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</si>
  <si>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</si>
  <si>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</si>
  <si>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</si>
  <si>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</si>
  <si>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</si>
  <si>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</si>
  <si>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</si>
  <si>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</si>
  <si>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</si>
  <si>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</si>
  <si>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</si>
  <si>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</si>
  <si>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</si>
  <si>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</si>
  <si>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</si>
  <si>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</si>
  <si>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</si>
  <si>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</si>
  <si>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</si>
  <si>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</si>
  <si>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</si>
  <si>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</si>
  <si>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</si>
  <si>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</si>
  <si>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125+125+40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</si>
  <si>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</si>
  <si>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</si>
  <si>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</si>
  <si>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</si>
  <si>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</si>
  <si>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</si>
  <si>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</si>
  <si>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</si>
  <si>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</si>
  <si>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</si>
  <si>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</si>
  <si>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</si>
  <si>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</si>
  <si>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</si>
  <si>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</si>
  <si>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</si>
  <si>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</si>
  <si>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</si>
  <si>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สถานีผลิตน้ำดอนทราย การประปาส่วนภูมิภาคสาขาปากท่อ ขนาดกำลังผลิต </t>
    </r>
    <r>
      <rPr>
        <sz val="10"/>
        <rFont val="Tahoma"/>
        <family val="0"/>
        <charset val="1"/>
      </rPr>
      <t xml:space="preserve">287.28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</si>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</sst>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1.1666</c:v>
                </c:pt>
                <c:pt idx="6">
                  <c:v>1.8332</c:v>
                </c:pt>
                <c:pt idx="7">
                  <c:v>6.4998</c:v>
                </c:pt>
                <c:pt idx="8">
                  <c:v>10.9998</c:v>
                </c:pt>
                <c:pt idx="9">
                  <c:v>14.9998</c:v>
                </c:pt>
                <c:pt idx="10">
                  <c:v>18.9998</c:v>
                </c:pt>
                <c:pt idx="11">
                  <c:v>29.6665</c:v>
                </c:pt>
                <c:pt idx="12">
                  <c:v>57.5832</c:v>
                </c:pt>
                <c:pt idx="13">
                  <c:v>92.9999</c:v>
                </c:pt>
                <c:pt idx="14">
                  <c:v>92.9999</c:v>
                </c:pt>
                <c:pt idx="15">
                  <c:v>92.9999</c:v>
                </c:pt>
                <c:pt idx="16">
                  <c:v>93.1428</c:v>
                </c:pt>
                <c:pt idx="17">
                  <c:v>94.2857</c:v>
                </c:pt>
                <c:pt idx="18">
                  <c:v>94.4286</c:v>
                </c:pt>
                <c:pt idx="19">
                  <c:v>94.5715</c:v>
                </c:pt>
                <c:pt idx="20">
                  <c:v>94.7144</c:v>
                </c:pt>
                <c:pt idx="21">
                  <c:v>94.8573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013226"/>
        <c:axId val="33176094"/>
      </c:lineChart>
      <c:catAx>
        <c:axId val="4901322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76094"/>
        <c:crosses val="autoZero"/>
        <c:auto val="1"/>
        <c:lblAlgn val="ctr"/>
        <c:lblOffset val="100"/>
        <c:noMultiLvlLbl val="0"/>
      </c:catAx>
      <c:valAx>
        <c:axId val="33176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13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57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46194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46194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46194</v>
      </c>
      <c r="O10" s="55" t="n">
        <v>46212</v>
      </c>
      <c r="P10" s="50" t="s">
        <v>75</v>
      </c>
      <c r="Q10" s="52" t="n">
        <v>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46194</v>
      </c>
      <c r="O11" s="55" t="n">
        <v>46212</v>
      </c>
      <c r="P11" s="50" t="s">
        <v>75</v>
      </c>
      <c r="Q11" s="52" t="n">
        <v>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46194</v>
      </c>
      <c r="O12" s="55" t="n">
        <v>46212</v>
      </c>
      <c r="P12" s="50" t="s">
        <v>75</v>
      </c>
      <c r="Q12" s="52" t="n">
        <v>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46194</v>
      </c>
      <c r="O13" s="55" t="n">
        <v>46221</v>
      </c>
      <c r="P13" s="50" t="s">
        <v>75</v>
      </c>
      <c r="Q13" s="52" t="n">
        <v>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46212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46212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18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46239</v>
      </c>
      <c r="O26" s="55" t="n">
        <v>46239</v>
      </c>
      <c r="P26" s="50" t="s">
        <v>124</v>
      </c>
      <c r="Q26" s="52" t="n">
        <v>18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46239</v>
      </c>
      <c r="O27" s="55" t="n">
        <v>46239</v>
      </c>
      <c r="P27" s="50" t="s">
        <v>124</v>
      </c>
      <c r="Q27" s="52" t="n">
        <v>18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46239</v>
      </c>
      <c r="O28" s="55" t="n">
        <v>46239</v>
      </c>
      <c r="P28" s="50" t="s">
        <v>124</v>
      </c>
      <c r="Q28" s="52" t="n">
        <v>18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46194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46194</v>
      </c>
      <c r="O30" s="45" t="n">
        <v>46194</v>
      </c>
      <c r="P30" s="46" t="s">
        <v>115</v>
      </c>
      <c r="Q30" s="37" t="n">
        <v>-3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46194</v>
      </c>
      <c r="O31" s="55" t="n">
        <v>46194</v>
      </c>
      <c r="P31" s="50" t="s">
        <v>124</v>
      </c>
      <c r="Q31" s="52" t="n">
        <v>-3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46194</v>
      </c>
      <c r="O32" s="55" t="n">
        <v>46194</v>
      </c>
      <c r="P32" s="50" t="s">
        <v>124</v>
      </c>
      <c r="Q32" s="52" t="n">
        <v>-3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46194</v>
      </c>
      <c r="O33" s="55" t="n">
        <v>46194</v>
      </c>
      <c r="P33" s="50" t="s">
        <v>124</v>
      </c>
      <c r="Q33" s="52" t="n">
        <v>-3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46200</v>
      </c>
      <c r="O34" s="45" t="n">
        <v>46209</v>
      </c>
      <c r="P34" s="46" t="s">
        <v>115</v>
      </c>
      <c r="Q34" s="37" t="n">
        <v>-4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46200</v>
      </c>
      <c r="O35" s="55" t="n">
        <v>46205</v>
      </c>
      <c r="P35" s="50" t="s">
        <v>124</v>
      </c>
      <c r="Q35" s="52" t="n">
        <v>-3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46200</v>
      </c>
      <c r="O36" s="55" t="n">
        <v>46205</v>
      </c>
      <c r="P36" s="50" t="s">
        <v>124</v>
      </c>
      <c r="Q36" s="52" t="n">
        <v>-4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46203</v>
      </c>
      <c r="O37" s="55" t="n">
        <v>46206</v>
      </c>
      <c r="P37" s="50" t="s">
        <v>124</v>
      </c>
      <c r="Q37" s="52" t="n">
        <v>-4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46205</v>
      </c>
      <c r="O38" s="55" t="n">
        <v>46209</v>
      </c>
      <c r="P38" s="50" t="s">
        <v>124</v>
      </c>
      <c r="Q38" s="52" t="n">
        <v>-4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46219</v>
      </c>
      <c r="O39" s="45" t="n">
        <v>46219</v>
      </c>
      <c r="P39" s="46" t="s">
        <v>115</v>
      </c>
      <c r="Q39" s="37" t="n">
        <v>-8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46219</v>
      </c>
      <c r="O40" s="55" t="n">
        <v>46219</v>
      </c>
      <c r="P40" s="50" t="s">
        <v>124</v>
      </c>
      <c r="Q40" s="52" t="n">
        <v>-8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46219</v>
      </c>
      <c r="O41" s="55" t="n">
        <v>46219</v>
      </c>
      <c r="P41" s="50" t="s">
        <v>124</v>
      </c>
      <c r="Q41" s="52" t="n">
        <v>-8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46219</v>
      </c>
      <c r="O42" s="55" t="n">
        <v>46219</v>
      </c>
      <c r="P42" s="50" t="s">
        <v>124</v>
      </c>
      <c r="Q42" s="52" t="n">
        <v>-8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46201</v>
      </c>
      <c r="O43" s="45" t="n">
        <v>46214</v>
      </c>
      <c r="P43" s="46" t="s">
        <v>115</v>
      </c>
      <c r="Q43" s="37" t="n">
        <v>-3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46201</v>
      </c>
      <c r="O44" s="55" t="n">
        <v>46204</v>
      </c>
      <c r="P44" s="50" t="s">
        <v>124</v>
      </c>
      <c r="Q44" s="52" t="n">
        <v>-3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46202</v>
      </c>
      <c r="O45" s="55" t="n">
        <v>46208</v>
      </c>
      <c r="P45" s="50" t="s">
        <v>124</v>
      </c>
      <c r="Q45" s="52" t="n">
        <v>-2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46208</v>
      </c>
      <c r="O46" s="55" t="n">
        <v>46214</v>
      </c>
      <c r="P46" s="50" t="s">
        <v>124</v>
      </c>
      <c r="Q46" s="52" t="n">
        <v>-3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46280</v>
      </c>
      <c r="M47" s="43"/>
      <c r="N47" s="44" t="n">
        <v>46280</v>
      </c>
      <c r="O47" s="45" t="n">
        <v>46280</v>
      </c>
      <c r="P47" s="46" t="s">
        <v>60</v>
      </c>
      <c r="Q47" s="37" t="n">
        <v>20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46280</v>
      </c>
      <c r="O48" s="55" t="n">
        <v>46280</v>
      </c>
      <c r="P48" s="50" t="s">
        <v>124</v>
      </c>
      <c r="Q48" s="52" t="n">
        <v>20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46280</v>
      </c>
      <c r="O49" s="55" t="n">
        <v>46280</v>
      </c>
      <c r="P49" s="50" t="s">
        <v>124</v>
      </c>
      <c r="Q49" s="52" t="n">
        <v>20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46280</v>
      </c>
      <c r="O51" s="55" t="n">
        <v>46280</v>
      </c>
      <c r="P51" s="50" t="s">
        <v>124</v>
      </c>
      <c r="Q51" s="52" t="n">
        <v>20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46274</v>
      </c>
      <c r="M55" s="43"/>
      <c r="N55" s="44" t="n">
        <v>46274</v>
      </c>
      <c r="O55" s="45" t="n">
        <v>46274</v>
      </c>
      <c r="P55" s="46" t="s">
        <v>60</v>
      </c>
      <c r="Q55" s="37" t="n">
        <v>14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46274</v>
      </c>
      <c r="L57" s="42"/>
      <c r="M57" s="43" t="s">
        <v>114</v>
      </c>
      <c r="N57" s="44" t="n">
        <v>46274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52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46213</v>
      </c>
      <c r="O61" s="33" t="n">
        <v>46254</v>
      </c>
      <c r="P61" s="34" t="s">
        <v>60</v>
      </c>
      <c r="Q61" s="31" t="n">
        <v>-5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29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46213</v>
      </c>
      <c r="O62" s="45" t="n">
        <v>46241</v>
      </c>
      <c r="P62" s="46" t="s">
        <v>115</v>
      </c>
      <c r="Q62" s="37" t="n">
        <v>-6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46213</v>
      </c>
      <c r="O63" s="55" t="n">
        <v>46216</v>
      </c>
      <c r="P63" s="50" t="s">
        <v>124</v>
      </c>
      <c r="Q63" s="52" t="n">
        <v>-16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46213</v>
      </c>
      <c r="O64" s="55" t="n">
        <v>46219</v>
      </c>
      <c r="P64" s="50" t="s">
        <v>124</v>
      </c>
      <c r="Q64" s="52" t="n">
        <v>-14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46216</v>
      </c>
      <c r="O65" s="55" t="n">
        <v>46227</v>
      </c>
      <c r="P65" s="50" t="s">
        <v>124</v>
      </c>
      <c r="Q65" s="52" t="n">
        <v>-11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46224</v>
      </c>
      <c r="O66" s="55" t="n">
        <v>46237</v>
      </c>
      <c r="P66" s="50" t="s">
        <v>124</v>
      </c>
      <c r="Q66" s="52" t="n">
        <v>-7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46230</v>
      </c>
      <c r="O67" s="55" t="n">
        <v>46240</v>
      </c>
      <c r="P67" s="50" t="s">
        <v>124</v>
      </c>
      <c r="Q67" s="52" t="n">
        <v>-6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46235</v>
      </c>
      <c r="O68" s="55" t="n">
        <v>46241</v>
      </c>
      <c r="P68" s="50" t="s">
        <v>124</v>
      </c>
      <c r="Q68" s="52" t="n">
        <v>-6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46240</v>
      </c>
      <c r="O69" s="55" t="n">
        <v>46241</v>
      </c>
      <c r="P69" s="50" t="s">
        <v>124</v>
      </c>
      <c r="Q69" s="52" t="n">
        <v>-6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46248</v>
      </c>
      <c r="O70" s="45" t="n">
        <v>46251</v>
      </c>
      <c r="P70" s="46" t="s">
        <v>115</v>
      </c>
      <c r="Q70" s="37" t="n">
        <v>-6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46248</v>
      </c>
      <c r="O71" s="55" t="n">
        <v>46249</v>
      </c>
      <c r="P71" s="50" t="s">
        <v>124</v>
      </c>
      <c r="Q71" s="52" t="n">
        <v>-3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46249</v>
      </c>
      <c r="O72" s="55" t="n">
        <v>46250</v>
      </c>
      <c r="P72" s="50" t="s">
        <v>124</v>
      </c>
      <c r="Q72" s="52" t="n">
        <v>-5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46249</v>
      </c>
      <c r="O73" s="55" t="n">
        <v>46250</v>
      </c>
      <c r="P73" s="50" t="s">
        <v>124</v>
      </c>
      <c r="Q73" s="52" t="n">
        <v>-5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46250</v>
      </c>
      <c r="O74" s="55" t="n">
        <v>46251</v>
      </c>
      <c r="P74" s="50" t="s">
        <v>124</v>
      </c>
      <c r="Q74" s="52" t="n">
        <v>-6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46250</v>
      </c>
      <c r="O75" s="55" t="n">
        <v>46251</v>
      </c>
      <c r="P75" s="50" t="s">
        <v>124</v>
      </c>
      <c r="Q75" s="52" t="n">
        <v>-6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11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46242</v>
      </c>
      <c r="O76" s="45" t="n">
        <v>46252</v>
      </c>
      <c r="P76" s="46" t="s">
        <v>115</v>
      </c>
      <c r="Q76" s="37" t="n">
        <v>-5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46242</v>
      </c>
      <c r="O77" s="55" t="n">
        <v>46245</v>
      </c>
      <c r="P77" s="50" t="s">
        <v>124</v>
      </c>
      <c r="Q77" s="52" t="n">
        <v>-6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46243</v>
      </c>
      <c r="O78" s="55" t="n">
        <v>46251</v>
      </c>
      <c r="P78" s="50" t="s">
        <v>124</v>
      </c>
      <c r="Q78" s="52" t="n">
        <v>-5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46246</v>
      </c>
      <c r="O79" s="55" t="n">
        <v>46252</v>
      </c>
      <c r="P79" s="50" t="s">
        <v>124</v>
      </c>
      <c r="Q79" s="52" t="n">
        <v>-5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46250</v>
      </c>
      <c r="O80" s="55" t="n">
        <v>46252</v>
      </c>
      <c r="P80" s="50" t="s">
        <v>124</v>
      </c>
      <c r="Q80" s="52" t="n">
        <v>-5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46252</v>
      </c>
      <c r="O81" s="55" t="n">
        <v>46252</v>
      </c>
      <c r="P81" s="50" t="s">
        <v>124</v>
      </c>
      <c r="Q81" s="52" t="n">
        <v>-5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46250</v>
      </c>
      <c r="O82" s="45" t="n">
        <v>46252</v>
      </c>
      <c r="P82" s="46" t="s">
        <v>115</v>
      </c>
      <c r="Q82" s="37" t="n">
        <v>-2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46250</v>
      </c>
      <c r="O83" s="55" t="n">
        <v>46251</v>
      </c>
      <c r="P83" s="50" t="s">
        <v>124</v>
      </c>
      <c r="Q83" s="52" t="n">
        <v>-2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46251</v>
      </c>
      <c r="O84" s="55" t="n">
        <v>46252</v>
      </c>
      <c r="P84" s="50" t="s">
        <v>124</v>
      </c>
      <c r="Q84" s="52" t="n">
        <v>-2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46248</v>
      </c>
      <c r="O85" s="45" t="n">
        <v>46251</v>
      </c>
      <c r="P85" s="46" t="s">
        <v>115</v>
      </c>
      <c r="Q85" s="37" t="n">
        <v>-4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46248</v>
      </c>
      <c r="O86" s="55" t="n">
        <v>46250</v>
      </c>
      <c r="P86" s="50" t="s">
        <v>124</v>
      </c>
      <c r="Q86" s="52" t="n">
        <v>-1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46249</v>
      </c>
      <c r="O87" s="55" t="n">
        <v>46251</v>
      </c>
      <c r="P87" s="50" t="s">
        <v>124</v>
      </c>
      <c r="Q87" s="52" t="n">
        <v>-3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46250</v>
      </c>
      <c r="O88" s="55" t="n">
        <v>46251</v>
      </c>
      <c r="P88" s="50" t="s">
        <v>124</v>
      </c>
      <c r="Q88" s="52" t="n">
        <v>-4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46251</v>
      </c>
      <c r="O89" s="55" t="n">
        <v>46251</v>
      </c>
      <c r="P89" s="50" t="s">
        <v>124</v>
      </c>
      <c r="Q89" s="52" t="n">
        <v>-4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46249</v>
      </c>
      <c r="O90" s="45" t="n">
        <v>46252</v>
      </c>
      <c r="P90" s="46" t="s">
        <v>115</v>
      </c>
      <c r="Q90" s="37" t="n">
        <v>-4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46249</v>
      </c>
      <c r="O91" s="55" t="n">
        <v>46251</v>
      </c>
      <c r="P91" s="50" t="s">
        <v>124</v>
      </c>
      <c r="Q91" s="52" t="n">
        <v>-1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46251</v>
      </c>
      <c r="O92" s="55" t="n">
        <v>46252</v>
      </c>
      <c r="P92" s="50" t="s">
        <v>124</v>
      </c>
      <c r="Q92" s="52" t="n">
        <v>-4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46249</v>
      </c>
      <c r="O93" s="55" t="n">
        <v>46251</v>
      </c>
      <c r="P93" s="50" t="s">
        <v>124</v>
      </c>
      <c r="Q93" s="52" t="n">
        <v>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46251</v>
      </c>
      <c r="O94" s="55" t="n">
        <v>46252</v>
      </c>
      <c r="P94" s="50" t="s">
        <v>124</v>
      </c>
      <c r="Q94" s="52" t="n">
        <v>-4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46252</v>
      </c>
      <c r="O95" s="55" t="n">
        <v>46252</v>
      </c>
      <c r="P95" s="50" t="s">
        <v>124</v>
      </c>
      <c r="Q95" s="52" t="n">
        <v>-4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46250</v>
      </c>
      <c r="O96" s="45" t="n">
        <v>46252</v>
      </c>
      <c r="P96" s="46" t="s">
        <v>115</v>
      </c>
      <c r="Q96" s="37" t="n">
        <v>-4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46250</v>
      </c>
      <c r="O97" s="55" t="n">
        <v>46252</v>
      </c>
      <c r="P97" s="50" t="s">
        <v>124</v>
      </c>
      <c r="Q97" s="52" t="n">
        <v>-3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46251</v>
      </c>
      <c r="O98" s="55" t="n">
        <v>46252</v>
      </c>
      <c r="P98" s="50" t="s">
        <v>124</v>
      </c>
      <c r="Q98" s="52" t="n">
        <v>-4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46252</v>
      </c>
      <c r="O99" s="55" t="n">
        <v>46252</v>
      </c>
      <c r="P99" s="50" t="s">
        <v>124</v>
      </c>
      <c r="Q99" s="52" t="n">
        <v>-4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46251</v>
      </c>
      <c r="O100" s="45" t="n">
        <v>46253</v>
      </c>
      <c r="P100" s="46" t="s">
        <v>115</v>
      </c>
      <c r="Q100" s="37" t="n">
        <v>-4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46251</v>
      </c>
      <c r="O101" s="55" t="n">
        <v>46251</v>
      </c>
      <c r="P101" s="50" t="s">
        <v>124</v>
      </c>
      <c r="Q101" s="52" t="n">
        <v>-2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46251</v>
      </c>
      <c r="O102" s="55" t="n">
        <v>46252</v>
      </c>
      <c r="P102" s="50" t="s">
        <v>124</v>
      </c>
      <c r="Q102" s="52" t="n">
        <v>-4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46252</v>
      </c>
      <c r="O104" s="55" t="n">
        <v>46253</v>
      </c>
      <c r="P104" s="50" t="s">
        <v>124</v>
      </c>
      <c r="Q104" s="52" t="n">
        <v>-3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46252</v>
      </c>
      <c r="O105" s="55" t="n">
        <v>46253</v>
      </c>
      <c r="P105" s="50" t="s">
        <v>124</v>
      </c>
      <c r="Q105" s="52" t="n">
        <v>-4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46253</v>
      </c>
      <c r="O106" s="55" t="n">
        <v>46253</v>
      </c>
      <c r="P106" s="50" t="s">
        <v>124</v>
      </c>
      <c r="Q106" s="52" t="n">
        <v>-4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46252</v>
      </c>
      <c r="O107" s="45" t="n">
        <v>46253</v>
      </c>
      <c r="P107" s="46" t="s">
        <v>115</v>
      </c>
      <c r="Q107" s="37" t="n">
        <v>-5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46252</v>
      </c>
      <c r="O108" s="55" t="n">
        <v>46253</v>
      </c>
      <c r="P108" s="50" t="s">
        <v>124</v>
      </c>
      <c r="Q108" s="52" t="n">
        <v>-4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46253</v>
      </c>
      <c r="O109" s="55" t="n">
        <v>46253</v>
      </c>
      <c r="P109" s="50" t="s">
        <v>124</v>
      </c>
      <c r="Q109" s="52" t="n">
        <v>-5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46252</v>
      </c>
      <c r="O110" s="55" t="n">
        <v>46253</v>
      </c>
      <c r="P110" s="50" t="s">
        <v>124</v>
      </c>
      <c r="Q110" s="52" t="n">
        <v>-4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46254</v>
      </c>
      <c r="M111" s="43"/>
      <c r="N111" s="44" t="n">
        <v>46254</v>
      </c>
      <c r="O111" s="45" t="n">
        <v>46254</v>
      </c>
      <c r="P111" s="46" t="s">
        <v>60</v>
      </c>
      <c r="Q111" s="37" t="n">
        <v>-5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46254</v>
      </c>
      <c r="O112" s="55" t="n">
        <v>46254</v>
      </c>
      <c r="P112" s="50" t="s">
        <v>124</v>
      </c>
      <c r="Q112" s="52" t="n">
        <v>-5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46254</v>
      </c>
      <c r="O113" s="55" t="n">
        <v>46254</v>
      </c>
      <c r="P113" s="50" t="s">
        <v>124</v>
      </c>
      <c r="Q113" s="52" t="n">
        <v>-5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295</v>
      </c>
      <c r="Q115" s="37" t="n">
        <v>60</v>
      </c>
      <c r="R115" s="39"/>
      <c r="S115" s="39" t="n">
        <v>1</v>
      </c>
      <c r="T115" s="39" t="s">
        <v>296</v>
      </c>
      <c r="U115" s="58" t="n">
        <v>46322.0115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46322</v>
      </c>
      <c r="O116" s="55" t="n">
        <v>46322</v>
      </c>
      <c r="P116" s="50" t="s">
        <v>295</v>
      </c>
      <c r="Q116" s="52" t="n">
        <v>62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46322</v>
      </c>
      <c r="O117" s="55" t="n">
        <v>46322</v>
      </c>
      <c r="P117" s="50" t="s">
        <v>295</v>
      </c>
      <c r="Q117" s="52" t="n">
        <v>61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46322</v>
      </c>
      <c r="O118" s="55" t="n">
        <v>46322</v>
      </c>
      <c r="P118" s="50" t="s">
        <v>295</v>
      </c>
      <c r="Q118" s="52" t="n">
        <v>61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46322</v>
      </c>
      <c r="O119" s="55" t="n">
        <v>46322</v>
      </c>
      <c r="P119" s="50" t="s">
        <v>295</v>
      </c>
      <c r="Q119" s="52" t="n">
        <v>61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46322</v>
      </c>
      <c r="O120" s="55" t="n">
        <v>46322</v>
      </c>
      <c r="P120" s="50" t="s">
        <v>295</v>
      </c>
      <c r="Q120" s="52" t="n">
        <v>60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46322</v>
      </c>
      <c r="O121" s="55" t="n">
        <v>46322</v>
      </c>
      <c r="P121" s="50" t="s">
        <v>295</v>
      </c>
      <c r="Q121" s="52" t="n">
        <v>60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46282</v>
      </c>
      <c r="M122" s="43"/>
      <c r="N122" s="44" t="n">
        <v>46282</v>
      </c>
      <c r="O122" s="45" t="n">
        <v>46282</v>
      </c>
      <c r="P122" s="46" t="s">
        <v>60</v>
      </c>
      <c r="Q122" s="37" t="n">
        <v>20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-10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52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52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52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52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46329</v>
      </c>
      <c r="O128" s="45" t="n">
        <v>46329</v>
      </c>
      <c r="P128" s="46" t="s">
        <v>295</v>
      </c>
      <c r="Q128" s="37" t="n">
        <v>57</v>
      </c>
      <c r="R128" s="39"/>
      <c r="S128" s="39" t="n">
        <v>1</v>
      </c>
      <c r="T128" s="39" t="s">
        <v>296</v>
      </c>
      <c r="U128" s="58" t="n">
        <v>46329.0128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/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46330</v>
      </c>
      <c r="O129" s="45" t="n">
        <v>46330</v>
      </c>
      <c r="P129" s="46" t="s">
        <v>295</v>
      </c>
      <c r="Q129" s="37" t="n">
        <v>58</v>
      </c>
      <c r="R129" s="39"/>
      <c r="S129" s="39" t="n">
        <v>1</v>
      </c>
      <c r="T129" s="39" t="s">
        <v>296</v>
      </c>
      <c r="U129" s="58" t="n">
        <v>46330.0129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46330</v>
      </c>
      <c r="O130" s="45" t="n">
        <v>46335</v>
      </c>
      <c r="P130" s="46" t="s">
        <v>295</v>
      </c>
      <c r="Q130" s="37" t="n">
        <v>63</v>
      </c>
      <c r="R130" s="39"/>
      <c r="S130" s="39" t="n">
        <v>1</v>
      </c>
      <c r="T130" s="39" t="s">
        <v>296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52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46194</v>
      </c>
      <c r="F9" s="99" t="n">
        <v>46194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46200</v>
      </c>
      <c r="F11" s="99" t="n">
        <v>46209</v>
      </c>
      <c r="G11" s="100"/>
      <c r="H11" s="101"/>
      <c r="I11" s="101"/>
      <c r="J11" s="101"/>
      <c r="K11" s="101"/>
      <c r="L11" s="101"/>
      <c r="M11" s="101" t="n">
        <v>0.3333</v>
      </c>
      <c r="N11" s="101" t="n">
        <v>0.3333</v>
      </c>
      <c r="O11" s="101" t="n">
        <v>0.3333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46219</v>
      </c>
      <c r="F13" s="99" t="n">
        <v>46219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46201</v>
      </c>
      <c r="F15" s="99" t="n">
        <v>46214</v>
      </c>
      <c r="G15" s="100"/>
      <c r="H15" s="101"/>
      <c r="I15" s="101"/>
      <c r="J15" s="101"/>
      <c r="K15" s="101"/>
      <c r="L15" s="101"/>
      <c r="M15" s="101" t="n">
        <v>0.3333</v>
      </c>
      <c r="N15" s="101" t="n">
        <v>0.3333</v>
      </c>
      <c r="O15" s="101" t="n">
        <v>0.3333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46280</v>
      </c>
      <c r="F17" s="99" t="n">
        <v>46280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46274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657</v>
      </c>
      <c r="C23" s="95" t="s">
        <v>648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46213</v>
      </c>
      <c r="F24" s="99" t="n">
        <v>46241</v>
      </c>
      <c r="G24" s="100"/>
      <c r="H24" s="101"/>
      <c r="I24" s="101"/>
      <c r="J24" s="101"/>
      <c r="K24" s="101"/>
      <c r="L24" s="101"/>
      <c r="M24" s="101"/>
      <c r="N24" s="101"/>
      <c r="O24" s="101" t="n">
        <v>4</v>
      </c>
      <c r="P24" s="101" t="n">
        <v>4</v>
      </c>
      <c r="Q24" s="101" t="n">
        <v>4</v>
      </c>
      <c r="R24" s="101" t="n">
        <v>4</v>
      </c>
      <c r="S24" s="101" t="n">
        <v>4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658</v>
      </c>
      <c r="C25" s="95" t="s">
        <v>648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46248</v>
      </c>
      <c r="F26" s="99" t="n">
        <v>46251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659</v>
      </c>
      <c r="C27" s="95" t="s">
        <v>648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46242</v>
      </c>
      <c r="F28" s="99" t="n">
        <v>46252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6.6667</v>
      </c>
      <c r="T28" s="101" t="n">
        <v>6.6667</v>
      </c>
      <c r="U28" s="101" t="n">
        <v>6.6667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660</v>
      </c>
      <c r="C29" s="95" t="s">
        <v>648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46250</v>
      </c>
      <c r="F30" s="99" t="n">
        <v>46252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1.25</v>
      </c>
      <c r="U30" s="101" t="n">
        <v>1.25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661</v>
      </c>
      <c r="C31" s="95" t="s">
        <v>648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46248</v>
      </c>
      <c r="F32" s="99" t="n">
        <v>46251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662</v>
      </c>
      <c r="C33" s="95" t="s">
        <v>648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46249</v>
      </c>
      <c r="F34" s="99" t="n">
        <v>46252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5</v>
      </c>
      <c r="U34" s="101" t="n">
        <v>5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663</v>
      </c>
      <c r="C35" s="95" t="s">
        <v>648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46250</v>
      </c>
      <c r="F36" s="99" t="n">
        <v>46252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2.5</v>
      </c>
      <c r="U36" s="101" t="n">
        <v>2.5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664</v>
      </c>
      <c r="C37" s="95" t="s">
        <v>648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46251</v>
      </c>
      <c r="F38" s="99" t="n">
        <v>46253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665</v>
      </c>
      <c r="C39" s="95" t="s">
        <v>648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46252</v>
      </c>
      <c r="F40" s="99" t="n">
        <v>46253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667</v>
      </c>
      <c r="C42" s="95" t="s">
        <v>648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668</v>
      </c>
      <c r="C44" s="95" t="s">
        <v>648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0.6666</v>
      </c>
      <c r="N48" s="103" t="n">
        <f aca="false">SUMIF($C$7:$C$45,"Actual",N$7:N$45)</f>
        <v>0.6666</v>
      </c>
      <c r="O48" s="103" t="n">
        <f aca="false">SUMIF($C$7:$C$45,"Actual",O$7:O$45)</f>
        <v>4.6666</v>
      </c>
      <c r="P48" s="103" t="n">
        <f aca="false">SUMIF($C$7:$C$45,"Actual",P$7:P$45)</f>
        <v>4.5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10.6667</v>
      </c>
      <c r="T48" s="103" t="n">
        <f aca="false">SUMIF($C$7:$C$45,"Actual",T$7:T$45)</f>
        <v>27.9167</v>
      </c>
      <c r="U48" s="103" t="n">
        <f aca="false">SUMIF($C$7:$C$45,"Actual",U$7:U$45)</f>
        <v>35.4167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1.1666</v>
      </c>
      <c r="N50" s="105" t="n">
        <f aca="false">IF(N$6&gt;46314,"",M50+N48)</f>
        <v>1.8332</v>
      </c>
      <c r="O50" s="105" t="n">
        <f aca="false">IF(O$6&gt;46314,"",N50+O48)</f>
        <v>6.4998</v>
      </c>
      <c r="P50" s="105" t="n">
        <f aca="false">IF(P$6&gt;46314,"",O50+P48)</f>
        <v>10.9998</v>
      </c>
      <c r="Q50" s="105" t="n">
        <f aca="false">IF(Q$6&gt;46314,"",P50+Q48)</f>
        <v>14.9998</v>
      </c>
      <c r="R50" s="105" t="n">
        <f aca="false">IF(R$6&gt;46314,"",Q50+R48)</f>
        <v>18.9998</v>
      </c>
      <c r="S50" s="105" t="n">
        <f aca="false">IF(S$6&gt;46314,"",R50+S48)</f>
        <v>29.6665</v>
      </c>
      <c r="T50" s="105" t="n">
        <f aca="false">IF(T$6&gt;46314,"",S50+T48)</f>
        <v>57.5832</v>
      </c>
      <c r="U50" s="105" t="n">
        <f aca="false">IF(U$6&gt;46314,"",T50+U48)</f>
        <v>92.9999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93.1428</v>
      </c>
      <c r="Y50" s="105" t="n">
        <f aca="false">IF(Y$6&gt;46314,"",X50+Y48)</f>
        <v>94.2857</v>
      </c>
      <c r="Z50" s="105" t="n">
        <f aca="false">IF(Z$6&gt;46314,"",Y50+Z48)</f>
        <v>94.4286</v>
      </c>
      <c r="AA50" s="105" t="n">
        <f aca="false">IF(AA$6&gt;46314,"",Z50+AA48)</f>
        <v>94.5715</v>
      </c>
      <c r="AB50" s="105" t="n">
        <f aca="false">IF(AB$6&gt;46314,"",AA50+AB48)</f>
        <v>94.7144</v>
      </c>
      <c r="AC50" s="105" t="n">
        <f aca="false">IF(AC$6&gt;46314,"",AB50+AC48)</f>
        <v>94.8573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2026-10-26T04:44:35Z</dcterms:created>
  <dc:creator>openpyxl</dc:creator>
  <dc:description/>
  <dc:language>en-US</dc:language>
  <cp:lastModifiedBy/>
  <dcterms:modified xsi:type="dcterms:W3CDTF">2026-10-26T11:47:36Z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