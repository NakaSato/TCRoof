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<sst xmlns="http://schemas.openxmlformats.org/spreadsheetml/2006/main" count="1320" uniqueCount="675">
  <si>
    <t xml:space="preserve">แผนโครงการ P3-045 – สถานีจ่ายน้ำคลองน้อย 255.36 kWp</t>
  </si>
  <si>
    <t xml:space="preserve">กปภ.สาขาสุราษฎร์ธานี, ภาคใต้, กฟภ. เขต ต.2, Inverter 250 kW (ต้องยื่น พค.2), Zero export HV, คำขอ PPIM1A5070C7, วิศวกร โดม, Admin ลูกแก้ว,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</si>
  <si>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</si>
  <si>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</si>
  <si>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</si>
  <si>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</si>
  <si>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</si>
  <si>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</si>
  <si>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</si>
  <si>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</si>
  <si>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</si>
  <si>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</si>
  <si>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</si>
  <si>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</si>
  <si>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</si>
  <si>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</si>
  <si>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</si>
  <si>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</si>
  <si>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</si>
  <si>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</si>
  <si>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</si>
  <si>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</si>
  <si>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</si>
  <si>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</si>
  <si>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</si>
  <si>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</si>
  <si>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</si>
  <si>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</si>
  <si>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</si>
  <si>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</si>
  <si>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</si>
  <si>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</si>
  <si>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</si>
  <si>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</si>
  <si>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</si>
  <si>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</si>
  <si>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</si>
  <si>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</si>
  <si>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</si>
  <si>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</si>
  <si>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</si>
  <si>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</si>
  <si>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</si>
  <si>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</si>
  <si>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</si>
  <si>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</si>
  <si>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</si>
  <si>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</si>
  <si>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</si>
  <si>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</si>
  <si>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</si>
  <si>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</si>
  <si>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</si>
  <si>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</si>
  <si>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</si>
  <si>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</si>
  <si>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</si>
  <si>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</si>
  <si>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</si>
  <si>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</si>
  <si>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</si>
  <si>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</si>
  <si>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</si>
  <si>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</si>
  <si>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</si>
  <si>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</si>
  <si>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</si>
  <si>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</si>
  <si>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</si>
  <si>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</si>
  <si>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</si>
  <si>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</si>
  <si>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</si>
  <si>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</si>
  <si>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</si>
  <si>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</si>
  <si>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</si>
  <si>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</si>
  <si>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</si>
  <si>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</si>
  <si>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</si>
  <si>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</si>
  <si>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</si>
  <si>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</si>
  <si>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</si>
  <si>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</si>
  <si>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</si>
  <si>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</si>
  <si>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</si>
  <si>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</si>
  <si>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</si>
  <si>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</si>
  <si>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</si>
  <si>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</si>
  <si>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</si>
  <si>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</si>
  <si>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</si>
  <si>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</si>
  <si>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</si>
  <si>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</si>
  <si>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</si>
  <si>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</si>
  <si>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</si>
  <si>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</si>
  <si>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</si>
  <si>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</si>
  <si>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</si>
  <si>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</si>
  <si>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</si>
  <si>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</si>
  <si>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</si>
  <si>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TC-PML-2026-219,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</si>
  <si>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</si>
  <si>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</si>
  <si>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</si>
  <si>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</si>
  <si>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</si>
  <si>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</si>
  <si>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</si>
  <si>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</si>
  <si>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</si>
  <si>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</si>
  <si>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</si>
  <si>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</si>
  <si>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</si>
  <si>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</si>
  <si>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</si>
  <si>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</si>
  <si>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</si>
  <si>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</si>
  <si>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</si>
  <si>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</si>
  <si>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</si>
  <si>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</si>
  <si>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</si>
  <si>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</si>
  <si>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</si>
  <si>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</si>
  <si>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</si>
  <si>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</si>
  <si>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</si>
  <si>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</si>
  <si>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</si>
  <si>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</si>
  <si>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</si>
  <si>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</si>
  <si>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</si>
  <si>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</si>
  <si>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</si>
  <si>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</si>
  <si>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</si>
  <si>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</si>
  <si>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WBS'!L3947</t>
    </r>
  </si>
  <si>
    <t xml:space="preserve">0.3</t>
  </si>
  <si>
    <t xml:space="preserve">หนังสือแจ้งขอดับไฟ</t>
  </si>
  <si>
    <t xml:space="preserve">TC-PML-2026-487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</si>
  <si>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</si>
  <si>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</si>
  <si>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</si>
  <si>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</si>
  <si>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</si>
  <si>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</si>
  <si>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</si>
  <si>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</si>
  <si>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</si>
  <si>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</si>
  <si>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</si>
  <si>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</si>
  <si>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</si>
  <si>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</si>
  <si>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</si>
  <si>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</si>
  <si>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</si>
  <si>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</si>
  <si>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</si>
  <si>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</si>
  <si>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</si>
  <si>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</si>
  <si>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</si>
  <si>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</si>
  <si>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</si>
  <si>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</si>
  <si>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</si>
  <si>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</si>
  <si>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</si>
  <si>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</si>
  <si>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</si>
  <si>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</si>
  <si>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</si>
  <si>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</si>
  <si>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</si>
  <si>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</si>
  <si>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</si>
  <si>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</si>
  <si>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</si>
  <si>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</si>
  <si>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</si>
  <si>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</si>
  <si>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</si>
  <si>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</si>
  <si>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</si>
  <si>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</si>
  <si>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</si>
  <si>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</si>
  <si>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</si>
  <si>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</si>
  <si>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</si>
  <si>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</si>
  <si>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</si>
  <si>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</si>
  <si>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</si>
  <si>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</si>
  <si>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</si>
  <si>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</si>
  <si>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</si>
  <si>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</si>
  <si>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</si>
  <si>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</si>
  <si>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</si>
  <si>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</si>
  <si>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</si>
  <si>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</si>
  <si>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</si>
  <si>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</si>
  <si>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</si>
  <si>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</si>
  <si>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</si>
  <si>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</si>
  <si>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</si>
  <si>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</si>
  <si>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</si>
  <si>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</si>
  <si>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</si>
  <si>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</si>
  <si>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</si>
  <si>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</si>
  <si>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</si>
  <si>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</si>
  <si>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</si>
  <si>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</si>
  <si>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</si>
  <si>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</si>
  <si>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WBS'!L3963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</si>
  <si>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</si>
  <si>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</si>
  <si>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</si>
  <si>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</si>
  <si>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</si>
  <si>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</si>
  <si>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</si>
  <si>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</si>
  <si>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WBS'!L3964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</si>
  <si>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</si>
  <si>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</si>
  <si>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</si>
  <si>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WBS'!L3965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</si>
  <si>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</si>
  <si>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</si>
  <si>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</si>
  <si>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</si>
  <si>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</si>
  <si>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WBS'!L3966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</si>
  <si>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</si>
  <si>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</si>
  <si>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</si>
  <si>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</si>
  <si>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</si>
  <si>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</si>
  <si>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</si>
  <si>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</si>
  <si>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</si>
  <si>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</si>
  <si>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</si>
  <si>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</si>
  <si>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WBS'!L3968</t>
    </r>
  </si>
  <si>
    <t xml:space="preserve">1.7.1</t>
  </si>
  <si>
    <t xml:space="preserve">คำขอขนานไฟ PPIM (ชุด 11 ไฟล์)</t>
  </si>
  <si>
    <t xml:space="preserve">PPIM1A5070C7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</si>
  <si>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</si>
  <si>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</si>
  <si>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</si>
  <si>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</si>
  <si>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</si>
  <si>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</si>
  <si>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</si>
  <si>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</si>
  <si>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</si>
  <si>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6/11/69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</si>
  <si>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</si>
  <si>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</si>
  <si>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</si>
  <si>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</si>
  <si>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</si>
  <si>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</si>
  <si>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</si>
  <si>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</si>
  <si>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</si>
  <si>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</si>
  <si>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</si>
  <si>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</si>
  <si>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</si>
  <si>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</si>
  <si>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</si>
  <si>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</si>
  <si>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</si>
  <si>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</si>
  <si>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</si>
  <si>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</si>
  <si>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</si>
  <si>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</si>
  <si>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</si>
  <si>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</si>
  <si>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</si>
  <si>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</si>
  <si>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</si>
  <si>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</si>
  <si>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</si>
  <si>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</si>
  <si>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</si>
  <si>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</si>
  <si>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</si>
  <si>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</si>
  <si>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</si>
  <si>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</si>
  <si>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</si>
  <si>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</si>
  <si>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</si>
  <si>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</si>
  <si>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</si>
  <si>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</si>
  <si>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</si>
  <si>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</si>
  <si>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</si>
  <si>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</si>
  <si>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</si>
  <si>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</si>
  <si>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</si>
  <si>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</si>
  <si>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</si>
  <si>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</si>
  <si>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</si>
  <si>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</si>
  <si>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</si>
  <si>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</si>
  <si>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</si>
  <si>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</si>
  <si>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</si>
  <si>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</si>
  <si>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</si>
  <si>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</si>
  <si>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</si>
  <si>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</si>
  <si>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</si>
  <si>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</si>
  <si>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</si>
  <si>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</si>
  <si>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</si>
  <si>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</si>
  <si>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</si>
  <si>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</si>
  <si>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</si>
  <si>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</si>
  <si>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</si>
  <si>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</si>
  <si>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</si>
  <si>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</si>
  <si>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</si>
  <si>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</si>
  <si>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</si>
  <si>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</si>
  <si>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</si>
  <si>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</si>
  <si>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</si>
  <si>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</si>
  <si>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</si>
  <si>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</si>
  <si>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</si>
  <si>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</si>
  <si>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</si>
  <si>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</si>
  <si>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</si>
  <si>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</si>
  <si>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</si>
  <si>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</si>
  <si>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</si>
  <si>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</si>
  <si>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</si>
  <si>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</si>
  <si>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</si>
  <si>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</si>
  <si>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</si>
  <si>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</si>
  <si>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WBS'!L3987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</si>
  <si>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</si>
  <si>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</si>
  <si>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</si>
  <si>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</si>
  <si>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</si>
  <si>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</si>
  <si>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</si>
  <si>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</si>
  <si>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</si>
  <si>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</si>
  <si>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</si>
  <si>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</si>
  <si>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</si>
  <si>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</si>
  <si>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</si>
  <si>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</si>
  <si>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</si>
  <si>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</si>
  <si>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</si>
  <si>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</si>
  <si>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</si>
  <si>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</si>
  <si>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</si>
  <si>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</si>
  <si>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</si>
  <si>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</si>
  <si>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</si>
  <si>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</si>
  <si>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</si>
  <si>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</si>
  <si>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</si>
  <si>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</si>
  <si>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</si>
  <si>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</si>
  <si>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</si>
  <si>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</si>
  <si>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</si>
  <si>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</si>
  <si>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</si>
  <si>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</si>
  <si>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</si>
  <si>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</si>
  <si>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</si>
  <si>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</si>
  <si>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</si>
  <si>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</si>
  <si>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</si>
  <si>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</si>
  <si>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</si>
  <si>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</si>
  <si>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</si>
  <si>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</si>
  <si>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</si>
  <si>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</si>
  <si>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</si>
  <si>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</si>
  <si>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</si>
  <si>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</si>
  <si>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</si>
  <si>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</si>
  <si>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</si>
  <si>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</si>
  <si>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</si>
  <si>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</si>
  <si>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</si>
  <si>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</si>
  <si>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</si>
  <si>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</si>
  <si>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</si>
  <si>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</si>
  <si>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</si>
  <si>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</si>
  <si>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</si>
  <si>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</si>
  <si>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</si>
  <si>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</si>
  <si>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</si>
  <si>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</si>
  <si>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</si>
  <si>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</si>
  <si>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</si>
  <si>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</si>
  <si>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</si>
  <si>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</si>
  <si>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</si>
  <si>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</si>
  <si>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</si>
  <si>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</si>
  <si>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</si>
  <si>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</si>
  <si>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</si>
  <si>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</si>
  <si>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</si>
  <si>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</si>
  <si>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</si>
  <si>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</si>
  <si>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</si>
  <si>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</si>
  <si>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</si>
  <si>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</si>
  <si>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</si>
  <si>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</si>
  <si>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</si>
  <si>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</si>
  <si>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</si>
  <si>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25/8/69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</si>
  <si>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</si>
  <si>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</si>
  <si>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</si>
  <si>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</si>
  <si>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</si>
  <si>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</si>
  <si>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</si>
  <si>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</si>
  <si>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</si>
  <si>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</si>
  <si>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</si>
  <si>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</si>
  <si>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</si>
  <si>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</si>
  <si>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</si>
  <si>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</si>
  <si>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</si>
  <si>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</si>
  <si>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</si>
  <si>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</si>
  <si>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</si>
  <si>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</si>
  <si>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</si>
  <si>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</si>
  <si>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</si>
  <si>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</si>
  <si>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</si>
  <si>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</si>
  <si>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</si>
  <si>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</si>
  <si>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</si>
  <si>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</si>
  <si>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</si>
  <si>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</si>
  <si>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</si>
  <si>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</si>
  <si>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</si>
  <si>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</si>
  <si>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</si>
  <si>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</si>
  <si>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</si>
  <si>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</si>
  <si>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</si>
  <si>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</si>
  <si>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</si>
  <si>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</si>
  <si>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</si>
  <si>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</si>
  <si>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</si>
  <si>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</si>
  <si>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</si>
  <si>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</si>
  <si>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</si>
  <si>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</si>
  <si>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</si>
  <si>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</si>
  <si>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</si>
  <si>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</si>
  <si>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</si>
  <si>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</si>
  <si>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</si>
  <si>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</si>
  <si>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</si>
  <si>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</si>
  <si>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</si>
  <si>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</si>
  <si>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</si>
  <si>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</si>
  <si>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</si>
  <si>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</si>
  <si>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</si>
  <si>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</si>
  <si>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</si>
  <si>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</si>
  <si>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</si>
  <si>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</si>
  <si>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</si>
  <si>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</si>
  <si>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</si>
  <si>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</si>
  <si>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</si>
  <si>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</si>
  <si>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</si>
  <si>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</si>
  <si>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</si>
  <si>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</si>
  <si>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</si>
  <si>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</si>
  <si>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</si>
  <si>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</si>
  <si>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</si>
  <si>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</si>
  <si>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</si>
  <si>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</si>
  <si>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</si>
  <si>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</si>
  <si>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</si>
  <si>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</si>
  <si>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</si>
  <si>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</si>
  <si>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</si>
  <si>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</si>
  <si>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</si>
  <si>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</si>
  <si>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</si>
  <si>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</si>
  <si>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</si>
  <si>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</si>
  <si>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</si>
  <si>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</si>
  <si>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</si>
  <si>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</si>
  <si>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</si>
  <si>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</si>
  <si>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</si>
  <si>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</si>
  <si>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</si>
  <si>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</si>
  <si>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</si>
  <si>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</si>
  <si>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</si>
  <si>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สถานีจ่ายน้ำคลองน้อย การประปาส่วนภูมิภาคสาขาสุราษฎร์ธานี ขนาดกำลังผลิต </t>
    </r>
    <r>
      <rPr>
        <sz val="10"/>
        <rFont val="Tahoma"/>
        <family val="0"/>
        <charset val="1"/>
      </rPr>
      <t xml:space="preserve">255.36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</si>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</sst>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2.1666</c:v>
                </c:pt>
                <c:pt idx="8">
                  <c:v>6.4999</c:v>
                </c:pt>
                <c:pt idx="9">
                  <c:v>10.9999</c:v>
                </c:pt>
                <c:pt idx="10">
                  <c:v>14.9999</c:v>
                </c:pt>
                <c:pt idx="11">
                  <c:v>18.9999</c:v>
                </c:pt>
                <c:pt idx="12">
                  <c:v>32.9999</c:v>
                </c:pt>
                <c:pt idx="13">
                  <c:v>91.7499</c:v>
                </c:pt>
                <c:pt idx="14">
                  <c:v>92.9999</c:v>
                </c:pt>
                <c:pt idx="15">
                  <c:v>92.9999</c:v>
                </c:pt>
                <c:pt idx="16">
                  <c:v>93.1428</c:v>
                </c:pt>
                <c:pt idx="17">
                  <c:v>94.2857</c:v>
                </c:pt>
                <c:pt idx="18">
                  <c:v>94.4286</c:v>
                </c:pt>
                <c:pt idx="19">
                  <c:v>94.5715</c:v>
                </c:pt>
                <c:pt idx="20">
                  <c:v>94.7144</c:v>
                </c:pt>
                <c:pt idx="21">
                  <c:v>94.8573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662163"/>
        <c:axId val="22847408"/>
      </c:lineChart>
      <c:catAx>
        <c:axId val="8066216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47408"/>
        <c:crosses val="autoZero"/>
        <c:auto val="1"/>
        <c:lblAlgn val="ctr"/>
        <c:lblOffset val="100"/>
        <c:noMultiLvlLbl val="0"/>
      </c:catAx>
      <c:valAx>
        <c:axId val="22847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621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92</v>
      </c>
      <c r="M4" s="12"/>
      <c r="N4" s="12" t="n">
        <v>97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46219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46219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46219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46230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46219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46219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18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46239</v>
      </c>
      <c r="O26" s="55" t="n">
        <v>46239</v>
      </c>
      <c r="P26" s="50" t="s">
        <v>124</v>
      </c>
      <c r="Q26" s="52" t="n">
        <v>18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46239</v>
      </c>
      <c r="O27" s="55" t="n">
        <v>46239</v>
      </c>
      <c r="P27" s="50" t="s">
        <v>124</v>
      </c>
      <c r="Q27" s="52" t="n">
        <v>18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46239</v>
      </c>
      <c r="O28" s="55" t="n">
        <v>46239</v>
      </c>
      <c r="P28" s="50" t="s">
        <v>124</v>
      </c>
      <c r="Q28" s="52" t="n">
        <v>18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46402</v>
      </c>
      <c r="P29" s="34" t="s">
        <v>75</v>
      </c>
      <c r="Q29" s="31" t="n">
        <v>97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46224</v>
      </c>
      <c r="O39" s="45" t="n">
        <v>46224</v>
      </c>
      <c r="P39" s="46" t="s">
        <v>115</v>
      </c>
      <c r="Q39" s="37" t="n">
        <v>-3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46224</v>
      </c>
      <c r="O40" s="55" t="n">
        <v>46224</v>
      </c>
      <c r="P40" s="50" t="s">
        <v>124</v>
      </c>
      <c r="Q40" s="52" t="n">
        <v>-3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46224</v>
      </c>
      <c r="O41" s="55" t="n">
        <v>46224</v>
      </c>
      <c r="P41" s="50" t="s">
        <v>124</v>
      </c>
      <c r="Q41" s="52" t="n">
        <v>-3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46224</v>
      </c>
      <c r="O42" s="55" t="n">
        <v>46224</v>
      </c>
      <c r="P42" s="50" t="s">
        <v>124</v>
      </c>
      <c r="Q42" s="52" t="n">
        <v>-3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46282</v>
      </c>
      <c r="M47" s="43"/>
      <c r="N47" s="44" t="n">
        <v>46282</v>
      </c>
      <c r="O47" s="45" t="n">
        <v>46282</v>
      </c>
      <c r="P47" s="46" t="s">
        <v>60</v>
      </c>
      <c r="Q47" s="37" t="n">
        <v>22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46282</v>
      </c>
      <c r="O48" s="55" t="n">
        <v>46282</v>
      </c>
      <c r="P48" s="50" t="s">
        <v>124</v>
      </c>
      <c r="Q48" s="52" t="n">
        <v>22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46282</v>
      </c>
      <c r="O49" s="55" t="n">
        <v>46282</v>
      </c>
      <c r="P49" s="50" t="s">
        <v>124</v>
      </c>
      <c r="Q49" s="52" t="n">
        <v>22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46282</v>
      </c>
      <c r="O51" s="55" t="n">
        <v>46282</v>
      </c>
      <c r="P51" s="50" t="s">
        <v>124</v>
      </c>
      <c r="Q51" s="52" t="n">
        <v>22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46276</v>
      </c>
      <c r="M55" s="43"/>
      <c r="N55" s="44" t="n">
        <v>46276</v>
      </c>
      <c r="O55" s="45" t="n">
        <v>46276</v>
      </c>
      <c r="P55" s="46" t="s">
        <v>60</v>
      </c>
      <c r="Q55" s="37" t="n">
        <v>16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46276</v>
      </c>
      <c r="L57" s="42"/>
      <c r="M57" s="43" t="s">
        <v>114</v>
      </c>
      <c r="N57" s="44" t="n">
        <v>46276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46315</v>
      </c>
      <c r="O58" s="45" t="n">
        <v>46321</v>
      </c>
      <c r="P58" s="46" t="s">
        <v>288</v>
      </c>
      <c r="Q58" s="37" t="n">
        <v>33</v>
      </c>
      <c r="R58" s="39"/>
      <c r="S58" s="39" t="n">
        <v>1</v>
      </c>
      <c r="T58" s="39" t="s">
        <v>289</v>
      </c>
      <c r="U58" s="58" t="n">
        <v>46315.0058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46356</v>
      </c>
      <c r="O59" s="45" t="n">
        <v>46356</v>
      </c>
      <c r="P59" s="46" t="s">
        <v>288</v>
      </c>
      <c r="Q59" s="37" t="n">
        <v>67</v>
      </c>
      <c r="R59" s="39"/>
      <c r="S59" s="39" t="n">
        <v>1</v>
      </c>
      <c r="T59" s="39" t="s">
        <v>289</v>
      </c>
      <c r="U59" s="58" t="n">
        <v>46356.0059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46361</v>
      </c>
      <c r="O60" s="60" t="n">
        <v>46402</v>
      </c>
      <c r="P60" s="46" t="s">
        <v>288</v>
      </c>
      <c r="Q60" s="37" t="n">
        <v>97</v>
      </c>
      <c r="R60" s="39"/>
      <c r="S60" s="39" t="n">
        <v>1</v>
      </c>
      <c r="T60" s="39" t="s">
        <v>289</v>
      </c>
      <c r="U60" s="58" t="n">
        <v>46361.006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46222</v>
      </c>
      <c r="O61" s="33" t="n">
        <v>46259</v>
      </c>
      <c r="P61" s="34" t="s">
        <v>60</v>
      </c>
      <c r="Q61" s="31" t="n">
        <v>0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26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46222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46222</v>
      </c>
      <c r="O63" s="55" t="n">
        <v>46225</v>
      </c>
      <c r="P63" s="50" t="s">
        <v>124</v>
      </c>
      <c r="Q63" s="52" t="n">
        <v>-7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46222</v>
      </c>
      <c r="O64" s="55" t="n">
        <v>46227</v>
      </c>
      <c r="P64" s="50" t="s">
        <v>124</v>
      </c>
      <c r="Q64" s="52" t="n">
        <v>-6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46225</v>
      </c>
      <c r="O65" s="55" t="n">
        <v>46235</v>
      </c>
      <c r="P65" s="50" t="s">
        <v>124</v>
      </c>
      <c r="Q65" s="52" t="n">
        <v>-3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46232</v>
      </c>
      <c r="O66" s="55" t="n">
        <v>46243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46237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46242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46253</v>
      </c>
      <c r="O70" s="45" t="n">
        <v>46256</v>
      </c>
      <c r="P70" s="46" t="s">
        <v>115</v>
      </c>
      <c r="Q70" s="37" t="n">
        <v>-1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46253</v>
      </c>
      <c r="O71" s="55" t="n">
        <v>46254</v>
      </c>
      <c r="P71" s="50" t="s">
        <v>124</v>
      </c>
      <c r="Q71" s="52" t="n">
        <v>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46254</v>
      </c>
      <c r="O72" s="55" t="n">
        <v>46255</v>
      </c>
      <c r="P72" s="50" t="s">
        <v>124</v>
      </c>
      <c r="Q72" s="52" t="n">
        <v>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46254</v>
      </c>
      <c r="O73" s="55" t="n">
        <v>46255</v>
      </c>
      <c r="P73" s="50" t="s">
        <v>124</v>
      </c>
      <c r="Q73" s="52" t="n">
        <v>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46255</v>
      </c>
      <c r="O74" s="55" t="n">
        <v>46256</v>
      </c>
      <c r="P74" s="50" t="s">
        <v>124</v>
      </c>
      <c r="Q74" s="52" t="n">
        <v>-1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46255</v>
      </c>
      <c r="O75" s="55" t="n">
        <v>46256</v>
      </c>
      <c r="P75" s="50" t="s">
        <v>124</v>
      </c>
      <c r="Q75" s="52" t="n">
        <v>-1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10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46248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46248</v>
      </c>
      <c r="O77" s="55" t="n">
        <v>46251</v>
      </c>
      <c r="P77" s="50" t="s">
        <v>124</v>
      </c>
      <c r="Q77" s="52" t="n">
        <v>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46249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46252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46255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46259</v>
      </c>
      <c r="M111" s="43"/>
      <c r="N111" s="44" t="n">
        <v>46259</v>
      </c>
      <c r="O111" s="45" t="n">
        <v>46259</v>
      </c>
      <c r="P111" s="46" t="s">
        <v>60</v>
      </c>
      <c r="Q111" s="37" t="n">
        <v>0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46259</v>
      </c>
      <c r="O112" s="55" t="n">
        <v>46259</v>
      </c>
      <c r="P112" s="50" t="s">
        <v>124</v>
      </c>
      <c r="Q112" s="52" t="n">
        <v>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46259</v>
      </c>
      <c r="O113" s="55" t="n">
        <v>46259</v>
      </c>
      <c r="P113" s="50" t="s">
        <v>124</v>
      </c>
      <c r="Q113" s="52" t="n">
        <v>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46352</v>
      </c>
      <c r="O115" s="45" t="n">
        <v>46352</v>
      </c>
      <c r="P115" s="46" t="s">
        <v>288</v>
      </c>
      <c r="Q115" s="37" t="n">
        <v>90</v>
      </c>
      <c r="R115" s="39"/>
      <c r="S115" s="39" t="n">
        <v>1</v>
      </c>
      <c r="T115" s="39" t="s">
        <v>289</v>
      </c>
      <c r="U115" s="58" t="n">
        <v>46352.0115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46352</v>
      </c>
      <c r="O116" s="55" t="n">
        <v>46352</v>
      </c>
      <c r="P116" s="50" t="s">
        <v>288</v>
      </c>
      <c r="Q116" s="52" t="n">
        <v>92</v>
      </c>
      <c r="R116" s="52"/>
      <c r="S116" s="52" t="n">
        <v>2</v>
      </c>
      <c r="T116" s="52" t="s">
        <v>289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46352</v>
      </c>
      <c r="O117" s="55" t="n">
        <v>46352</v>
      </c>
      <c r="P117" s="50" t="s">
        <v>288</v>
      </c>
      <c r="Q117" s="52" t="n">
        <v>91</v>
      </c>
      <c r="R117" s="52"/>
      <c r="S117" s="52" t="n">
        <v>2</v>
      </c>
      <c r="T117" s="52" t="s">
        <v>289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46352</v>
      </c>
      <c r="O118" s="55" t="n">
        <v>46352</v>
      </c>
      <c r="P118" s="50" t="s">
        <v>288</v>
      </c>
      <c r="Q118" s="52" t="n">
        <v>91</v>
      </c>
      <c r="R118" s="52"/>
      <c r="S118" s="52" t="n">
        <v>2</v>
      </c>
      <c r="T118" s="52" t="s">
        <v>289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46352</v>
      </c>
      <c r="O119" s="55" t="n">
        <v>46352</v>
      </c>
      <c r="P119" s="50" t="s">
        <v>288</v>
      </c>
      <c r="Q119" s="52" t="n">
        <v>91</v>
      </c>
      <c r="R119" s="52"/>
      <c r="S119" s="52" t="n">
        <v>2</v>
      </c>
      <c r="T119" s="52" t="s">
        <v>289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46352</v>
      </c>
      <c r="O120" s="55" t="n">
        <v>46352</v>
      </c>
      <c r="P120" s="50" t="s">
        <v>288</v>
      </c>
      <c r="Q120" s="52" t="n">
        <v>90</v>
      </c>
      <c r="R120" s="52"/>
      <c r="S120" s="52" t="n">
        <v>2</v>
      </c>
      <c r="T120" s="52" t="s">
        <v>289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46352</v>
      </c>
      <c r="O121" s="55" t="n">
        <v>46352</v>
      </c>
      <c r="P121" s="50" t="s">
        <v>288</v>
      </c>
      <c r="Q121" s="52" t="n">
        <v>90</v>
      </c>
      <c r="R121" s="52"/>
      <c r="S121" s="52" t="n">
        <v>2</v>
      </c>
      <c r="T121" s="52" t="s">
        <v>289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46328</v>
      </c>
      <c r="O122" s="45" t="n">
        <v>46328</v>
      </c>
      <c r="P122" s="46" t="s">
        <v>288</v>
      </c>
      <c r="Q122" s="37" t="n">
        <v>66</v>
      </c>
      <c r="R122" s="39"/>
      <c r="S122" s="39" t="n">
        <v>1</v>
      </c>
      <c r="T122" s="39" t="s">
        <v>289</v>
      </c>
      <c r="U122" s="58" t="n">
        <v>46328.0122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288</v>
      </c>
      <c r="Q124" s="37" t="n">
        <v>97</v>
      </c>
      <c r="R124" s="39"/>
      <c r="S124" s="39" t="n">
        <v>1</v>
      </c>
      <c r="T124" s="39" t="s">
        <v>289</v>
      </c>
      <c r="U124" s="58" t="n">
        <v>46406.0124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46406</v>
      </c>
      <c r="O125" s="55" t="n">
        <v>46410</v>
      </c>
      <c r="P125" s="50" t="s">
        <v>288</v>
      </c>
      <c r="Q125" s="52" t="n">
        <v>97</v>
      </c>
      <c r="R125" s="52"/>
      <c r="S125" s="52" t="n">
        <v>2</v>
      </c>
      <c r="T125" s="52" t="s">
        <v>289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46409</v>
      </c>
      <c r="O126" s="55" t="n">
        <v>46416</v>
      </c>
      <c r="P126" s="50" t="s">
        <v>288</v>
      </c>
      <c r="Q126" s="52" t="n">
        <v>97</v>
      </c>
      <c r="R126" s="52"/>
      <c r="S126" s="52" t="n">
        <v>2</v>
      </c>
      <c r="T126" s="52" t="s">
        <v>289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46416</v>
      </c>
      <c r="O127" s="55" t="n">
        <v>46419</v>
      </c>
      <c r="P127" s="50" t="s">
        <v>288</v>
      </c>
      <c r="Q127" s="52" t="n">
        <v>97</v>
      </c>
      <c r="R127" s="52"/>
      <c r="S127" s="52" t="n">
        <v>2</v>
      </c>
      <c r="T127" s="52" t="s">
        <v>289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46364</v>
      </c>
      <c r="O128" s="45" t="n">
        <v>46364</v>
      </c>
      <c r="P128" s="46" t="s">
        <v>288</v>
      </c>
      <c r="Q128" s="37" t="n">
        <v>92</v>
      </c>
      <c r="R128" s="39"/>
      <c r="S128" s="39" t="n">
        <v>1</v>
      </c>
      <c r="T128" s="39" t="s">
        <v>289</v>
      </c>
      <c r="U128" s="58" t="n">
        <v>46364.0128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46365</v>
      </c>
      <c r="O130" s="45" t="n">
        <v>46370</v>
      </c>
      <c r="P130" s="46" t="s">
        <v>288</v>
      </c>
      <c r="Q130" s="37" t="n">
        <v>98</v>
      </c>
      <c r="R130" s="39"/>
      <c r="S130" s="39" t="n">
        <v>1</v>
      </c>
      <c r="T130" s="39" t="s">
        <v>289</v>
      </c>
      <c r="U130" s="58" t="n">
        <v>46365.013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 t="s">
        <v>572</v>
      </c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46403</v>
      </c>
      <c r="O131" s="45" t="n">
        <v>46405</v>
      </c>
      <c r="P131" s="46" t="s">
        <v>288</v>
      </c>
      <c r="Q131" s="37" t="n">
        <v>97</v>
      </c>
      <c r="R131" s="39"/>
      <c r="S131" s="39" t="n">
        <v>1</v>
      </c>
      <c r="T131" s="39" t="s">
        <v>289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46224</v>
      </c>
      <c r="F13" s="99" t="n">
        <v>46224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46282</v>
      </c>
      <c r="F17" s="99" t="n">
        <v>46282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46276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46222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4</v>
      </c>
      <c r="Q24" s="101" t="n">
        <v>4</v>
      </c>
      <c r="R24" s="101" t="n">
        <v>4</v>
      </c>
      <c r="S24" s="101" t="n">
        <v>4</v>
      </c>
      <c r="T24" s="101" t="n">
        <v>4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46253</v>
      </c>
      <c r="F26" s="99" t="n">
        <v>46256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46248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4.3333</v>
      </c>
      <c r="Q48" s="103" t="n">
        <f aca="false">SUMIF($C$7:$C$45,"Actual",Q$7:Q$45)</f>
        <v>4.5</v>
      </c>
      <c r="R48" s="103" t="n">
        <f aca="false">SUMIF($C$7:$C$45,"Actual",R$7:R$45)</f>
        <v>4</v>
      </c>
      <c r="S48" s="103" t="n">
        <f aca="false">SUMIF($C$7:$C$45,"Actual",S$7:S$45)</f>
        <v>4</v>
      </c>
      <c r="T48" s="103" t="n">
        <f aca="false">SUMIF($C$7:$C$45,"Actual",T$7:T$45)</f>
        <v>14</v>
      </c>
      <c r="U48" s="103" t="n">
        <f aca="false">SUMIF($C$7:$C$45,"Actual",U$7:U$45)</f>
        <v>58.75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2.1666</v>
      </c>
      <c r="P50" s="105" t="n">
        <f aca="false">IF(P$6&gt;46314,"",O50+P48)</f>
        <v>6.4999</v>
      </c>
      <c r="Q50" s="105" t="n">
        <f aca="false">IF(Q$6&gt;46314,"",P50+Q48)</f>
        <v>10.9999</v>
      </c>
      <c r="R50" s="105" t="n">
        <f aca="false">IF(R$6&gt;46314,"",Q50+R48)</f>
        <v>14.9999</v>
      </c>
      <c r="S50" s="105" t="n">
        <f aca="false">IF(S$6&gt;46314,"",R50+S48)</f>
        <v>18.9999</v>
      </c>
      <c r="T50" s="105" t="n">
        <f aca="false">IF(T$6&gt;46314,"",S50+T48)</f>
        <v>32.9999</v>
      </c>
      <c r="U50" s="105" t="n">
        <f aca="false">IF(U$6&gt;46314,"",T50+U48)</f>
        <v>91.7499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93.1428</v>
      </c>
      <c r="Y50" s="105" t="n">
        <f aca="false">IF(Y$6&gt;46314,"",X50+Y48)</f>
        <v>94.2857</v>
      </c>
      <c r="Z50" s="105" t="n">
        <f aca="false">IF(Z$6&gt;46314,"",Y50+Z48)</f>
        <v>94.4286</v>
      </c>
      <c r="AA50" s="105" t="n">
        <f aca="false">IF(AA$6&gt;46314,"",Z50+AA48)</f>
        <v>94.5715</v>
      </c>
      <c r="AB50" s="105" t="n">
        <f aca="false">IF(AB$6&gt;46314,"",AA50+AB48)</f>
        <v>94.7144</v>
      </c>
      <c r="AC50" s="105" t="n">
        <f aca="false">IF(AC$6&gt;46314,"",AB50+AC48)</f>
        <v>94.8573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2026-10-26T04:42:21Z</dcterms:created>
  <dc:creator>openpyxl</dc:creator>
  <dc:description/>
  <dc:language>en-US</dc:language>
  <cp:lastModifiedBy/>
  <dcterms:modified xsi:type="dcterms:W3CDTF">2026-10-26T11:46:25Z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