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<sst xmlns="http://schemas.openxmlformats.org/spreadsheetml/2006/main" count="1377" uniqueCount="719">
  <si>
    <t xml:space="preserve">แผนโครงการ P4-001 – สถานีผลิตน้ำศูนย์ราชการ 136.80 kWp</t>
  </si>
  <si>
    <t xml:space="preserve">กปภ.สาขากำแพงเพชร, ภาคเหนือ-กลาง, กฟภ. เขต น.2, Inverter 125 kW (ไม่ต้อง พค.2), Zero export HV, คำขอ PPIM1A507697, วิศวกร เก้า, Admin บีม,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</si>
  <si>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</si>
  <si>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</si>
  <si>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</si>
  <si>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</si>
  <si>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</si>
  <si>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</si>
  <si>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</si>
  <si>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</si>
  <si>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</si>
  <si>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</si>
  <si>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</si>
  <si>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</si>
  <si>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</si>
  <si>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</si>
  <si>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</si>
  <si>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</si>
  <si>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</si>
  <si>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</si>
  <si>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</si>
  <si>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</si>
  <si>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</si>
  <si>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</si>
  <si>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</si>
  <si>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</si>
  <si>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  <r>
      <rPr>
        <b val="true"/>
        <sz val="10"/>
        <color rgb="FF7030A0"/>
        <rFont val="Tahoma"/>
        <family val="0"/>
        <charset val="1"/>
      </rPr>
      <t xml:space="preserve">, ⚠ </t>
    </r>
    <r>
      <rPr>
        <b val="true"/>
        <sz val="10"/>
        <color rgb="FF7030A0"/>
        <rFont val="FreeSans"/>
        <family val="2"/>
      </rPr>
      <t xml:space="preserve">กรอกความสูง</t>
    </r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</si>
  <si>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</si>
  <si>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</si>
  <si>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</si>
  <si>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</si>
  <si>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</si>
  <si>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</si>
  <si>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</si>
  <si>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</si>
  <si>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</si>
  <si>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</si>
  <si>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</si>
  <si>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</si>
  <si>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</si>
  <si>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</si>
  <si>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</si>
  <si>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</si>
  <si>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</si>
  <si>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</si>
  <si>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</si>
  <si>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</si>
  <si>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</si>
  <si>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</si>
  <si>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</si>
  <si>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</si>
  <si>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</si>
  <si>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</si>
  <si>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</si>
  <si>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</si>
  <si>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</si>
  <si>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</si>
  <si>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</si>
  <si>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</si>
  <si>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</si>
  <si>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</si>
  <si>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</si>
  <si>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</si>
  <si>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</si>
  <si>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</si>
  <si>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</si>
  <si>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</si>
  <si>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</si>
  <si>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</si>
  <si>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</si>
  <si>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</si>
  <si>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</si>
  <si>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</si>
  <si>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</si>
  <si>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</si>
  <si>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</si>
  <si>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</si>
  <si>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</si>
  <si>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</si>
  <si>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</si>
  <si>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</si>
  <si>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</si>
  <si>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</si>
  <si>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</si>
  <si>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</si>
  <si>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</si>
  <si>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</si>
  <si>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</si>
  <si>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</si>
  <si>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</si>
  <si>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</si>
  <si>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</si>
  <si>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</si>
  <si>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</si>
  <si>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</si>
  <si>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</si>
  <si>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</si>
  <si>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</si>
  <si>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</si>
  <si>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</si>
  <si>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</si>
  <si>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</si>
  <si>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</si>
  <si>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</si>
  <si>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</si>
  <si>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</si>
  <si>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</si>
  <si>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</si>
  <si>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</si>
  <si>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</si>
  <si>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</si>
  <si>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TC-PML-2026-499,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</si>
  <si>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</si>
  <si>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</si>
  <si>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</si>
  <si>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</si>
  <si>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</si>
  <si>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</si>
  <si>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</si>
  <si>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</si>
  <si>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</si>
  <si>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</si>
  <si>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</si>
  <si>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</si>
  <si>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</si>
  <si>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</si>
  <si>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</si>
  <si>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</si>
  <si>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</si>
  <si>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</si>
  <si>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</si>
  <si>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</si>
  <si>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</si>
  <si>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</si>
  <si>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</si>
  <si>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</si>
  <si>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</si>
  <si>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</si>
  <si>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</si>
  <si>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</si>
  <si>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</si>
  <si>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</si>
  <si>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</si>
  <si>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</si>
  <si>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</si>
  <si>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</si>
  <si>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</si>
  <si>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</si>
  <si>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</si>
  <si>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</si>
  <si>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</si>
  <si>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</si>
  <si>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WBS'!L5747</t>
    </r>
  </si>
  <si>
    <t xml:space="preserve">0.3</t>
  </si>
  <si>
    <t xml:space="preserve">หนังสือแจ้งขอดับไฟ</t>
  </si>
  <si>
    <t xml:space="preserve">TC-PML-2026-515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</si>
  <si>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</si>
  <si>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</si>
  <si>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</si>
  <si>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</si>
  <si>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</si>
  <si>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</si>
  <si>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</si>
  <si>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</si>
  <si>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</si>
  <si>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</si>
  <si>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</si>
  <si>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</si>
  <si>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</si>
  <si>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</si>
  <si>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</si>
  <si>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</si>
  <si>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</si>
  <si>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</si>
  <si>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</si>
  <si>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</si>
  <si>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</si>
  <si>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</si>
  <si>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</si>
  <si>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</si>
  <si>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</si>
  <si>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</si>
  <si>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</si>
  <si>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</si>
  <si>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</si>
  <si>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</si>
  <si>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</si>
  <si>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</si>
  <si>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</si>
  <si>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</si>
  <si>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</si>
  <si>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</si>
  <si>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</si>
  <si>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</si>
  <si>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</si>
  <si>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</si>
  <si>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</si>
  <si>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</si>
  <si>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</si>
  <si>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</si>
  <si>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</si>
  <si>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</si>
  <si>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</si>
  <si>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</si>
  <si>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</si>
  <si>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</si>
  <si>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</si>
  <si>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</si>
  <si>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</si>
  <si>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</si>
  <si>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</si>
  <si>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</si>
  <si>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</si>
  <si>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</si>
  <si>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</si>
  <si>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</si>
  <si>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</si>
  <si>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</si>
  <si>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</si>
  <si>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</si>
  <si>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</si>
  <si>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</si>
  <si>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</si>
  <si>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</si>
  <si>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</si>
  <si>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</si>
  <si>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</si>
  <si>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</si>
  <si>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</si>
  <si>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</si>
  <si>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</si>
  <si>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</si>
  <si>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</si>
  <si>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</si>
  <si>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</si>
  <si>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</si>
  <si>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</si>
  <si>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</si>
  <si>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</si>
  <si>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</si>
  <si>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</si>
  <si>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</si>
  <si>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</si>
  <si>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</si>
  <si>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</si>
  <si>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</si>
  <si>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</si>
  <si>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</si>
  <si>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</si>
  <si>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</si>
  <si>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</si>
  <si>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</si>
  <si>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</si>
  <si>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</si>
  <si>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</si>
  <si>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</si>
  <si>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</si>
  <si>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</si>
  <si>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</si>
  <si>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</si>
  <si>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</si>
  <si>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</si>
  <si>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</si>
  <si>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</si>
  <si>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</si>
  <si>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</si>
  <si>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</si>
  <si>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</si>
  <si>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</si>
  <si>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</si>
  <si>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</si>
  <si>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</si>
  <si>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</si>
  <si>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WBS'!L5765</t>
    </r>
  </si>
  <si>
    <t xml:space="preserve">1.7.1</t>
  </si>
  <si>
    <t xml:space="preserve">คำขอขนานไฟ PPIM (ชุด 11 ไฟล์)</t>
  </si>
  <si>
    <t xml:space="preserve">PPIM1A507697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</si>
  <si>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</si>
  <si>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</si>
  <si>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</si>
  <si>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</si>
  <si>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</si>
  <si>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</si>
  <si>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</si>
  <si>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</si>
  <si>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6/11/69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</si>
  <si>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</si>
  <si>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</si>
  <si>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</si>
  <si>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</si>
  <si>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</si>
  <si>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</si>
  <si>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</si>
  <si>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</si>
  <si>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</si>
  <si>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</si>
  <si>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</si>
  <si>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</si>
  <si>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</si>
  <si>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</si>
  <si>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</si>
  <si>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</si>
  <si>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</si>
  <si>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</si>
  <si>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</si>
  <si>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</si>
  <si>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</si>
  <si>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</si>
  <si>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</si>
  <si>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</si>
  <si>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</si>
  <si>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</si>
  <si>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</si>
  <si>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</si>
  <si>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</si>
  <si>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</si>
  <si>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</si>
  <si>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</si>
  <si>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</si>
  <si>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</si>
  <si>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</si>
  <si>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</si>
  <si>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</si>
  <si>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</si>
  <si>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</si>
  <si>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</si>
  <si>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</si>
  <si>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</si>
  <si>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</si>
  <si>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</si>
  <si>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</si>
  <si>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</si>
  <si>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</si>
  <si>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</si>
  <si>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</si>
  <si>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</si>
  <si>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</si>
  <si>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</si>
  <si>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</si>
  <si>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</si>
  <si>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</si>
  <si>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</si>
  <si>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</si>
  <si>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</si>
  <si>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</si>
  <si>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</si>
  <si>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</si>
  <si>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</si>
  <si>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</si>
  <si>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</si>
  <si>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</si>
  <si>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</si>
  <si>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</si>
  <si>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</si>
  <si>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</si>
  <si>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</si>
  <si>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</si>
  <si>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</si>
  <si>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</si>
  <si>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</si>
  <si>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</si>
  <si>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</si>
  <si>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</si>
  <si>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</si>
  <si>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</si>
  <si>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</si>
  <si>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</si>
  <si>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</si>
  <si>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</si>
  <si>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</si>
  <si>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</si>
  <si>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</si>
  <si>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</si>
  <si>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</si>
  <si>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</si>
  <si>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</si>
  <si>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</si>
  <si>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</si>
  <si>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</si>
  <si>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</si>
  <si>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</si>
  <si>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</si>
  <si>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</si>
  <si>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</si>
  <si>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</si>
  <si>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</si>
  <si>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</si>
  <si>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</si>
  <si>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</si>
  <si>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</si>
  <si>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</si>
  <si>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</si>
  <si>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</si>
  <si>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</si>
  <si>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</si>
  <si>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</si>
  <si>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</si>
  <si>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</si>
  <si>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</si>
  <si>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</si>
  <si>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</si>
  <si>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</si>
  <si>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</si>
  <si>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</si>
  <si>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</si>
  <si>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</si>
  <si>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</si>
  <si>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</si>
  <si>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</si>
  <si>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</si>
  <si>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</si>
  <si>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</si>
  <si>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</si>
  <si>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</si>
  <si>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</si>
  <si>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</si>
  <si>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</si>
  <si>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</si>
  <si>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</si>
  <si>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</si>
  <si>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</si>
  <si>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</si>
  <si>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</si>
  <si>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</si>
  <si>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</si>
  <si>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</si>
  <si>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</si>
  <si>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</si>
  <si>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</si>
  <si>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</si>
  <si>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</si>
  <si>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</si>
  <si>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</si>
  <si>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</si>
  <si>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</si>
  <si>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</si>
  <si>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</si>
  <si>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</si>
  <si>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</si>
  <si>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</si>
  <si>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</si>
  <si>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</si>
  <si>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</si>
  <si>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</si>
  <si>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</si>
  <si>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</si>
  <si>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</si>
  <si>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</si>
  <si>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</si>
  <si>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</si>
  <si>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</si>
  <si>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</si>
  <si>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</si>
  <si>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</si>
  <si>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</si>
  <si>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</si>
  <si>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</si>
  <si>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</si>
  <si>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</si>
  <si>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</si>
  <si>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</si>
  <si>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</si>
  <si>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</si>
  <si>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</si>
  <si>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</si>
  <si>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</si>
  <si>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</si>
  <si>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</si>
  <si>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</si>
  <si>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</si>
  <si>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</si>
  <si>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</si>
  <si>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</si>
  <si>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</si>
  <si>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</si>
  <si>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</si>
  <si>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</si>
  <si>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</si>
  <si>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</si>
  <si>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</si>
  <si>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</si>
  <si>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</si>
  <si>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</si>
  <si>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</si>
  <si>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</si>
  <si>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</si>
  <si>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</si>
  <si>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</si>
  <si>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</si>
  <si>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</si>
  <si>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</si>
  <si>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</si>
  <si>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</si>
  <si>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</si>
  <si>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29/8/69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</si>
  <si>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</si>
  <si>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</si>
  <si>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</si>
  <si>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</si>
  <si>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</si>
  <si>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</si>
  <si>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</si>
  <si>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</si>
  <si>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</si>
  <si>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</si>
  <si>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</si>
  <si>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</si>
  <si>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</si>
  <si>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</si>
  <si>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</si>
  <si>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</si>
  <si>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</si>
  <si>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</si>
  <si>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</si>
  <si>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</si>
  <si>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</si>
  <si>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</si>
  <si>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</si>
  <si>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</si>
  <si>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</si>
  <si>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</si>
  <si>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</si>
  <si>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</si>
  <si>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</si>
  <si>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</si>
  <si>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</si>
  <si>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</si>
  <si>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</si>
  <si>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</si>
  <si>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</si>
  <si>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</si>
  <si>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</si>
  <si>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</si>
  <si>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</si>
  <si>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</si>
  <si>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</si>
  <si>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</si>
  <si>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</si>
  <si>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</si>
  <si>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</si>
  <si>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</si>
  <si>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</si>
  <si>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</si>
  <si>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</si>
  <si>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</si>
  <si>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</si>
  <si>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</si>
  <si>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</si>
  <si>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</si>
  <si>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</si>
  <si>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</si>
  <si>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</si>
  <si>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</si>
  <si>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</si>
  <si>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</si>
  <si>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</si>
  <si>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</si>
  <si>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</si>
  <si>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</si>
  <si>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</si>
  <si>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</si>
  <si>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</si>
  <si>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</si>
  <si>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</si>
  <si>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</si>
  <si>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</si>
  <si>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</si>
  <si>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</si>
  <si>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</si>
  <si>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</si>
  <si>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</si>
  <si>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</si>
  <si>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</si>
  <si>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</si>
  <si>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</si>
  <si>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</si>
  <si>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</si>
  <si>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</si>
  <si>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</si>
  <si>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</si>
  <si>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</si>
  <si>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</si>
  <si>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</si>
  <si>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</si>
  <si>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</si>
  <si>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</si>
  <si>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1/1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</si>
  <si>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</si>
  <si>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</si>
  <si>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</si>
  <si>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</si>
  <si>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</si>
  <si>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</si>
  <si>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</si>
  <si>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</si>
  <si>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</si>
  <si>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บนหลังคาถังน้ำใส / ดาดฟ้า</t>
  </si>
  <si>
    <t xml:space="preserve">125 kW, โรงเรือน –, ตั้งบนพื้น คสล. หลังคาถังน้ำใส หรือดาดฟ้า (เช่น P4-001), ยึดพุก ห้ามเจาะทะลุ slab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</si>
  <si>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</si>
  <si>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</si>
  <si>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</si>
  <si>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</si>
  <si>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Mark ตำแหน่ง หลบฝาถัง / ช่องระบาย / ท่อ + ตรวจน้ำหนักบนพื้น</t>
  </si>
  <si>
    <t xml:space="preserve">2.5.1.2</t>
  </si>
  <si>
    <t xml:space="preserve">ฐาน Concrete topping + Expansion bolt (ไม่เจาะทะลุ slab) + กันซึม</t>
  </si>
  <si>
    <t xml:space="preserve">2.5.1.3</t>
  </si>
  <si>
    <t xml:space="preserve">โครงเหล็ก + หลังคากันแดดฝน + ป้องกันสนิม</t>
  </si>
  <si>
    <t xml:space="preserve">2.5.1.4</t>
  </si>
  <si>
    <t xml:space="preserve">Rack + ที่ยึดรางยกพ้นน้ำขัง (ตัวรางและสายนับใน 2.2.1 / 2.6.1)</t>
  </si>
  <si>
    <t xml:space="preserve">2.5.1.5</t>
  </si>
  <si>
    <t xml:space="preserve">ป้ายเตือน + ราวกันตกขอบถัง</t>
  </si>
  <si>
    <t xml:space="preserve">2.5.1.6</t>
  </si>
  <si>
    <t xml:space="preserve">ICL โครงสร้าง + ความสะอาดถัง / ฝาปิด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</si>
  <si>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</si>
  <si>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ข้อมูลจากแบบ</t>
  </si>
  <si>
    <t xml:space="preserve">ประเภทจุดติดตั้งและความคืบหน้ารายจุด → ชีต ‘จุดติดตั้ง’, ที่มา: แบบ PEA-EMD-03-2024 สถานีผลิตน้ำศูนย์ราชการ กปภ.สาขากำแพงเพชร (33 แผ่น, C01–C06, E00–E16)</t>
  </si>
  <si>
    <t xml:space="preserve">กำลังผลิต DC</t>
  </si>
  <si>
    <r>
      <rPr>
        <sz val="9"/>
        <rFont val="Tahoma"/>
        <family val="0"/>
        <charset val="1"/>
      </rPr>
      <t xml:space="preserve">136.8 kWp (240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× 570 W)</t>
    </r>
  </si>
  <si>
    <t xml:space="preserve">String</t>
  </si>
  <si>
    <r>
      <rPr>
        <sz val="9"/>
        <rFont val="Tahoma"/>
        <family val="0"/>
        <charset val="1"/>
      </rPr>
      <t xml:space="preserve">15 </t>
    </r>
    <r>
      <rPr>
        <sz val="9"/>
        <rFont val="FreeSans"/>
        <family val="2"/>
      </rPr>
      <t xml:space="preserve">สตริง </t>
    </r>
    <r>
      <rPr>
        <sz val="9"/>
        <rFont val="Tahoma"/>
        <family val="0"/>
        <charset val="1"/>
      </rPr>
      <t xml:space="preserve">(16/15 </t>
    </r>
    <r>
      <rPr>
        <sz val="9"/>
        <rFont val="FreeSans"/>
        <family val="2"/>
      </rPr>
      <t xml:space="preserve">แผงต่อสตริง</t>
    </r>
    <r>
      <rPr>
        <sz val="9"/>
        <rFont val="Tahoma"/>
        <family val="0"/>
        <charset val="1"/>
      </rPr>
      <t xml:space="preserve">)</t>
    </r>
  </si>
  <si>
    <t xml:space="preserve">Inverter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</si>
  <si>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ชุด </t>
    </r>
    <r>
      <rPr>
        <sz val="9"/>
        <rFont val="Tahoma"/>
        <family val="0"/>
        <charset val="1"/>
      </rPr>
      <t xml:space="preserve">125 kWac, Inverter station </t>
    </r>
    <r>
      <rPr>
        <sz val="9"/>
        <rFont val="FreeSans"/>
        <family val="2"/>
      </rPr>
      <t xml:space="preserve">บนหลังคาถังน้ำใส</t>
    </r>
  </si>
  <si>
    <t xml:space="preserve">ตู้ FTS</t>
  </si>
  <si>
    <t xml:space="preserve">FTS-DB-01 (FTS01–03)</t>
  </si>
  <si>
    <t xml:space="preserve">จุดเชื่อม</t>
  </si>
  <si>
    <r>
      <rPr>
        <sz val="9"/>
        <rFont val="Tahoma"/>
        <family val="0"/>
        <charset val="1"/>
      </rPr>
      <t xml:space="preserve">MDB 630 A, TR 500 kVA (</t>
    </r>
    <r>
      <rPr>
        <sz val="9"/>
        <rFont val="FreeSans"/>
        <family val="2"/>
      </rPr>
      <t xml:space="preserve">เดิม</t>
    </r>
    <r>
      <rPr>
        <sz val="9"/>
        <rFont val="Tahoma"/>
        <family val="0"/>
        <charset val="1"/>
      </rPr>
      <t xml:space="preserve">), PEA meter</t>
    </r>
  </si>
  <si>
    <t xml:space="preserve">กันย้อน</t>
  </si>
  <si>
    <r>
      <rPr>
        <sz val="9"/>
        <rFont val="Tahoma"/>
        <family val="0"/>
        <charset val="1"/>
      </rPr>
      <t xml:space="preserve">Zero export </t>
    </r>
    <r>
      <rPr>
        <sz val="9"/>
        <rFont val="FreeSans"/>
        <family val="2"/>
      </rPr>
      <t xml:space="preserve">ฝั่งแรงสูง </t>
    </r>
    <r>
      <rPr>
        <sz val="9"/>
        <rFont val="Tahoma"/>
        <family val="0"/>
        <charset val="1"/>
      </rPr>
      <t xml:space="preserve">(MV)</t>
    </r>
  </si>
  <si>
    <t xml:space="preserve">อื่น ๆ</t>
  </si>
  <si>
    <r>
      <rPr>
        <sz val="9"/>
        <rFont val="Tahoma"/>
        <family val="0"/>
        <charset val="1"/>
      </rPr>
      <t xml:space="preserve">Weather station, Site office, </t>
    </r>
    <r>
      <rPr>
        <sz val="9"/>
        <rFont val="FreeSans"/>
        <family val="2"/>
      </rPr>
      <t xml:space="preserve">ท่อน้ำ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ก๊อกล้างแผง</t>
    </r>
  </si>
  <si>
    <r>
      <rPr>
        <b val="true"/>
        <sz val="9"/>
        <rFont val="Tahoma"/>
        <family val="0"/>
        <charset val="1"/>
      </rPr>
      <t xml:space="preserve">T1 </t>
    </r>
    <r>
      <rPr>
        <b val="true"/>
        <sz val="9"/>
        <rFont val="FreeSans"/>
        <family val="2"/>
      </rPr>
      <t xml:space="preserve">หลังคาถังน้ำใส </t>
    </r>
    <r>
      <rPr>
        <b val="true"/>
        <sz val="9"/>
        <rFont val="Tahoma"/>
        <family val="0"/>
        <charset val="1"/>
      </rPr>
      <t xml:space="preserve">1</t>
    </r>
  </si>
  <si>
    <t xml:space="preserve">พื้น คสล. หลังคาถังน้ำใส 40 × 24 ม. สูง 4 ม. ลาด 0° (โครงยึดพุก), 240 แผง</t>
  </si>
  <si>
    <t xml:space="preserve">งาน</t>
  </si>
  <si>
    <t xml:space="preserve">แบบอ้างอิง</t>
  </si>
  <si>
    <t xml:space="preserve">ปริมาณ / รายละเอียดตามแบบ</t>
  </si>
  <si>
    <r>
      <rPr>
        <sz val="9"/>
        <rFont val="Tahoma"/>
        <family val="0"/>
        <charset val="1"/>
      </rPr>
      <t xml:space="preserve">E01–E03 (SLD), C01, E00 (</t>
    </r>
    <r>
      <rPr>
        <sz val="9"/>
        <rFont val="FreeSans"/>
        <family val="2"/>
      </rPr>
      <t xml:space="preserve">ผังรวม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</si>
  <si>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SLD </t>
    </r>
    <r>
      <rPr>
        <sz val="9"/>
        <rFont val="FreeSans"/>
        <family val="2"/>
      </rPr>
      <t xml:space="preserve">สถานี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ระบบผลิต</t>
    </r>
  </si>
  <si>
    <t xml:space="preserve">โครงสร้าง + Walkway</t>
  </si>
  <si>
    <t xml:space="preserve">C02, C03, C04 (2), C05 (2)</t>
  </si>
  <si>
    <t xml:space="preserve">ฐาน Concrete topping 300×300×150 + Expansion bolt M12, โครงอลูมิเนียม (Rail/Post/Clamp), Walkway/Lifeline, ท่อน้ำ + ก๊อก</t>
  </si>
  <si>
    <t xml:space="preserve">ระบบ DC</t>
  </si>
  <si>
    <t xml:space="preserve">C06, E04, E06 (2), E08</t>
  </si>
  <si>
    <t xml:space="preserve">รางเดินสาย (Tray), สาย DC 15 สตริง, ตู้ DC</t>
  </si>
  <si>
    <t xml:space="preserve">แผงเซลล์</t>
  </si>
  <si>
    <t xml:space="preserve">C02</t>
  </si>
  <si>
    <r>
      <rPr>
        <sz val="9"/>
        <rFont val="Tahoma"/>
        <family val="0"/>
        <charset val="1"/>
      </rPr>
      <t xml:space="preserve">240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× 570 W</t>
    </r>
  </si>
  <si>
    <t xml:space="preserve">FTS</t>
  </si>
  <si>
    <t xml:space="preserve">E09 (2)</t>
  </si>
  <si>
    <t xml:space="preserve">E07</t>
  </si>
  <si>
    <r>
      <rPr>
        <sz val="9"/>
        <rFont val="Tahoma"/>
        <family val="0"/>
        <charset val="1"/>
      </rPr>
      <t xml:space="preserve">Inverter station 1 </t>
    </r>
    <r>
      <rPr>
        <sz val="9"/>
        <rFont val="FreeSans"/>
        <family val="2"/>
      </rPr>
      <t xml:space="preserve">ชุด </t>
    </r>
    <r>
      <rPr>
        <sz val="9"/>
        <rFont val="Tahoma"/>
        <family val="0"/>
        <charset val="1"/>
      </rPr>
      <t xml:space="preserve">125 kWac</t>
    </r>
  </si>
  <si>
    <t xml:space="preserve">ระบบ AC</t>
  </si>
  <si>
    <t xml:space="preserve">E05, E12, E13</t>
  </si>
  <si>
    <t xml:space="preserve">รางสาย AC, ตู้ AC, ระบบกราวด์, เชื่อม MDB 630 A</t>
  </si>
  <si>
    <t xml:space="preserve">ตู้ควบคุม</t>
  </si>
  <si>
    <t xml:space="preserve">E10, E12</t>
  </si>
  <si>
    <r>
      <rPr>
        <sz val="9"/>
        <rFont val="Tahoma"/>
        <family val="0"/>
        <charset val="1"/>
      </rPr>
      <t xml:space="preserve">Revenue meter,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</t>
    </r>
  </si>
  <si>
    <t xml:space="preserve">สื่อสาร + Zero export</t>
  </si>
  <si>
    <t xml:space="preserve">E11, E14, E15, E16</t>
  </si>
  <si>
    <t xml:space="preserve">กันย้อนแรงสูง (VT/CT/Relay), เครือข่ายสื่อสาร</t>
  </si>
  <si>
    <t xml:space="preserve">Monitoring</t>
  </si>
  <si>
    <t xml:space="preserve">E14, C02 (Weather station)</t>
  </si>
  <si>
    <t xml:space="preserve">Data logger, Weather station</t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</si>
  <si>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</si>
  <si>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</si>
  <si>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สถานีผลิตน้ำศูนย์ราชการ การประปาส่วนภูมิภาคสาขากำแพงเพชร ขนาดกำลังผลิต </t>
    </r>
    <r>
      <rPr>
        <sz val="10"/>
        <rFont val="Tahoma"/>
        <family val="0"/>
        <charset val="1"/>
      </rPr>
      <t xml:space="preserve">136.80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</si>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</sst>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3.5</c:v>
                </c:pt>
                <c:pt idx="11">
                  <c:v>10.1667</c:v>
                </c:pt>
                <c:pt idx="12">
                  <c:v>16.8334</c:v>
                </c:pt>
                <c:pt idx="13">
                  <c:v>46.0001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94.7501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209025"/>
        <c:axId val="59676918"/>
      </c:lineChart>
      <c:catAx>
        <c:axId val="6720902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76918"/>
        <c:crosses val="autoZero"/>
        <c:auto val="1"/>
        <c:lblAlgn val="ctr"/>
        <c:lblOffset val="100"/>
        <c:noMultiLvlLbl val="0"/>
      </c:catAx>
      <c:valAx>
        <c:axId val="59676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090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73</v>
      </c>
      <c r="M4" s="12"/>
      <c r="N4" s="12" t="n">
        <v>79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46203</v>
      </c>
      <c r="O8" s="33" t="n">
        <v>46412</v>
      </c>
      <c r="P8" s="34" t="s">
        <v>75</v>
      </c>
      <c r="Q8" s="31" t="n">
        <v>79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46203</v>
      </c>
      <c r="O9" s="45" t="n">
        <v>46412</v>
      </c>
      <c r="P9" s="46" t="s">
        <v>75</v>
      </c>
      <c r="Q9" s="37" t="n">
        <v>79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46203</v>
      </c>
      <c r="O10" s="55" t="n">
        <v>46224</v>
      </c>
      <c r="P10" s="50" t="s">
        <v>75</v>
      </c>
      <c r="Q10" s="52" t="n">
        <v>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46203</v>
      </c>
      <c r="O11" s="55" t="n">
        <v>46224</v>
      </c>
      <c r="P11" s="50" t="s">
        <v>75</v>
      </c>
      <c r="Q11" s="52" t="n">
        <v>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46203</v>
      </c>
      <c r="O12" s="55" t="n">
        <v>46224</v>
      </c>
      <c r="P12" s="50" t="s">
        <v>75</v>
      </c>
      <c r="Q12" s="52" t="n">
        <v>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46203</v>
      </c>
      <c r="O13" s="55" t="n">
        <v>46234</v>
      </c>
      <c r="P13" s="50" t="s">
        <v>75</v>
      </c>
      <c r="Q13" s="52" t="n">
        <v>7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46224</v>
      </c>
      <c r="O14" s="55" t="n">
        <v>46412</v>
      </c>
      <c r="P14" s="50" t="s">
        <v>75</v>
      </c>
      <c r="Q14" s="52" t="n">
        <v>79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46224</v>
      </c>
      <c r="O15" s="55" t="n">
        <v>46412</v>
      </c>
      <c r="P15" s="50" t="s">
        <v>75</v>
      </c>
      <c r="Q15" s="52" t="n">
        <v>79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46241</v>
      </c>
      <c r="M25" s="43"/>
      <c r="N25" s="44" t="n">
        <v>46241</v>
      </c>
      <c r="O25" s="45" t="n">
        <v>46241</v>
      </c>
      <c r="P25" s="46" t="s">
        <v>60</v>
      </c>
      <c r="Q25" s="37" t="n">
        <v>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46241</v>
      </c>
      <c r="O26" s="55" t="n">
        <v>46241</v>
      </c>
      <c r="P26" s="50" t="s">
        <v>124</v>
      </c>
      <c r="Q26" s="52" t="n">
        <v>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46241</v>
      </c>
      <c r="O27" s="55" t="n">
        <v>46241</v>
      </c>
      <c r="P27" s="50" t="s">
        <v>124</v>
      </c>
      <c r="Q27" s="52" t="n">
        <v>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46241</v>
      </c>
      <c r="O28" s="55" t="n">
        <v>46241</v>
      </c>
      <c r="P28" s="50" t="s">
        <v>124</v>
      </c>
      <c r="Q28" s="52" t="n">
        <v>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46203</v>
      </c>
      <c r="O29" s="33" t="n">
        <v>46395</v>
      </c>
      <c r="P29" s="34" t="s">
        <v>75</v>
      </c>
      <c r="Q29" s="31" t="n">
        <v>79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46203</v>
      </c>
      <c r="O30" s="45" t="n">
        <v>46203</v>
      </c>
      <c r="P30" s="46" t="s">
        <v>115</v>
      </c>
      <c r="Q30" s="37" t="n">
        <v>-5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46203</v>
      </c>
      <c r="O31" s="55" t="n">
        <v>46203</v>
      </c>
      <c r="P31" s="50" t="s">
        <v>124</v>
      </c>
      <c r="Q31" s="52" t="n">
        <v>-5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46203</v>
      </c>
      <c r="O32" s="55" t="n">
        <v>46203</v>
      </c>
      <c r="P32" s="50" t="s">
        <v>124</v>
      </c>
      <c r="Q32" s="52" t="n">
        <v>-5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46203</v>
      </c>
      <c r="O33" s="55" t="n">
        <v>46203</v>
      </c>
      <c r="P33" s="50" t="s">
        <v>124</v>
      </c>
      <c r="Q33" s="52" t="n">
        <v>-5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46209</v>
      </c>
      <c r="O34" s="45" t="n">
        <v>46218</v>
      </c>
      <c r="P34" s="46" t="s">
        <v>115</v>
      </c>
      <c r="Q34" s="37" t="n">
        <v>-6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46209</v>
      </c>
      <c r="O35" s="55" t="n">
        <v>46214</v>
      </c>
      <c r="P35" s="50" t="s">
        <v>124</v>
      </c>
      <c r="Q35" s="52" t="n">
        <v>-5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46209</v>
      </c>
      <c r="O36" s="55" t="n">
        <v>46214</v>
      </c>
      <c r="P36" s="50" t="s">
        <v>124</v>
      </c>
      <c r="Q36" s="52" t="n">
        <v>-6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46212</v>
      </c>
      <c r="O37" s="55" t="n">
        <v>46215</v>
      </c>
      <c r="P37" s="50" t="s">
        <v>124</v>
      </c>
      <c r="Q37" s="52" t="n">
        <v>-6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46214</v>
      </c>
      <c r="O38" s="55" t="n">
        <v>46218</v>
      </c>
      <c r="P38" s="50" t="s">
        <v>124</v>
      </c>
      <c r="Q38" s="52" t="n">
        <v>-6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46228</v>
      </c>
      <c r="O39" s="45" t="n">
        <v>46228</v>
      </c>
      <c r="P39" s="46" t="s">
        <v>115</v>
      </c>
      <c r="Q39" s="37" t="n">
        <v>-10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46228</v>
      </c>
      <c r="O40" s="55" t="n">
        <v>46228</v>
      </c>
      <c r="P40" s="50" t="s">
        <v>124</v>
      </c>
      <c r="Q40" s="52" t="n">
        <v>-10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46228</v>
      </c>
      <c r="O41" s="55" t="n">
        <v>46228</v>
      </c>
      <c r="P41" s="50" t="s">
        <v>124</v>
      </c>
      <c r="Q41" s="52" t="n">
        <v>-10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46228</v>
      </c>
      <c r="O42" s="55" t="n">
        <v>46228</v>
      </c>
      <c r="P42" s="50" t="s">
        <v>124</v>
      </c>
      <c r="Q42" s="52" t="n">
        <v>-10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46210</v>
      </c>
      <c r="O43" s="45" t="n">
        <v>46223</v>
      </c>
      <c r="P43" s="46" t="s">
        <v>115</v>
      </c>
      <c r="Q43" s="37" t="n">
        <v>-5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46210</v>
      </c>
      <c r="O44" s="55" t="n">
        <v>46213</v>
      </c>
      <c r="P44" s="50" t="s">
        <v>124</v>
      </c>
      <c r="Q44" s="52" t="n">
        <v>-5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46211</v>
      </c>
      <c r="O45" s="55" t="n">
        <v>46217</v>
      </c>
      <c r="P45" s="50" t="s">
        <v>124</v>
      </c>
      <c r="Q45" s="52" t="n">
        <v>-4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46217</v>
      </c>
      <c r="O46" s="55" t="n">
        <v>46223</v>
      </c>
      <c r="P46" s="50" t="s">
        <v>124</v>
      </c>
      <c r="Q46" s="52" t="n">
        <v>-5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46282</v>
      </c>
      <c r="M55" s="43"/>
      <c r="N55" s="44" t="n">
        <v>46282</v>
      </c>
      <c r="O55" s="45" t="n">
        <v>46282</v>
      </c>
      <c r="P55" s="46" t="s">
        <v>60</v>
      </c>
      <c r="Q55" s="37" t="n">
        <v>11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46282</v>
      </c>
      <c r="L57" s="42"/>
      <c r="M57" s="43" t="s">
        <v>114</v>
      </c>
      <c r="N57" s="44" t="n">
        <v>46282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</v>
      </c>
      <c r="C58" s="38" t="s">
        <v>285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46315</v>
      </c>
      <c r="O58" s="45" t="n">
        <v>46321</v>
      </c>
      <c r="P58" s="46" t="s">
        <v>286</v>
      </c>
      <c r="Q58" s="37" t="n">
        <v>22</v>
      </c>
      <c r="R58" s="39"/>
      <c r="S58" s="39" t="n">
        <v>1</v>
      </c>
      <c r="T58" s="39" t="s">
        <v>287</v>
      </c>
      <c r="U58" s="58" t="n">
        <v>46315.0058</v>
      </c>
      <c r="V58" s="47" t="n">
        <v>0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46349</v>
      </c>
      <c r="O59" s="45" t="n">
        <v>46349</v>
      </c>
      <c r="P59" s="46" t="s">
        <v>286</v>
      </c>
      <c r="Q59" s="37" t="n">
        <v>49</v>
      </c>
      <c r="R59" s="39"/>
      <c r="S59" s="39" t="n">
        <v>1</v>
      </c>
      <c r="T59" s="39" t="s">
        <v>287</v>
      </c>
      <c r="U59" s="58" t="n">
        <v>46349.0059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46354</v>
      </c>
      <c r="O60" s="60" t="n">
        <v>46395</v>
      </c>
      <c r="P60" s="46" t="s">
        <v>286</v>
      </c>
      <c r="Q60" s="37" t="n">
        <v>79</v>
      </c>
      <c r="R60" s="39"/>
      <c r="S60" s="39" t="n">
        <v>1</v>
      </c>
      <c r="T60" s="39" t="s">
        <v>287</v>
      </c>
      <c r="U60" s="58" t="n">
        <v>46354.006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46243</v>
      </c>
      <c r="O61" s="33" t="n">
        <v>46263</v>
      </c>
      <c r="P61" s="34" t="s">
        <v>60</v>
      </c>
      <c r="Q61" s="31" t="n">
        <v>-7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14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46243</v>
      </c>
      <c r="O62" s="45" t="n">
        <v>46256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306</v>
      </c>
      <c r="N63" s="55" t="n">
        <v>46243</v>
      </c>
      <c r="O63" s="55" t="n">
        <v>46244</v>
      </c>
      <c r="P63" s="50" t="s">
        <v>124</v>
      </c>
      <c r="Q63" s="52" t="n">
        <v>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310</v>
      </c>
      <c r="N64" s="55" t="n">
        <v>46243</v>
      </c>
      <c r="O64" s="55" t="n">
        <v>46246</v>
      </c>
      <c r="P64" s="50" t="s">
        <v>124</v>
      </c>
      <c r="Q64" s="52" t="n">
        <v>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314</v>
      </c>
      <c r="N65" s="55" t="n">
        <v>46244</v>
      </c>
      <c r="O65" s="55" t="n">
        <v>46250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318</v>
      </c>
      <c r="N66" s="55" t="n">
        <v>46248</v>
      </c>
      <c r="O66" s="55" t="n">
        <v>46254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322</v>
      </c>
      <c r="N67" s="55" t="n">
        <v>46251</v>
      </c>
      <c r="O67" s="55" t="n">
        <v>46255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326</v>
      </c>
      <c r="N68" s="55" t="n">
        <v>46253</v>
      </c>
      <c r="O68" s="55" t="n">
        <v>46256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330</v>
      </c>
      <c r="N69" s="55" t="n">
        <v>46255</v>
      </c>
      <c r="O69" s="55" t="n">
        <v>46256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46257</v>
      </c>
      <c r="O70" s="45" t="n">
        <v>46260</v>
      </c>
      <c r="P70" s="46" t="s">
        <v>115</v>
      </c>
      <c r="Q70" s="37" t="n">
        <v>-8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338</v>
      </c>
      <c r="N71" s="55" t="n">
        <v>46257</v>
      </c>
      <c r="O71" s="55" t="n">
        <v>46258</v>
      </c>
      <c r="P71" s="50" t="s">
        <v>124</v>
      </c>
      <c r="Q71" s="52" t="n">
        <v>-5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342</v>
      </c>
      <c r="N72" s="55" t="n">
        <v>46258</v>
      </c>
      <c r="O72" s="55" t="n">
        <v>46259</v>
      </c>
      <c r="P72" s="50" t="s">
        <v>124</v>
      </c>
      <c r="Q72" s="52" t="n">
        <v>-7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346</v>
      </c>
      <c r="N73" s="55" t="n">
        <v>46258</v>
      </c>
      <c r="O73" s="55" t="n">
        <v>46259</v>
      </c>
      <c r="P73" s="50" t="s">
        <v>124</v>
      </c>
      <c r="Q73" s="52" t="n">
        <v>-7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350</v>
      </c>
      <c r="N74" s="55" t="n">
        <v>46259</v>
      </c>
      <c r="O74" s="55" t="n">
        <v>46260</v>
      </c>
      <c r="P74" s="50" t="s">
        <v>124</v>
      </c>
      <c r="Q74" s="52" t="n">
        <v>-8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354</v>
      </c>
      <c r="N75" s="55" t="n">
        <v>46259</v>
      </c>
      <c r="O75" s="55" t="n">
        <v>46260</v>
      </c>
      <c r="P75" s="50" t="s">
        <v>124</v>
      </c>
      <c r="Q75" s="52" t="n">
        <v>-8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5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46257</v>
      </c>
      <c r="O76" s="45" t="n">
        <v>46261</v>
      </c>
      <c r="P76" s="46" t="s">
        <v>115</v>
      </c>
      <c r="Q76" s="37" t="n">
        <v>-7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362</v>
      </c>
      <c r="N77" s="55" t="n">
        <v>46257</v>
      </c>
      <c r="O77" s="55" t="n">
        <v>46258</v>
      </c>
      <c r="P77" s="50" t="s">
        <v>124</v>
      </c>
      <c r="Q77" s="52" t="n">
        <v>-4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366</v>
      </c>
      <c r="N78" s="55" t="n">
        <v>46257</v>
      </c>
      <c r="O78" s="55" t="n">
        <v>46260</v>
      </c>
      <c r="P78" s="50" t="s">
        <v>124</v>
      </c>
      <c r="Q78" s="52" t="n">
        <v>-7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370</v>
      </c>
      <c r="N79" s="55" t="n">
        <v>46259</v>
      </c>
      <c r="O79" s="55" t="n">
        <v>46261</v>
      </c>
      <c r="P79" s="50" t="s">
        <v>124</v>
      </c>
      <c r="Q79" s="52" t="n">
        <v>-7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374</v>
      </c>
      <c r="N80" s="55" t="n">
        <v>46260</v>
      </c>
      <c r="O80" s="55" t="n">
        <v>46261</v>
      </c>
      <c r="P80" s="50" t="s">
        <v>124</v>
      </c>
      <c r="Q80" s="52" t="n">
        <v>-7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378</v>
      </c>
      <c r="N81" s="55" t="n">
        <v>46261</v>
      </c>
      <c r="O81" s="55" t="n">
        <v>46261</v>
      </c>
      <c r="P81" s="50" t="s">
        <v>124</v>
      </c>
      <c r="Q81" s="52" t="n">
        <v>-7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46259</v>
      </c>
      <c r="O82" s="45" t="n">
        <v>46261</v>
      </c>
      <c r="P82" s="46" t="s">
        <v>115</v>
      </c>
      <c r="Q82" s="37" t="n">
        <v>-4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386</v>
      </c>
      <c r="N83" s="55" t="n">
        <v>46259</v>
      </c>
      <c r="O83" s="55" t="n">
        <v>46260</v>
      </c>
      <c r="P83" s="50" t="s">
        <v>124</v>
      </c>
      <c r="Q83" s="52" t="n">
        <v>-4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390</v>
      </c>
      <c r="N84" s="55" t="n">
        <v>46260</v>
      </c>
      <c r="O84" s="55" t="n">
        <v>46261</v>
      </c>
      <c r="P84" s="50" t="s">
        <v>124</v>
      </c>
      <c r="Q84" s="52" t="n">
        <v>-4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46257</v>
      </c>
      <c r="O85" s="45" t="n">
        <v>46260</v>
      </c>
      <c r="P85" s="46" t="s">
        <v>115</v>
      </c>
      <c r="Q85" s="37" t="n">
        <v>-6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398</v>
      </c>
      <c r="N86" s="55" t="n">
        <v>46257</v>
      </c>
      <c r="O86" s="55" t="n">
        <v>46259</v>
      </c>
      <c r="P86" s="50" t="s">
        <v>124</v>
      </c>
      <c r="Q86" s="52" t="n">
        <v>-3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402</v>
      </c>
      <c r="N87" s="55" t="n">
        <v>46258</v>
      </c>
      <c r="O87" s="55" t="n">
        <v>46260</v>
      </c>
      <c r="P87" s="50" t="s">
        <v>124</v>
      </c>
      <c r="Q87" s="52" t="n">
        <v>-5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406</v>
      </c>
      <c r="N88" s="55" t="n">
        <v>46259</v>
      </c>
      <c r="O88" s="55" t="n">
        <v>46260</v>
      </c>
      <c r="P88" s="50" t="s">
        <v>124</v>
      </c>
      <c r="Q88" s="52" t="n">
        <v>-6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410</v>
      </c>
      <c r="N89" s="55" t="n">
        <v>46260</v>
      </c>
      <c r="O89" s="55" t="n">
        <v>46260</v>
      </c>
      <c r="P89" s="50" t="s">
        <v>124</v>
      </c>
      <c r="Q89" s="52" t="n">
        <v>-6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46258</v>
      </c>
      <c r="O90" s="45" t="n">
        <v>46261</v>
      </c>
      <c r="P90" s="46" t="s">
        <v>115</v>
      </c>
      <c r="Q90" s="37" t="n">
        <v>-6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8" t="s">
        <v>415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46258</v>
      </c>
      <c r="O91" s="55" t="n">
        <v>46260</v>
      </c>
      <c r="P91" s="50" t="s">
        <v>124</v>
      </c>
      <c r="Q91" s="52" t="n">
        <v>-3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415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46260</v>
      </c>
      <c r="O92" s="55" t="n">
        <v>46261</v>
      </c>
      <c r="P92" s="50" t="s">
        <v>124</v>
      </c>
      <c r="Q92" s="52" t="n">
        <v>-6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415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46258</v>
      </c>
      <c r="O93" s="55" t="n">
        <v>46260</v>
      </c>
      <c r="P93" s="50" t="s">
        <v>124</v>
      </c>
      <c r="Q93" s="52" t="n">
        <v>-2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415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46260</v>
      </c>
      <c r="O94" s="55" t="n">
        <v>46261</v>
      </c>
      <c r="P94" s="50" t="s">
        <v>124</v>
      </c>
      <c r="Q94" s="52" t="n">
        <v>-6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415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46261</v>
      </c>
      <c r="O95" s="55" t="n">
        <v>46261</v>
      </c>
      <c r="P95" s="50" t="s">
        <v>124</v>
      </c>
      <c r="Q95" s="52" t="n">
        <v>-6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415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46259</v>
      </c>
      <c r="O96" s="45" t="n">
        <v>46261</v>
      </c>
      <c r="P96" s="46" t="s">
        <v>115</v>
      </c>
      <c r="Q96" s="37" t="n">
        <v>-6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8" t="s">
        <v>415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46259</v>
      </c>
      <c r="O97" s="55" t="n">
        <v>46261</v>
      </c>
      <c r="P97" s="50" t="s">
        <v>124</v>
      </c>
      <c r="Q97" s="52" t="n">
        <v>-5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415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46260</v>
      </c>
      <c r="O98" s="55" t="n">
        <v>46261</v>
      </c>
      <c r="P98" s="50" t="s">
        <v>124</v>
      </c>
      <c r="Q98" s="52" t="n">
        <v>-6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415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46261</v>
      </c>
      <c r="O99" s="55" t="n">
        <v>46261</v>
      </c>
      <c r="P99" s="50" t="s">
        <v>124</v>
      </c>
      <c r="Q99" s="52" t="n">
        <v>-6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415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299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46260</v>
      </c>
      <c r="O100" s="45" t="n">
        <v>46262</v>
      </c>
      <c r="P100" s="46" t="s">
        <v>115</v>
      </c>
      <c r="Q100" s="37" t="n">
        <v>-6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8" t="s">
        <v>415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46260</v>
      </c>
      <c r="O101" s="55" t="n">
        <v>46260</v>
      </c>
      <c r="P101" s="50" t="s">
        <v>124</v>
      </c>
      <c r="Q101" s="52" t="n">
        <v>-4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415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461</v>
      </c>
      <c r="N102" s="55" t="n">
        <v>46260</v>
      </c>
      <c r="O102" s="55" t="n">
        <v>46261</v>
      </c>
      <c r="P102" s="50" t="s">
        <v>124</v>
      </c>
      <c r="Q102" s="52" t="n">
        <v>-6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415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468</v>
      </c>
      <c r="N104" s="55" t="n">
        <v>46261</v>
      </c>
      <c r="O104" s="55" t="n">
        <v>46262</v>
      </c>
      <c r="P104" s="50" t="s">
        <v>124</v>
      </c>
      <c r="Q104" s="52" t="n">
        <v>-5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415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472</v>
      </c>
      <c r="N105" s="55" t="n">
        <v>46261</v>
      </c>
      <c r="O105" s="55" t="n">
        <v>46262</v>
      </c>
      <c r="P105" s="50" t="s">
        <v>124</v>
      </c>
      <c r="Q105" s="52" t="n">
        <v>-6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415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476</v>
      </c>
      <c r="N106" s="55" t="n">
        <v>46262</v>
      </c>
      <c r="O106" s="55" t="n">
        <v>46262</v>
      </c>
      <c r="P106" s="50" t="s">
        <v>124</v>
      </c>
      <c r="Q106" s="52" t="n">
        <v>-6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415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299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46261</v>
      </c>
      <c r="O107" s="45" t="n">
        <v>46262</v>
      </c>
      <c r="P107" s="46" t="s">
        <v>115</v>
      </c>
      <c r="Q107" s="37" t="n">
        <v>-7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8" t="s">
        <v>415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483</v>
      </c>
      <c r="N108" s="55" t="n">
        <v>46261</v>
      </c>
      <c r="O108" s="55" t="n">
        <v>46262</v>
      </c>
      <c r="P108" s="50" t="s">
        <v>124</v>
      </c>
      <c r="Q108" s="52" t="n">
        <v>-6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415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487</v>
      </c>
      <c r="N109" s="55" t="n">
        <v>46262</v>
      </c>
      <c r="O109" s="55" t="n">
        <v>46262</v>
      </c>
      <c r="P109" s="50" t="s">
        <v>124</v>
      </c>
      <c r="Q109" s="52" t="n">
        <v>-7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415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491</v>
      </c>
      <c r="N110" s="55" t="n">
        <v>46261</v>
      </c>
      <c r="O110" s="55" t="n">
        <v>46262</v>
      </c>
      <c r="P110" s="50" t="s">
        <v>124</v>
      </c>
      <c r="Q110" s="52" t="n">
        <v>-6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415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46263</v>
      </c>
      <c r="M111" s="43"/>
      <c r="N111" s="44" t="n">
        <v>46263</v>
      </c>
      <c r="O111" s="45" t="n">
        <v>46263</v>
      </c>
      <c r="P111" s="46" t="s">
        <v>60</v>
      </c>
      <c r="Q111" s="37" t="n">
        <v>-7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500</v>
      </c>
      <c r="N112" s="55" t="n">
        <v>46263</v>
      </c>
      <c r="O112" s="55" t="n">
        <v>46263</v>
      </c>
      <c r="P112" s="50" t="s">
        <v>124</v>
      </c>
      <c r="Q112" s="52" t="n">
        <v>-7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504</v>
      </c>
      <c r="N113" s="55" t="n">
        <v>46263</v>
      </c>
      <c r="O113" s="55" t="n">
        <v>46263</v>
      </c>
      <c r="P113" s="50" t="s">
        <v>124</v>
      </c>
      <c r="Q113" s="52" t="n">
        <v>-7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46267</v>
      </c>
      <c r="O114" s="33" t="n">
        <v>46412</v>
      </c>
      <c r="P114" s="34" t="s">
        <v>75</v>
      </c>
      <c r="Q114" s="31" t="n">
        <v>79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299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46345</v>
      </c>
      <c r="O115" s="45" t="n">
        <v>46345</v>
      </c>
      <c r="P115" s="46" t="s">
        <v>286</v>
      </c>
      <c r="Q115" s="37" t="n">
        <v>72</v>
      </c>
      <c r="R115" s="39"/>
      <c r="S115" s="39" t="n">
        <v>1</v>
      </c>
      <c r="T115" s="39" t="s">
        <v>287</v>
      </c>
      <c r="U115" s="58" t="n">
        <v>46345.0115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514</v>
      </c>
      <c r="N116" s="55" t="n">
        <v>46345</v>
      </c>
      <c r="O116" s="55" t="n">
        <v>46345</v>
      </c>
      <c r="P116" s="50" t="s">
        <v>286</v>
      </c>
      <c r="Q116" s="52" t="n">
        <v>74</v>
      </c>
      <c r="R116" s="52"/>
      <c r="S116" s="52" t="n">
        <v>2</v>
      </c>
      <c r="T116" s="52" t="s">
        <v>287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518</v>
      </c>
      <c r="N117" s="55" t="n">
        <v>46345</v>
      </c>
      <c r="O117" s="55" t="n">
        <v>46345</v>
      </c>
      <c r="P117" s="50" t="s">
        <v>286</v>
      </c>
      <c r="Q117" s="52" t="n">
        <v>73</v>
      </c>
      <c r="R117" s="52"/>
      <c r="S117" s="52" t="n">
        <v>2</v>
      </c>
      <c r="T117" s="52" t="s">
        <v>287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522</v>
      </c>
      <c r="N118" s="55" t="n">
        <v>46345</v>
      </c>
      <c r="O118" s="55" t="n">
        <v>46345</v>
      </c>
      <c r="P118" s="50" t="s">
        <v>286</v>
      </c>
      <c r="Q118" s="52" t="n">
        <v>73</v>
      </c>
      <c r="R118" s="52"/>
      <c r="S118" s="52" t="n">
        <v>2</v>
      </c>
      <c r="T118" s="52" t="s">
        <v>287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526</v>
      </c>
      <c r="N119" s="55" t="n">
        <v>46345</v>
      </c>
      <c r="O119" s="55" t="n">
        <v>46345</v>
      </c>
      <c r="P119" s="50" t="s">
        <v>286</v>
      </c>
      <c r="Q119" s="52" t="n">
        <v>73</v>
      </c>
      <c r="R119" s="52"/>
      <c r="S119" s="52" t="n">
        <v>2</v>
      </c>
      <c r="T119" s="52" t="s">
        <v>287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530</v>
      </c>
      <c r="N120" s="55" t="n">
        <v>46345</v>
      </c>
      <c r="O120" s="55" t="n">
        <v>46345</v>
      </c>
      <c r="P120" s="50" t="s">
        <v>286</v>
      </c>
      <c r="Q120" s="52" t="n">
        <v>72</v>
      </c>
      <c r="R120" s="52"/>
      <c r="S120" s="52" t="n">
        <v>2</v>
      </c>
      <c r="T120" s="52" t="s">
        <v>287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534</v>
      </c>
      <c r="N121" s="55" t="n">
        <v>46345</v>
      </c>
      <c r="O121" s="55" t="n">
        <v>46345</v>
      </c>
      <c r="P121" s="50" t="s">
        <v>286</v>
      </c>
      <c r="Q121" s="52" t="n">
        <v>72</v>
      </c>
      <c r="R121" s="52"/>
      <c r="S121" s="52" t="n">
        <v>2</v>
      </c>
      <c r="T121" s="52" t="s">
        <v>287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46321</v>
      </c>
      <c r="O122" s="45" t="n">
        <v>46321</v>
      </c>
      <c r="P122" s="46" t="s">
        <v>286</v>
      </c>
      <c r="Q122" s="37" t="n">
        <v>48</v>
      </c>
      <c r="R122" s="39"/>
      <c r="S122" s="39" t="n">
        <v>1</v>
      </c>
      <c r="T122" s="39" t="s">
        <v>287</v>
      </c>
      <c r="U122" s="58" t="n">
        <v>46321.0122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-2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46399</v>
      </c>
      <c r="O124" s="45" t="n">
        <v>46412</v>
      </c>
      <c r="P124" s="46" t="s">
        <v>286</v>
      </c>
      <c r="Q124" s="37" t="n">
        <v>79</v>
      </c>
      <c r="R124" s="39"/>
      <c r="S124" s="39" t="n">
        <v>1</v>
      </c>
      <c r="T124" s="39" t="s">
        <v>287</v>
      </c>
      <c r="U124" s="58" t="n">
        <v>46399.0124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549</v>
      </c>
      <c r="N125" s="55" t="n">
        <v>46399</v>
      </c>
      <c r="O125" s="55" t="n">
        <v>46403</v>
      </c>
      <c r="P125" s="50" t="s">
        <v>286</v>
      </c>
      <c r="Q125" s="52" t="n">
        <v>79</v>
      </c>
      <c r="R125" s="52"/>
      <c r="S125" s="52" t="n">
        <v>2</v>
      </c>
      <c r="T125" s="52" t="s">
        <v>287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553</v>
      </c>
      <c r="N126" s="55" t="n">
        <v>46402</v>
      </c>
      <c r="O126" s="55" t="n">
        <v>46409</v>
      </c>
      <c r="P126" s="50" t="s">
        <v>286</v>
      </c>
      <c r="Q126" s="52" t="n">
        <v>79</v>
      </c>
      <c r="R126" s="52"/>
      <c r="S126" s="52" t="n">
        <v>2</v>
      </c>
      <c r="T126" s="52" t="s">
        <v>287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557</v>
      </c>
      <c r="N127" s="55" t="n">
        <v>46409</v>
      </c>
      <c r="O127" s="55" t="n">
        <v>46412</v>
      </c>
      <c r="P127" s="50" t="s">
        <v>286</v>
      </c>
      <c r="Q127" s="52" t="n">
        <v>79</v>
      </c>
      <c r="R127" s="52"/>
      <c r="S127" s="52" t="n">
        <v>2</v>
      </c>
      <c r="T127" s="52" t="s">
        <v>287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299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46356</v>
      </c>
      <c r="O128" s="45" t="n">
        <v>46356</v>
      </c>
      <c r="P128" s="46" t="s">
        <v>286</v>
      </c>
      <c r="Q128" s="37" t="n">
        <v>73</v>
      </c>
      <c r="R128" s="39"/>
      <c r="S128" s="39" t="n">
        <v>1</v>
      </c>
      <c r="T128" s="39" t="s">
        <v>287</v>
      </c>
      <c r="U128" s="58" t="n">
        <v>46356.0128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46357</v>
      </c>
      <c r="O130" s="45" t="n">
        <v>46364</v>
      </c>
      <c r="P130" s="46" t="s">
        <v>286</v>
      </c>
      <c r="Q130" s="37" t="n">
        <v>81</v>
      </c>
      <c r="R130" s="39"/>
      <c r="S130" s="39" t="n">
        <v>1</v>
      </c>
      <c r="T130" s="39" t="s">
        <v>287</v>
      </c>
      <c r="U130" s="58" t="n">
        <v>46357.013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46396</v>
      </c>
      <c r="O131" s="45" t="n">
        <v>46398</v>
      </c>
      <c r="P131" s="46" t="s">
        <v>286</v>
      </c>
      <c r="Q131" s="37" t="n">
        <v>79</v>
      </c>
      <c r="R131" s="39"/>
      <c r="S131" s="39" t="n">
        <v>1</v>
      </c>
      <c r="T131" s="39" t="s">
        <v>287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1</v>
      </c>
      <c r="E139" s="66" t="n">
        <v>240</v>
      </c>
      <c r="I139" s="67" t="n">
        <v>136.8</v>
      </c>
      <c r="J139" s="68" t="n">
        <v>1</v>
      </c>
      <c r="K139" s="37" t="s">
        <v>586</v>
      </c>
      <c r="L139" s="37" t="s">
        <v>586</v>
      </c>
      <c r="O139" s="37"/>
      <c r="P139" s="69" t="s">
        <v>587</v>
      </c>
    </row>
    <row r="140" customFormat="false" ht="15" hidden="false" customHeight="true" outlineLevel="0" collapsed="false">
      <c r="B140" s="65" t="s">
        <v>588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589</v>
      </c>
    </row>
    <row r="141" customFormat="false" ht="15" hidden="false" customHeight="true" outlineLevel="0" collapsed="false">
      <c r="B141" s="70" t="s">
        <v>590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591</v>
      </c>
    </row>
    <row r="142" customFormat="false" ht="15" hidden="false" customHeight="true" outlineLevel="0" collapsed="false">
      <c r="B142" s="72" t="s">
        <v>592</v>
      </c>
      <c r="D142" s="73" t="n">
        <v>1</v>
      </c>
      <c r="E142" s="73" t="n">
        <v>240</v>
      </c>
      <c r="I142" s="74" t="n">
        <v>136.8</v>
      </c>
      <c r="J142" s="75" t="n">
        <v>1</v>
      </c>
      <c r="K142" s="76" t="s">
        <v>586</v>
      </c>
      <c r="L142" s="76" t="s">
        <v>586</v>
      </c>
      <c r="O142" s="76"/>
      <c r="P142" s="72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7" t="s">
        <v>594</v>
      </c>
    </row>
    <row r="146" customFormat="false" ht="15" hidden="false" customHeight="true" outlineLevel="0" collapsed="false">
      <c r="B146" s="17" t="s">
        <v>595</v>
      </c>
      <c r="D146" s="78" t="s">
        <v>596</v>
      </c>
      <c r="E146" s="78"/>
      <c r="F146" s="78"/>
      <c r="G146" s="78"/>
      <c r="H146" s="78"/>
      <c r="I146" s="78"/>
      <c r="J146" s="78"/>
      <c r="K146" s="19" t="s">
        <v>597</v>
      </c>
    </row>
    <row r="147" customFormat="false" ht="15" hidden="false" customHeight="true" outlineLevel="0" collapsed="false">
      <c r="B147" s="79" t="s">
        <v>598</v>
      </c>
      <c r="E147" s="80" t="s">
        <v>599</v>
      </c>
      <c r="I147" s="79" t="s">
        <v>600</v>
      </c>
    </row>
    <row r="148" customFormat="false" ht="24" hidden="false" customHeight="true" outlineLevel="0" collapsed="false">
      <c r="A148" s="81" t="s">
        <v>601</v>
      </c>
      <c r="B148" s="82" t="s">
        <v>602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603</v>
      </c>
      <c r="B149" s="82" t="s">
        <v>604</v>
      </c>
      <c r="E149" s="83" t="n">
        <v>25</v>
      </c>
      <c r="I149" s="61" t="s">
        <v>114</v>
      </c>
    </row>
    <row r="150" customFormat="false" ht="24" hidden="false" customHeight="true" outlineLevel="0" collapsed="false">
      <c r="A150" s="81" t="s">
        <v>605</v>
      </c>
      <c r="B150" s="82" t="s">
        <v>606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607</v>
      </c>
      <c r="B151" s="82" t="s">
        <v>608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609</v>
      </c>
      <c r="B152" s="82" t="s">
        <v>610</v>
      </c>
      <c r="E152" s="83" t="n">
        <v>5</v>
      </c>
      <c r="I152" s="61" t="s">
        <v>114</v>
      </c>
    </row>
    <row r="153" customFormat="false" ht="24" hidden="false" customHeight="true" outlineLevel="0" collapsed="false">
      <c r="A153" s="81" t="s">
        <v>611</v>
      </c>
      <c r="B153" s="82" t="s">
        <v>612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613</v>
      </c>
      <c r="I154" s="85" t="n">
        <v>1</v>
      </c>
    </row>
    <row r="156" customFormat="false" ht="15" hidden="false" customHeight="true" outlineLevel="0" collapsed="false">
      <c r="A156" s="62" t="s">
        <v>614</v>
      </c>
      <c r="D156" s="19" t="s">
        <v>615</v>
      </c>
    </row>
    <row r="157" customFormat="false" ht="15" hidden="false" customHeight="true" outlineLevel="0" collapsed="false">
      <c r="B157" s="17" t="s">
        <v>616</v>
      </c>
      <c r="D157" s="86" t="s">
        <v>617</v>
      </c>
    </row>
    <row r="158" customFormat="false" ht="15" hidden="false" customHeight="true" outlineLevel="0" collapsed="false">
      <c r="B158" s="84" t="s">
        <v>618</v>
      </c>
      <c r="D158" s="86" t="s">
        <v>619</v>
      </c>
    </row>
    <row r="159" customFormat="false" ht="15" hidden="false" customHeight="true" outlineLevel="0" collapsed="false">
      <c r="B159" s="84" t="s">
        <v>620</v>
      </c>
      <c r="D159" s="86" t="s">
        <v>621</v>
      </c>
    </row>
    <row r="160" customFormat="false" ht="15" hidden="false" customHeight="true" outlineLevel="0" collapsed="false">
      <c r="B160" s="17" t="s">
        <v>622</v>
      </c>
      <c r="D160" s="86" t="s">
        <v>623</v>
      </c>
    </row>
    <row r="161" customFormat="false" ht="15" hidden="false" customHeight="true" outlineLevel="0" collapsed="false">
      <c r="B161" s="17" t="s">
        <v>624</v>
      </c>
      <c r="D161" s="86" t="s">
        <v>625</v>
      </c>
    </row>
    <row r="162" customFormat="false" ht="15" hidden="false" customHeight="true" outlineLevel="0" collapsed="false">
      <c r="B162" s="17" t="s">
        <v>626</v>
      </c>
      <c r="D162" s="86" t="s">
        <v>627</v>
      </c>
    </row>
    <row r="163" customFormat="false" ht="15" hidden="false" customHeight="true" outlineLevel="0" collapsed="false">
      <c r="B163" s="17" t="s">
        <v>628</v>
      </c>
      <c r="D163" s="86" t="s">
        <v>629</v>
      </c>
    </row>
    <row r="164" customFormat="false" ht="15" hidden="false" customHeight="true" outlineLevel="0" collapsed="false">
      <c r="B164" s="84" t="s">
        <v>630</v>
      </c>
      <c r="D164" s="87" t="s">
        <v>631</v>
      </c>
    </row>
    <row r="166" customFormat="false" ht="15" hidden="false" customHeight="true" outlineLevel="0" collapsed="false">
      <c r="A166" s="88" t="s">
        <v>52</v>
      </c>
      <c r="B166" s="89" t="s">
        <v>632</v>
      </c>
      <c r="C166" s="90"/>
      <c r="D166" s="89" t="s">
        <v>633</v>
      </c>
      <c r="E166" s="90"/>
      <c r="F166" s="90"/>
      <c r="G166" s="89" t="s">
        <v>634</v>
      </c>
    </row>
    <row r="167" customFormat="false" ht="15" hidden="false" customHeight="true" outlineLevel="0" collapsed="false">
      <c r="A167" s="91" t="s">
        <v>190</v>
      </c>
      <c r="B167" s="38" t="s">
        <v>191</v>
      </c>
      <c r="D167" s="38" t="s">
        <v>635</v>
      </c>
      <c r="G167" s="38" t="s">
        <v>636</v>
      </c>
    </row>
    <row r="168" customFormat="false" ht="15" hidden="false" customHeight="true" outlineLevel="0" collapsed="false">
      <c r="A168" s="91" t="s">
        <v>296</v>
      </c>
      <c r="B168" s="39" t="s">
        <v>637</v>
      </c>
      <c r="D168" s="38" t="s">
        <v>638</v>
      </c>
      <c r="G168" s="39" t="s">
        <v>639</v>
      </c>
    </row>
    <row r="169" customFormat="false" ht="15" hidden="false" customHeight="true" outlineLevel="0" collapsed="false">
      <c r="A169" s="91" t="s">
        <v>331</v>
      </c>
      <c r="B169" s="39" t="s">
        <v>640</v>
      </c>
      <c r="D169" s="38" t="s">
        <v>641</v>
      </c>
      <c r="G169" s="39" t="s">
        <v>642</v>
      </c>
    </row>
    <row r="170" customFormat="false" ht="15" hidden="false" customHeight="true" outlineLevel="0" collapsed="false">
      <c r="A170" s="91" t="s">
        <v>355</v>
      </c>
      <c r="B170" s="39" t="s">
        <v>643</v>
      </c>
      <c r="D170" s="38" t="s">
        <v>644</v>
      </c>
      <c r="G170" s="38" t="s">
        <v>645</v>
      </c>
    </row>
    <row r="171" customFormat="false" ht="15" hidden="false" customHeight="true" outlineLevel="0" collapsed="false">
      <c r="A171" s="91" t="s">
        <v>379</v>
      </c>
      <c r="B171" s="38" t="s">
        <v>646</v>
      </c>
      <c r="D171" s="38" t="s">
        <v>647</v>
      </c>
      <c r="G171" s="38" t="s">
        <v>623</v>
      </c>
    </row>
    <row r="172" customFormat="false" ht="15" hidden="false" customHeight="true" outlineLevel="0" collapsed="false">
      <c r="A172" s="91" t="s">
        <v>391</v>
      </c>
      <c r="B172" s="38" t="s">
        <v>620</v>
      </c>
      <c r="D172" s="38" t="s">
        <v>648</v>
      </c>
      <c r="G172" s="38" t="s">
        <v>649</v>
      </c>
    </row>
    <row r="173" customFormat="false" ht="15" hidden="false" customHeight="true" outlineLevel="0" collapsed="false">
      <c r="A173" s="91" t="s">
        <v>411</v>
      </c>
      <c r="B173" s="39" t="s">
        <v>650</v>
      </c>
      <c r="D173" s="38" t="s">
        <v>651</v>
      </c>
      <c r="G173" s="39" t="s">
        <v>652</v>
      </c>
    </row>
    <row r="174" customFormat="false" ht="15" hidden="false" customHeight="true" outlineLevel="0" collapsed="false">
      <c r="A174" s="91" t="s">
        <v>436</v>
      </c>
      <c r="B174" s="39" t="s">
        <v>653</v>
      </c>
      <c r="D174" s="38" t="s">
        <v>654</v>
      </c>
      <c r="G174" s="38" t="s">
        <v>655</v>
      </c>
    </row>
    <row r="175" customFormat="false" ht="15" hidden="false" customHeight="true" outlineLevel="0" collapsed="false">
      <c r="A175" s="91" t="s">
        <v>451</v>
      </c>
      <c r="B175" s="39" t="s">
        <v>656</v>
      </c>
      <c r="D175" s="38" t="s">
        <v>657</v>
      </c>
      <c r="G175" s="39" t="s">
        <v>658</v>
      </c>
    </row>
    <row r="176" customFormat="false" ht="15" hidden="false" customHeight="true" outlineLevel="0" collapsed="false">
      <c r="A176" s="91" t="s">
        <v>477</v>
      </c>
      <c r="B176" s="38" t="s">
        <v>659</v>
      </c>
      <c r="D176" s="38" t="s">
        <v>660</v>
      </c>
      <c r="G176" s="38" t="s">
        <v>661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92" t="s">
        <v>662</v>
      </c>
    </row>
    <row r="2" customFormat="false" ht="15" hidden="false" customHeight="false" outlineLevel="0" collapsed="false">
      <c r="B2" s="93" t="s">
        <v>663</v>
      </c>
      <c r="C2" s="94" t="s">
        <v>664</v>
      </c>
    </row>
    <row r="3" customFormat="false" ht="15" hidden="false" customHeight="false" outlineLevel="0" collapsed="false">
      <c r="B3" s="93" t="s">
        <v>665</v>
      </c>
      <c r="C3" s="94" t="s">
        <v>666</v>
      </c>
    </row>
    <row r="4" customFormat="false" ht="15" hidden="false" customHeight="false" outlineLevel="0" collapsed="false">
      <c r="B4" s="95" t="s">
        <v>667</v>
      </c>
      <c r="C4" s="94" t="s">
        <v>668</v>
      </c>
    </row>
    <row r="5" customFormat="false" ht="15" hidden="false" customHeight="false" outlineLevel="0" collapsed="false">
      <c r="H5" s="96" t="s">
        <v>669</v>
      </c>
      <c r="I5" s="96"/>
      <c r="J5" s="96" t="s">
        <v>670</v>
      </c>
      <c r="K5" s="96"/>
      <c r="L5" s="96"/>
      <c r="M5" s="96"/>
      <c r="N5" s="96"/>
      <c r="O5" s="96" t="s">
        <v>671</v>
      </c>
      <c r="P5" s="96"/>
      <c r="Q5" s="96"/>
      <c r="R5" s="96"/>
      <c r="S5" s="96" t="s">
        <v>672</v>
      </c>
      <c r="T5" s="96"/>
      <c r="U5" s="96"/>
      <c r="V5" s="96"/>
      <c r="W5" s="96"/>
      <c r="X5" s="96" t="s">
        <v>673</v>
      </c>
      <c r="Y5" s="96"/>
      <c r="Z5" s="96"/>
      <c r="AA5" s="96"/>
      <c r="AB5" s="96" t="s">
        <v>674</v>
      </c>
      <c r="AC5" s="96"/>
      <c r="AD5" s="96"/>
      <c r="AE5" s="96"/>
      <c r="AF5" s="96" t="s">
        <v>675</v>
      </c>
      <c r="AG5" s="96"/>
      <c r="AH5" s="96"/>
      <c r="AI5" s="96"/>
      <c r="AJ5" s="96"/>
      <c r="AK5" s="96" t="s">
        <v>676</v>
      </c>
      <c r="AL5" s="96"/>
      <c r="AM5" s="96"/>
      <c r="AN5" s="96"/>
      <c r="AO5" s="96" t="s">
        <v>677</v>
      </c>
      <c r="AP5" s="96"/>
      <c r="AQ5" s="96"/>
      <c r="AR5" s="96"/>
      <c r="AS5" s="96" t="s">
        <v>678</v>
      </c>
      <c r="AT5" s="96"/>
      <c r="AU5" s="96"/>
      <c r="AV5" s="96"/>
      <c r="AW5" s="96" t="s">
        <v>679</v>
      </c>
      <c r="AX5" s="96"/>
      <c r="AY5" s="96"/>
      <c r="AZ5" s="96"/>
      <c r="BA5" s="96"/>
      <c r="BB5" s="96" t="s">
        <v>680</v>
      </c>
      <c r="BC5" s="96"/>
      <c r="BD5" s="96"/>
      <c r="BE5" s="96"/>
      <c r="BF5" s="96" t="s">
        <v>681</v>
      </c>
      <c r="BG5" s="96"/>
      <c r="BH5" s="96"/>
      <c r="BI5" s="96"/>
      <c r="BJ5" s="96"/>
      <c r="BK5" s="96" t="s">
        <v>682</v>
      </c>
      <c r="BL5" s="96"/>
      <c r="BM5" s="96"/>
      <c r="BN5" s="96"/>
      <c r="BO5" s="96" t="s">
        <v>683</v>
      </c>
      <c r="BP5" s="96"/>
      <c r="BQ5" s="96"/>
      <c r="BR5" s="96"/>
      <c r="BS5" s="96" t="s">
        <v>684</v>
      </c>
      <c r="BT5" s="96"/>
      <c r="BU5" s="96"/>
      <c r="BV5" s="96"/>
      <c r="BW5" s="96"/>
      <c r="BX5" s="96" t="s">
        <v>685</v>
      </c>
      <c r="BY5" s="96"/>
    </row>
    <row r="6" customFormat="false" ht="43.5" hidden="false" customHeight="true" outlineLevel="0" collapsed="false">
      <c r="A6" s="97" t="s">
        <v>686</v>
      </c>
      <c r="B6" s="97" t="s">
        <v>687</v>
      </c>
      <c r="C6" s="97" t="s">
        <v>688</v>
      </c>
      <c r="D6" s="97" t="s">
        <v>689</v>
      </c>
      <c r="E6" s="97" t="s">
        <v>690</v>
      </c>
      <c r="F6" s="97" t="s">
        <v>691</v>
      </c>
      <c r="G6" s="97" t="s">
        <v>692</v>
      </c>
      <c r="H6" s="98" t="n">
        <v>46160</v>
      </c>
      <c r="I6" s="98" t="n">
        <v>46167</v>
      </c>
      <c r="J6" s="98" t="n">
        <v>46174</v>
      </c>
      <c r="K6" s="98" t="n">
        <v>46181</v>
      </c>
      <c r="L6" s="98" t="n">
        <v>46188</v>
      </c>
      <c r="M6" s="98" t="n">
        <v>46195</v>
      </c>
      <c r="N6" s="98" t="n">
        <v>46202</v>
      </c>
      <c r="O6" s="98" t="n">
        <v>46209</v>
      </c>
      <c r="P6" s="98" t="n">
        <v>46216</v>
      </c>
      <c r="Q6" s="98" t="n">
        <v>46223</v>
      </c>
      <c r="R6" s="98" t="n">
        <v>46230</v>
      </c>
      <c r="S6" s="98" t="n">
        <v>46237</v>
      </c>
      <c r="T6" s="98" t="n">
        <v>46244</v>
      </c>
      <c r="U6" s="98" t="n">
        <v>46251</v>
      </c>
      <c r="V6" s="98" t="n">
        <v>46258</v>
      </c>
      <c r="W6" s="98" t="n">
        <v>46265</v>
      </c>
      <c r="X6" s="98" t="n">
        <v>46272</v>
      </c>
      <c r="Y6" s="98" t="n">
        <v>46279</v>
      </c>
      <c r="Z6" s="98" t="n">
        <v>46286</v>
      </c>
      <c r="AA6" s="98" t="n">
        <v>46293</v>
      </c>
      <c r="AB6" s="98" t="n">
        <v>46300</v>
      </c>
      <c r="AC6" s="98" t="n">
        <v>46307</v>
      </c>
      <c r="AD6" s="98" t="n">
        <v>46314</v>
      </c>
      <c r="AE6" s="98" t="n">
        <v>46321</v>
      </c>
      <c r="AF6" s="98" t="n">
        <v>46328</v>
      </c>
      <c r="AG6" s="98" t="n">
        <v>46335</v>
      </c>
      <c r="AH6" s="98" t="n">
        <v>46342</v>
      </c>
      <c r="AI6" s="98" t="n">
        <v>46349</v>
      </c>
      <c r="AJ6" s="98" t="n">
        <v>46356</v>
      </c>
      <c r="AK6" s="98" t="n">
        <v>46363</v>
      </c>
      <c r="AL6" s="98" t="n">
        <v>46370</v>
      </c>
      <c r="AM6" s="98" t="n">
        <v>46377</v>
      </c>
      <c r="AN6" s="98" t="n">
        <v>46384</v>
      </c>
      <c r="AO6" s="98" t="n">
        <v>46391</v>
      </c>
      <c r="AP6" s="98" t="n">
        <v>46398</v>
      </c>
      <c r="AQ6" s="98" t="n">
        <v>46405</v>
      </c>
      <c r="AR6" s="98" t="n">
        <v>46412</v>
      </c>
      <c r="AS6" s="98" t="n">
        <v>46419</v>
      </c>
      <c r="AT6" s="98" t="n">
        <v>46426</v>
      </c>
      <c r="AU6" s="98" t="n">
        <v>46433</v>
      </c>
      <c r="AV6" s="98" t="n">
        <v>46440</v>
      </c>
      <c r="AW6" s="98" t="n">
        <v>46447</v>
      </c>
      <c r="AX6" s="98" t="n">
        <v>46454</v>
      </c>
      <c r="AY6" s="98" t="n">
        <v>46461</v>
      </c>
      <c r="AZ6" s="98" t="n">
        <v>46468</v>
      </c>
      <c r="BA6" s="98" t="n">
        <v>46475</v>
      </c>
      <c r="BB6" s="98" t="n">
        <v>46482</v>
      </c>
      <c r="BC6" s="98" t="n">
        <v>46489</v>
      </c>
      <c r="BD6" s="98" t="n">
        <v>46496</v>
      </c>
      <c r="BE6" s="98" t="n">
        <v>46503</v>
      </c>
      <c r="BF6" s="98" t="n">
        <v>46510</v>
      </c>
      <c r="BG6" s="98" t="n">
        <v>46517</v>
      </c>
      <c r="BH6" s="98" t="n">
        <v>46524</v>
      </c>
      <c r="BI6" s="98" t="n">
        <v>46531</v>
      </c>
      <c r="BJ6" s="98" t="n">
        <v>46538</v>
      </c>
      <c r="BK6" s="98" t="n">
        <v>46545</v>
      </c>
      <c r="BL6" s="98" t="n">
        <v>46552</v>
      </c>
      <c r="BM6" s="98" t="n">
        <v>46559</v>
      </c>
      <c r="BN6" s="98" t="n">
        <v>46566</v>
      </c>
      <c r="BO6" s="98" t="n">
        <v>46573</v>
      </c>
      <c r="BP6" s="98" t="n">
        <v>46580</v>
      </c>
      <c r="BQ6" s="98" t="n">
        <v>46587</v>
      </c>
      <c r="BR6" s="98" t="n">
        <v>46594</v>
      </c>
      <c r="BS6" s="98" t="n">
        <v>46601</v>
      </c>
      <c r="BT6" s="98" t="n">
        <v>46608</v>
      </c>
      <c r="BU6" s="98" t="n">
        <v>46615</v>
      </c>
      <c r="BV6" s="98" t="n">
        <v>46622</v>
      </c>
      <c r="BW6" s="98" t="n">
        <v>46629</v>
      </c>
      <c r="BX6" s="98" t="n">
        <v>46636</v>
      </c>
      <c r="BY6" s="98" t="n">
        <v>46643</v>
      </c>
    </row>
    <row r="7" customFormat="false" ht="15" hidden="false" customHeight="false" outlineLevel="0" collapsed="false">
      <c r="A7" s="99"/>
      <c r="B7" s="100" t="s">
        <v>173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</row>
    <row r="8" customFormat="false" ht="15" hidden="false" customHeight="false" outlineLevel="0" collapsed="false">
      <c r="A8" s="101" t="s">
        <v>174</v>
      </c>
      <c r="B8" s="101" t="s">
        <v>693</v>
      </c>
      <c r="C8" s="101" t="s">
        <v>694</v>
      </c>
      <c r="D8" s="102" t="n">
        <v>0.5</v>
      </c>
      <c r="E8" s="103" t="n">
        <v>46208</v>
      </c>
      <c r="F8" s="103" t="n">
        <v>46208</v>
      </c>
      <c r="G8" s="101" t="n">
        <v>1</v>
      </c>
      <c r="H8" s="104" t="n">
        <f aca="false">IF($E8="",0,IF(H$6+6&lt;$E8,0,IF(H$6&gt;$F8,0,$D8*(IF(H$6+6&lt;$F8,H$6+6,$F8)-IF(H$6&gt;$E8,H$6,$E8)+1)/($F8-$E8+1))))</f>
        <v>0</v>
      </c>
      <c r="I8" s="104" t="n">
        <f aca="false">IF($E8="",0,IF(I$6+6&lt;$E8,0,IF(I$6&gt;$F8,0,$D8*(IF(I$6+6&lt;$F8,I$6+6,$F8)-IF(I$6&gt;$E8,I$6,$E8)+1)/($F8-$E8+1))))</f>
        <v>0</v>
      </c>
      <c r="J8" s="104" t="n">
        <f aca="false">IF($E8="",0,IF(J$6+6&lt;$E8,0,IF(J$6&gt;$F8,0,$D8*(IF(J$6+6&lt;$F8,J$6+6,$F8)-IF(J$6&gt;$E8,J$6,$E8)+1)/($F8-$E8+1))))</f>
        <v>0</v>
      </c>
      <c r="K8" s="104" t="n">
        <f aca="false">IF($E8="",0,IF(K$6+6&lt;$E8,0,IF(K$6&gt;$F8,0,$D8*(IF(K$6+6&lt;$F8,K$6+6,$F8)-IF(K$6&gt;$E8,K$6,$E8)+1)/($F8-$E8+1))))</f>
        <v>0</v>
      </c>
      <c r="L8" s="104" t="n">
        <f aca="false">IF($E8="",0,IF(L$6+6&lt;$E8,0,IF(L$6&gt;$F8,0,$D8*(IF(L$6+6&lt;$F8,L$6+6,$F8)-IF(L$6&gt;$E8,L$6,$E8)+1)/($F8-$E8+1))))</f>
        <v>0</v>
      </c>
      <c r="M8" s="104" t="n">
        <f aca="false">IF($E8="",0,IF(M$6+6&lt;$E8,0,IF(M$6&gt;$F8,0,$D8*(IF(M$6+6&lt;$F8,M$6+6,$F8)-IF(M$6&gt;$E8,M$6,$E8)+1)/($F8-$E8+1))))</f>
        <v>0</v>
      </c>
      <c r="N8" s="104" t="n">
        <f aca="false">IF($E8="",0,IF(N$6+6&lt;$E8,0,IF(N$6&gt;$F8,0,$D8*(IF(N$6+6&lt;$F8,N$6+6,$F8)-IF(N$6&gt;$E8,N$6,$E8)+1)/($F8-$E8+1))))</f>
        <v>0.5</v>
      </c>
      <c r="O8" s="104" t="n">
        <f aca="false">IF($E8="",0,IF(O$6+6&lt;$E8,0,IF(O$6&gt;$F8,0,$D8*(IF(O$6+6&lt;$F8,O$6+6,$F8)-IF(O$6&gt;$E8,O$6,$E8)+1)/($F8-$E8+1))))</f>
        <v>0</v>
      </c>
      <c r="P8" s="104" t="n">
        <f aca="false">IF($E8="",0,IF(P$6+6&lt;$E8,0,IF(P$6&gt;$F8,0,$D8*(IF(P$6+6&lt;$F8,P$6+6,$F8)-IF(P$6&gt;$E8,P$6,$E8)+1)/($F8-$E8+1))))</f>
        <v>0</v>
      </c>
      <c r="Q8" s="104" t="n">
        <f aca="false">IF($E8="",0,IF(Q$6+6&lt;$E8,0,IF(Q$6&gt;$F8,0,$D8*(IF(Q$6+6&lt;$F8,Q$6+6,$F8)-IF(Q$6&gt;$E8,Q$6,$E8)+1)/($F8-$E8+1))))</f>
        <v>0</v>
      </c>
      <c r="R8" s="104" t="n">
        <f aca="false">IF($E8="",0,IF(R$6+6&lt;$E8,0,IF(R$6&gt;$F8,0,$D8*(IF(R$6+6&lt;$F8,R$6+6,$F8)-IF(R$6&gt;$E8,R$6,$E8)+1)/($F8-$E8+1))))</f>
        <v>0</v>
      </c>
      <c r="S8" s="104" t="n">
        <f aca="false">IF($E8="",0,IF(S$6+6&lt;$E8,0,IF(S$6&gt;$F8,0,$D8*(IF(S$6+6&lt;$F8,S$6+6,$F8)-IF(S$6&gt;$E8,S$6,$E8)+1)/($F8-$E8+1))))</f>
        <v>0</v>
      </c>
      <c r="T8" s="104" t="n">
        <f aca="false">IF($E8="",0,IF(T$6+6&lt;$E8,0,IF(T$6&gt;$F8,0,$D8*(IF(T$6+6&lt;$F8,T$6+6,$F8)-IF(T$6&gt;$E8,T$6,$E8)+1)/($F8-$E8+1))))</f>
        <v>0</v>
      </c>
      <c r="U8" s="104" t="n">
        <f aca="false">IF($E8="",0,IF(U$6+6&lt;$E8,0,IF(U$6&gt;$F8,0,$D8*(IF(U$6+6&lt;$F8,U$6+6,$F8)-IF(U$6&gt;$E8,U$6,$E8)+1)/($F8-$E8+1))))</f>
        <v>0</v>
      </c>
      <c r="V8" s="104" t="n">
        <f aca="false">IF($E8="",0,IF(V$6+6&lt;$E8,0,IF(V$6&gt;$F8,0,$D8*(IF(V$6+6&lt;$F8,V$6+6,$F8)-IF(V$6&gt;$E8,V$6,$E8)+1)/($F8-$E8+1))))</f>
        <v>0</v>
      </c>
      <c r="W8" s="104" t="n">
        <f aca="false">IF($E8="",0,IF(W$6+6&lt;$E8,0,IF(W$6&gt;$F8,0,$D8*(IF(W$6+6&lt;$F8,W$6+6,$F8)-IF(W$6&gt;$E8,W$6,$E8)+1)/($F8-$E8+1))))</f>
        <v>0</v>
      </c>
      <c r="X8" s="104" t="n">
        <f aca="false">IF($E8="",0,IF(X$6+6&lt;$E8,0,IF(X$6&gt;$F8,0,$D8*(IF(X$6+6&lt;$F8,X$6+6,$F8)-IF(X$6&gt;$E8,X$6,$E8)+1)/($F8-$E8+1))))</f>
        <v>0</v>
      </c>
      <c r="Y8" s="104" t="n">
        <f aca="false">IF($E8="",0,IF(Y$6+6&lt;$E8,0,IF(Y$6&gt;$F8,0,$D8*(IF(Y$6+6&lt;$F8,Y$6+6,$F8)-IF(Y$6&gt;$E8,Y$6,$E8)+1)/($F8-$E8+1))))</f>
        <v>0</v>
      </c>
      <c r="Z8" s="104" t="n">
        <f aca="false">IF($E8="",0,IF(Z$6+6&lt;$E8,0,IF(Z$6&gt;$F8,0,$D8*(IF(Z$6+6&lt;$F8,Z$6+6,$F8)-IF(Z$6&gt;$E8,Z$6,$E8)+1)/($F8-$E8+1))))</f>
        <v>0</v>
      </c>
      <c r="AA8" s="104" t="n">
        <f aca="false">IF($E8="",0,IF(AA$6+6&lt;$E8,0,IF(AA$6&gt;$F8,0,$D8*(IF(AA$6+6&lt;$F8,AA$6+6,$F8)-IF(AA$6&gt;$E8,AA$6,$E8)+1)/($F8-$E8+1))))</f>
        <v>0</v>
      </c>
      <c r="AB8" s="104" t="n">
        <f aca="false">IF($E8="",0,IF(AB$6+6&lt;$E8,0,IF(AB$6&gt;$F8,0,$D8*(IF(AB$6+6&lt;$F8,AB$6+6,$F8)-IF(AB$6&gt;$E8,AB$6,$E8)+1)/($F8-$E8+1))))</f>
        <v>0</v>
      </c>
      <c r="AC8" s="104" t="n">
        <f aca="false">IF($E8="",0,IF(AC$6+6&lt;$E8,0,IF(AC$6&gt;$F8,0,$D8*(IF(AC$6+6&lt;$F8,AC$6+6,$F8)-IF(AC$6&gt;$E8,AC$6,$E8)+1)/($F8-$E8+1))))</f>
        <v>0</v>
      </c>
      <c r="AD8" s="104" t="n">
        <f aca="false">IF($E8="",0,IF(AD$6+6&lt;$E8,0,IF(AD$6&gt;$F8,0,$D8*(IF(AD$6+6&lt;$F8,AD$6+6,$F8)-IF(AD$6&gt;$E8,AD$6,$E8)+1)/($F8-$E8+1))))</f>
        <v>0</v>
      </c>
      <c r="AE8" s="104" t="n">
        <f aca="false">IF($E8="",0,IF(AE$6+6&lt;$E8,0,IF(AE$6&gt;$F8,0,$D8*(IF(AE$6+6&lt;$F8,AE$6+6,$F8)-IF(AE$6&gt;$E8,AE$6,$E8)+1)/($F8-$E8+1))))</f>
        <v>0</v>
      </c>
      <c r="AF8" s="104" t="n">
        <f aca="false">IF($E8="",0,IF(AF$6+6&lt;$E8,0,IF(AF$6&gt;$F8,0,$D8*(IF(AF$6+6&lt;$F8,AF$6+6,$F8)-IF(AF$6&gt;$E8,AF$6,$E8)+1)/($F8-$E8+1))))</f>
        <v>0</v>
      </c>
      <c r="AG8" s="104" t="n">
        <f aca="false">IF($E8="",0,IF(AG$6+6&lt;$E8,0,IF(AG$6&gt;$F8,0,$D8*(IF(AG$6+6&lt;$F8,AG$6+6,$F8)-IF(AG$6&gt;$E8,AG$6,$E8)+1)/($F8-$E8+1))))</f>
        <v>0</v>
      </c>
      <c r="AH8" s="104" t="n">
        <f aca="false">IF($E8="",0,IF(AH$6+6&lt;$E8,0,IF(AH$6&gt;$F8,0,$D8*(IF(AH$6+6&lt;$F8,AH$6+6,$F8)-IF(AH$6&gt;$E8,AH$6,$E8)+1)/($F8-$E8+1))))</f>
        <v>0</v>
      </c>
      <c r="AI8" s="104" t="n">
        <f aca="false">IF($E8="",0,IF(AI$6+6&lt;$E8,0,IF(AI$6&gt;$F8,0,$D8*(IF(AI$6+6&lt;$F8,AI$6+6,$F8)-IF(AI$6&gt;$E8,AI$6,$E8)+1)/($F8-$E8+1))))</f>
        <v>0</v>
      </c>
      <c r="AJ8" s="104" t="n">
        <f aca="false">IF($E8="",0,IF(AJ$6+6&lt;$E8,0,IF(AJ$6&gt;$F8,0,$D8*(IF(AJ$6+6&lt;$F8,AJ$6+6,$F8)-IF(AJ$6&gt;$E8,AJ$6,$E8)+1)/($F8-$E8+1))))</f>
        <v>0</v>
      </c>
      <c r="AK8" s="104" t="n">
        <f aca="false">IF($E8="",0,IF(AK$6+6&lt;$E8,0,IF(AK$6&gt;$F8,0,$D8*(IF(AK$6+6&lt;$F8,AK$6+6,$F8)-IF(AK$6&gt;$E8,AK$6,$E8)+1)/($F8-$E8+1))))</f>
        <v>0</v>
      </c>
      <c r="AL8" s="104" t="n">
        <f aca="false">IF($E8="",0,IF(AL$6+6&lt;$E8,0,IF(AL$6&gt;$F8,0,$D8*(IF(AL$6+6&lt;$F8,AL$6+6,$F8)-IF(AL$6&gt;$E8,AL$6,$E8)+1)/($F8-$E8+1))))</f>
        <v>0</v>
      </c>
      <c r="AM8" s="104" t="n">
        <f aca="false">IF($E8="",0,IF(AM$6+6&lt;$E8,0,IF(AM$6&gt;$F8,0,$D8*(IF(AM$6+6&lt;$F8,AM$6+6,$F8)-IF(AM$6&gt;$E8,AM$6,$E8)+1)/($F8-$E8+1))))</f>
        <v>0</v>
      </c>
      <c r="AN8" s="104" t="n">
        <f aca="false">IF($E8="",0,IF(AN$6+6&lt;$E8,0,IF(AN$6&gt;$F8,0,$D8*(IF(AN$6+6&lt;$F8,AN$6+6,$F8)-IF(AN$6&gt;$E8,AN$6,$E8)+1)/($F8-$E8+1))))</f>
        <v>0</v>
      </c>
      <c r="AO8" s="104" t="n">
        <f aca="false">IF($E8="",0,IF(AO$6+6&lt;$E8,0,IF(AO$6&gt;$F8,0,$D8*(IF(AO$6+6&lt;$F8,AO$6+6,$F8)-IF(AO$6&gt;$E8,AO$6,$E8)+1)/($F8-$E8+1))))</f>
        <v>0</v>
      </c>
      <c r="AP8" s="104" t="n">
        <f aca="false">IF($E8="",0,IF(AP$6+6&lt;$E8,0,IF(AP$6&gt;$F8,0,$D8*(IF(AP$6+6&lt;$F8,AP$6+6,$F8)-IF(AP$6&gt;$E8,AP$6,$E8)+1)/($F8-$E8+1))))</f>
        <v>0</v>
      </c>
      <c r="AQ8" s="104" t="n">
        <f aca="false">IF($E8="",0,IF(AQ$6+6&lt;$E8,0,IF(AQ$6&gt;$F8,0,$D8*(IF(AQ$6+6&lt;$F8,AQ$6+6,$F8)-IF(AQ$6&gt;$E8,AQ$6,$E8)+1)/($F8-$E8+1))))</f>
        <v>0</v>
      </c>
      <c r="AR8" s="104" t="n">
        <f aca="false">IF($E8="",0,IF(AR$6+6&lt;$E8,0,IF(AR$6&gt;$F8,0,$D8*(IF(AR$6+6&lt;$F8,AR$6+6,$F8)-IF(AR$6&gt;$E8,AR$6,$E8)+1)/($F8-$E8+1))))</f>
        <v>0</v>
      </c>
      <c r="AS8" s="104" t="n">
        <f aca="false">IF($E8="",0,IF(AS$6+6&lt;$E8,0,IF(AS$6&gt;$F8,0,$D8*(IF(AS$6+6&lt;$F8,AS$6+6,$F8)-IF(AS$6&gt;$E8,AS$6,$E8)+1)/($F8-$E8+1))))</f>
        <v>0</v>
      </c>
      <c r="AT8" s="104" t="n">
        <f aca="false">IF($E8="",0,IF(AT$6+6&lt;$E8,0,IF(AT$6&gt;$F8,0,$D8*(IF(AT$6+6&lt;$F8,AT$6+6,$F8)-IF(AT$6&gt;$E8,AT$6,$E8)+1)/($F8-$E8+1))))</f>
        <v>0</v>
      </c>
      <c r="AU8" s="104" t="n">
        <f aca="false">IF($E8="",0,IF(AU$6+6&lt;$E8,0,IF(AU$6&gt;$F8,0,$D8*(IF(AU$6+6&lt;$F8,AU$6+6,$F8)-IF(AU$6&gt;$E8,AU$6,$E8)+1)/($F8-$E8+1))))</f>
        <v>0</v>
      </c>
      <c r="AV8" s="104" t="n">
        <f aca="false">IF($E8="",0,IF(AV$6+6&lt;$E8,0,IF(AV$6&gt;$F8,0,$D8*(IF(AV$6+6&lt;$F8,AV$6+6,$F8)-IF(AV$6&gt;$E8,AV$6,$E8)+1)/($F8-$E8+1))))</f>
        <v>0</v>
      </c>
      <c r="AW8" s="104" t="n">
        <f aca="false">IF($E8="",0,IF(AW$6+6&lt;$E8,0,IF(AW$6&gt;$F8,0,$D8*(IF(AW$6+6&lt;$F8,AW$6+6,$F8)-IF(AW$6&gt;$E8,AW$6,$E8)+1)/($F8-$E8+1))))</f>
        <v>0</v>
      </c>
      <c r="AX8" s="104" t="n">
        <f aca="false">IF($E8="",0,IF(AX$6+6&lt;$E8,0,IF(AX$6&gt;$F8,0,$D8*(IF(AX$6+6&lt;$F8,AX$6+6,$F8)-IF(AX$6&gt;$E8,AX$6,$E8)+1)/($F8-$E8+1))))</f>
        <v>0</v>
      </c>
      <c r="AY8" s="104" t="n">
        <f aca="false">IF($E8="",0,IF(AY$6+6&lt;$E8,0,IF(AY$6&gt;$F8,0,$D8*(IF(AY$6+6&lt;$F8,AY$6+6,$F8)-IF(AY$6&gt;$E8,AY$6,$E8)+1)/($F8-$E8+1))))</f>
        <v>0</v>
      </c>
      <c r="AZ8" s="104" t="n">
        <f aca="false">IF($E8="",0,IF(AZ$6+6&lt;$E8,0,IF(AZ$6&gt;$F8,0,$D8*(IF(AZ$6+6&lt;$F8,AZ$6+6,$F8)-IF(AZ$6&gt;$E8,AZ$6,$E8)+1)/($F8-$E8+1))))</f>
        <v>0</v>
      </c>
      <c r="BA8" s="104" t="n">
        <f aca="false">IF($E8="",0,IF(BA$6+6&lt;$E8,0,IF(BA$6&gt;$F8,0,$D8*(IF(BA$6+6&lt;$F8,BA$6+6,$F8)-IF(BA$6&gt;$E8,BA$6,$E8)+1)/($F8-$E8+1))))</f>
        <v>0</v>
      </c>
      <c r="BB8" s="104" t="n">
        <f aca="false">IF($E8="",0,IF(BB$6+6&lt;$E8,0,IF(BB$6&gt;$F8,0,$D8*(IF(BB$6+6&lt;$F8,BB$6+6,$F8)-IF(BB$6&gt;$E8,BB$6,$E8)+1)/($F8-$E8+1))))</f>
        <v>0</v>
      </c>
      <c r="BC8" s="104" t="n">
        <f aca="false">IF($E8="",0,IF(BC$6+6&lt;$E8,0,IF(BC$6&gt;$F8,0,$D8*(IF(BC$6+6&lt;$F8,BC$6+6,$F8)-IF(BC$6&gt;$E8,BC$6,$E8)+1)/($F8-$E8+1))))</f>
        <v>0</v>
      </c>
      <c r="BD8" s="104" t="n">
        <f aca="false">IF($E8="",0,IF(BD$6+6&lt;$E8,0,IF(BD$6&gt;$F8,0,$D8*(IF(BD$6+6&lt;$F8,BD$6+6,$F8)-IF(BD$6&gt;$E8,BD$6,$E8)+1)/($F8-$E8+1))))</f>
        <v>0</v>
      </c>
      <c r="BE8" s="104" t="n">
        <f aca="false">IF($E8="",0,IF(BE$6+6&lt;$E8,0,IF(BE$6&gt;$F8,0,$D8*(IF(BE$6+6&lt;$F8,BE$6+6,$F8)-IF(BE$6&gt;$E8,BE$6,$E8)+1)/($F8-$E8+1))))</f>
        <v>0</v>
      </c>
      <c r="BF8" s="104" t="n">
        <f aca="false">IF($E8="",0,IF(BF$6+6&lt;$E8,0,IF(BF$6&gt;$F8,0,$D8*(IF(BF$6+6&lt;$F8,BF$6+6,$F8)-IF(BF$6&gt;$E8,BF$6,$E8)+1)/($F8-$E8+1))))</f>
        <v>0</v>
      </c>
      <c r="BG8" s="104" t="n">
        <f aca="false">IF($E8="",0,IF(BG$6+6&lt;$E8,0,IF(BG$6&gt;$F8,0,$D8*(IF(BG$6+6&lt;$F8,BG$6+6,$F8)-IF(BG$6&gt;$E8,BG$6,$E8)+1)/($F8-$E8+1))))</f>
        <v>0</v>
      </c>
      <c r="BH8" s="104" t="n">
        <f aca="false">IF($E8="",0,IF(BH$6+6&lt;$E8,0,IF(BH$6&gt;$F8,0,$D8*(IF(BH$6+6&lt;$F8,BH$6+6,$F8)-IF(BH$6&gt;$E8,BH$6,$E8)+1)/($F8-$E8+1))))</f>
        <v>0</v>
      </c>
      <c r="BI8" s="104" t="n">
        <f aca="false">IF($E8="",0,IF(BI$6+6&lt;$E8,0,IF(BI$6&gt;$F8,0,$D8*(IF(BI$6+6&lt;$F8,BI$6+6,$F8)-IF(BI$6&gt;$E8,BI$6,$E8)+1)/($F8-$E8+1))))</f>
        <v>0</v>
      </c>
      <c r="BJ8" s="104" t="n">
        <f aca="false">IF($E8="",0,IF(BJ$6+6&lt;$E8,0,IF(BJ$6&gt;$F8,0,$D8*(IF(BJ$6+6&lt;$F8,BJ$6+6,$F8)-IF(BJ$6&gt;$E8,BJ$6,$E8)+1)/($F8-$E8+1))))</f>
        <v>0</v>
      </c>
      <c r="BK8" s="104" t="n">
        <f aca="false">IF($E8="",0,IF(BK$6+6&lt;$E8,0,IF(BK$6&gt;$F8,0,$D8*(IF(BK$6+6&lt;$F8,BK$6+6,$F8)-IF(BK$6&gt;$E8,BK$6,$E8)+1)/($F8-$E8+1))))</f>
        <v>0</v>
      </c>
      <c r="BL8" s="104" t="n">
        <f aca="false">IF($E8="",0,IF(BL$6+6&lt;$E8,0,IF(BL$6&gt;$F8,0,$D8*(IF(BL$6+6&lt;$F8,BL$6+6,$F8)-IF(BL$6&gt;$E8,BL$6,$E8)+1)/($F8-$E8+1))))</f>
        <v>0</v>
      </c>
      <c r="BM8" s="104" t="n">
        <f aca="false">IF($E8="",0,IF(BM$6+6&lt;$E8,0,IF(BM$6&gt;$F8,0,$D8*(IF(BM$6+6&lt;$F8,BM$6+6,$F8)-IF(BM$6&gt;$E8,BM$6,$E8)+1)/($F8-$E8+1))))</f>
        <v>0</v>
      </c>
      <c r="BN8" s="104" t="n">
        <f aca="false">IF($E8="",0,IF(BN$6+6&lt;$E8,0,IF(BN$6&gt;$F8,0,$D8*(IF(BN$6+6&lt;$F8,BN$6+6,$F8)-IF(BN$6&gt;$E8,BN$6,$E8)+1)/($F8-$E8+1))))</f>
        <v>0</v>
      </c>
      <c r="BO8" s="104" t="n">
        <f aca="false">IF($E8="",0,IF(BO$6+6&lt;$E8,0,IF(BO$6&gt;$F8,0,$D8*(IF(BO$6+6&lt;$F8,BO$6+6,$F8)-IF(BO$6&gt;$E8,BO$6,$E8)+1)/($F8-$E8+1))))</f>
        <v>0</v>
      </c>
      <c r="BP8" s="104" t="n">
        <f aca="false">IF($E8="",0,IF(BP$6+6&lt;$E8,0,IF(BP$6&gt;$F8,0,$D8*(IF(BP$6+6&lt;$F8,BP$6+6,$F8)-IF(BP$6&gt;$E8,BP$6,$E8)+1)/($F8-$E8+1))))</f>
        <v>0</v>
      </c>
      <c r="BQ8" s="104" t="n">
        <f aca="false">IF($E8="",0,IF(BQ$6+6&lt;$E8,0,IF(BQ$6&gt;$F8,0,$D8*(IF(BQ$6+6&lt;$F8,BQ$6+6,$F8)-IF(BQ$6&gt;$E8,BQ$6,$E8)+1)/($F8-$E8+1))))</f>
        <v>0</v>
      </c>
      <c r="BR8" s="104" t="n">
        <f aca="false">IF($E8="",0,IF(BR$6+6&lt;$E8,0,IF(BR$6&gt;$F8,0,$D8*(IF(BR$6+6&lt;$F8,BR$6+6,$F8)-IF(BR$6&gt;$E8,BR$6,$E8)+1)/($F8-$E8+1))))</f>
        <v>0</v>
      </c>
      <c r="BS8" s="104" t="n">
        <f aca="false">IF($E8="",0,IF(BS$6+6&lt;$E8,0,IF(BS$6&gt;$F8,0,$D8*(IF(BS$6+6&lt;$F8,BS$6+6,$F8)-IF(BS$6&gt;$E8,BS$6,$E8)+1)/($F8-$E8+1))))</f>
        <v>0</v>
      </c>
      <c r="BT8" s="104" t="n">
        <f aca="false">IF($E8="",0,IF(BT$6+6&lt;$E8,0,IF(BT$6&gt;$F8,0,$D8*(IF(BT$6+6&lt;$F8,BT$6+6,$F8)-IF(BT$6&gt;$E8,BT$6,$E8)+1)/($F8-$E8+1))))</f>
        <v>0</v>
      </c>
      <c r="BU8" s="104" t="n">
        <f aca="false">IF($E8="",0,IF(BU$6+6&lt;$E8,0,IF(BU$6&gt;$F8,0,$D8*(IF(BU$6+6&lt;$F8,BU$6+6,$F8)-IF(BU$6&gt;$E8,BU$6,$E8)+1)/($F8-$E8+1))))</f>
        <v>0</v>
      </c>
      <c r="BV8" s="104" t="n">
        <f aca="false">IF($E8="",0,IF(BV$6+6&lt;$E8,0,IF(BV$6&gt;$F8,0,$D8*(IF(BV$6+6&lt;$F8,BV$6+6,$F8)-IF(BV$6&gt;$E8,BV$6,$E8)+1)/($F8-$E8+1))))</f>
        <v>0</v>
      </c>
      <c r="BW8" s="104" t="n">
        <f aca="false">IF($E8="",0,IF(BW$6+6&lt;$E8,0,IF(BW$6&gt;$F8,0,$D8*(IF(BW$6+6&lt;$F8,BW$6+6,$F8)-IF(BW$6&gt;$E8,BW$6,$E8)+1)/($F8-$E8+1))))</f>
        <v>0</v>
      </c>
      <c r="BX8" s="104" t="n">
        <f aca="false">IF($E8="",0,IF(BX$6+6&lt;$E8,0,IF(BX$6&gt;$F8,0,$D8*(IF(BX$6+6&lt;$F8,BX$6+6,$F8)-IF(BX$6&gt;$E8,BX$6,$E8)+1)/($F8-$E8+1))))</f>
        <v>0</v>
      </c>
      <c r="BY8" s="104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101"/>
      <c r="B9" s="101"/>
      <c r="C9" s="101" t="s">
        <v>695</v>
      </c>
      <c r="D9" s="102"/>
      <c r="E9" s="105" t="n">
        <v>46203</v>
      </c>
      <c r="F9" s="105" t="n">
        <v>46203</v>
      </c>
      <c r="G9" s="106"/>
      <c r="H9" s="107"/>
      <c r="I9" s="107"/>
      <c r="J9" s="107"/>
      <c r="K9" s="107"/>
      <c r="L9" s="107"/>
      <c r="M9" s="107"/>
      <c r="N9" s="107" t="n">
        <v>0.5</v>
      </c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</row>
    <row r="10" customFormat="false" ht="15" hidden="false" customHeight="false" outlineLevel="0" collapsed="false">
      <c r="A10" s="101" t="s">
        <v>190</v>
      </c>
      <c r="B10" s="101" t="s">
        <v>696</v>
      </c>
      <c r="C10" s="101" t="s">
        <v>694</v>
      </c>
      <c r="D10" s="102" t="n">
        <v>1</v>
      </c>
      <c r="E10" s="103" t="n">
        <v>46215</v>
      </c>
      <c r="F10" s="103" t="n">
        <v>46224</v>
      </c>
      <c r="G10" s="101" t="n">
        <v>9</v>
      </c>
      <c r="H10" s="104" t="n">
        <f aca="false">IF($E10="",0,IF(H$6+6&lt;$E10,0,IF(H$6&gt;$F10,0,$D10*(IF(H$6+6&lt;$F10,H$6+6,$F10)-IF(H$6&gt;$E10,H$6,$E10)+1)/($F10-$E10+1))))</f>
        <v>0</v>
      </c>
      <c r="I10" s="104" t="n">
        <f aca="false">IF($E10="",0,IF(I$6+6&lt;$E10,0,IF(I$6&gt;$F10,0,$D10*(IF(I$6+6&lt;$F10,I$6+6,$F10)-IF(I$6&gt;$E10,I$6,$E10)+1)/($F10-$E10+1))))</f>
        <v>0</v>
      </c>
      <c r="J10" s="104" t="n">
        <f aca="false">IF($E10="",0,IF(J$6+6&lt;$E10,0,IF(J$6&gt;$F10,0,$D10*(IF(J$6+6&lt;$F10,J$6+6,$F10)-IF(J$6&gt;$E10,J$6,$E10)+1)/($F10-$E10+1))))</f>
        <v>0</v>
      </c>
      <c r="K10" s="104" t="n">
        <f aca="false">IF($E10="",0,IF(K$6+6&lt;$E10,0,IF(K$6&gt;$F10,0,$D10*(IF(K$6+6&lt;$F10,K$6+6,$F10)-IF(K$6&gt;$E10,K$6,$E10)+1)/($F10-$E10+1))))</f>
        <v>0</v>
      </c>
      <c r="L10" s="104" t="n">
        <f aca="false">IF($E10="",0,IF(L$6+6&lt;$E10,0,IF(L$6&gt;$F10,0,$D10*(IF(L$6+6&lt;$F10,L$6+6,$F10)-IF(L$6&gt;$E10,L$6,$E10)+1)/($F10-$E10+1))))</f>
        <v>0</v>
      </c>
      <c r="M10" s="104" t="n">
        <f aca="false">IF($E10="",0,IF(M$6+6&lt;$E10,0,IF(M$6&gt;$F10,0,$D10*(IF(M$6+6&lt;$F10,M$6+6,$F10)-IF(M$6&gt;$E10,M$6,$E10)+1)/($F10-$E10+1))))</f>
        <v>0</v>
      </c>
      <c r="N10" s="104" t="n">
        <f aca="false">IF($E10="",0,IF(N$6+6&lt;$E10,0,IF(N$6&gt;$F10,0,$D10*(IF(N$6+6&lt;$F10,N$6+6,$F10)-IF(N$6&gt;$E10,N$6,$E10)+1)/($F10-$E10+1))))</f>
        <v>0</v>
      </c>
      <c r="O10" s="104" t="n">
        <f aca="false">IF($E10="",0,IF(O$6+6&lt;$E10,0,IF(O$6&gt;$F10,0,$D10*(IF(O$6+6&lt;$F10,O$6+6,$F10)-IF(O$6&gt;$E10,O$6,$E10)+1)/($F10-$E10+1))))</f>
        <v>0.1</v>
      </c>
      <c r="P10" s="104" t="n">
        <f aca="false">IF($E10="",0,IF(P$6+6&lt;$E10,0,IF(P$6&gt;$F10,0,$D10*(IF(P$6+6&lt;$F10,P$6+6,$F10)-IF(P$6&gt;$E10,P$6,$E10)+1)/($F10-$E10+1))))</f>
        <v>0.7</v>
      </c>
      <c r="Q10" s="104" t="n">
        <f aca="false">IF($E10="",0,IF(Q$6+6&lt;$E10,0,IF(Q$6&gt;$F10,0,$D10*(IF(Q$6+6&lt;$F10,Q$6+6,$F10)-IF(Q$6&gt;$E10,Q$6,$E10)+1)/($F10-$E10+1))))</f>
        <v>0.2</v>
      </c>
      <c r="R10" s="104" t="n">
        <f aca="false">IF($E10="",0,IF(R$6+6&lt;$E10,0,IF(R$6&gt;$F10,0,$D10*(IF(R$6+6&lt;$F10,R$6+6,$F10)-IF(R$6&gt;$E10,R$6,$E10)+1)/($F10-$E10+1))))</f>
        <v>0</v>
      </c>
      <c r="S10" s="104" t="n">
        <f aca="false">IF($E10="",0,IF(S$6+6&lt;$E10,0,IF(S$6&gt;$F10,0,$D10*(IF(S$6+6&lt;$F10,S$6+6,$F10)-IF(S$6&gt;$E10,S$6,$E10)+1)/($F10-$E10+1))))</f>
        <v>0</v>
      </c>
      <c r="T10" s="104" t="n">
        <f aca="false">IF($E10="",0,IF(T$6+6&lt;$E10,0,IF(T$6&gt;$F10,0,$D10*(IF(T$6+6&lt;$F10,T$6+6,$F10)-IF(T$6&gt;$E10,T$6,$E10)+1)/($F10-$E10+1))))</f>
        <v>0</v>
      </c>
      <c r="U10" s="104" t="n">
        <f aca="false">IF($E10="",0,IF(U$6+6&lt;$E10,0,IF(U$6&gt;$F10,0,$D10*(IF(U$6+6&lt;$F10,U$6+6,$F10)-IF(U$6&gt;$E10,U$6,$E10)+1)/($F10-$E10+1))))</f>
        <v>0</v>
      </c>
      <c r="V10" s="104" t="n">
        <f aca="false">IF($E10="",0,IF(V$6+6&lt;$E10,0,IF(V$6&gt;$F10,0,$D10*(IF(V$6+6&lt;$F10,V$6+6,$F10)-IF(V$6&gt;$E10,V$6,$E10)+1)/($F10-$E10+1))))</f>
        <v>0</v>
      </c>
      <c r="W10" s="104" t="n">
        <f aca="false">IF($E10="",0,IF(W$6+6&lt;$E10,0,IF(W$6&gt;$F10,0,$D10*(IF(W$6+6&lt;$F10,W$6+6,$F10)-IF(W$6&gt;$E10,W$6,$E10)+1)/($F10-$E10+1))))</f>
        <v>0</v>
      </c>
      <c r="X10" s="104" t="n">
        <f aca="false">IF($E10="",0,IF(X$6+6&lt;$E10,0,IF(X$6&gt;$F10,0,$D10*(IF(X$6+6&lt;$F10,X$6+6,$F10)-IF(X$6&gt;$E10,X$6,$E10)+1)/($F10-$E10+1))))</f>
        <v>0</v>
      </c>
      <c r="Y10" s="104" t="n">
        <f aca="false">IF($E10="",0,IF(Y$6+6&lt;$E10,0,IF(Y$6&gt;$F10,0,$D10*(IF(Y$6+6&lt;$F10,Y$6+6,$F10)-IF(Y$6&gt;$E10,Y$6,$E10)+1)/($F10-$E10+1))))</f>
        <v>0</v>
      </c>
      <c r="Z10" s="104" t="n">
        <f aca="false">IF($E10="",0,IF(Z$6+6&lt;$E10,0,IF(Z$6&gt;$F10,0,$D10*(IF(Z$6+6&lt;$F10,Z$6+6,$F10)-IF(Z$6&gt;$E10,Z$6,$E10)+1)/($F10-$E10+1))))</f>
        <v>0</v>
      </c>
      <c r="AA10" s="104" t="n">
        <f aca="false">IF($E10="",0,IF(AA$6+6&lt;$E10,0,IF(AA$6&gt;$F10,0,$D10*(IF(AA$6+6&lt;$F10,AA$6+6,$F10)-IF(AA$6&gt;$E10,AA$6,$E10)+1)/($F10-$E10+1))))</f>
        <v>0</v>
      </c>
      <c r="AB10" s="104" t="n">
        <f aca="false">IF($E10="",0,IF(AB$6+6&lt;$E10,0,IF(AB$6&gt;$F10,0,$D10*(IF(AB$6+6&lt;$F10,AB$6+6,$F10)-IF(AB$6&gt;$E10,AB$6,$E10)+1)/($F10-$E10+1))))</f>
        <v>0</v>
      </c>
      <c r="AC10" s="104" t="n">
        <f aca="false">IF($E10="",0,IF(AC$6+6&lt;$E10,0,IF(AC$6&gt;$F10,0,$D10*(IF(AC$6+6&lt;$F10,AC$6+6,$F10)-IF(AC$6&gt;$E10,AC$6,$E10)+1)/($F10-$E10+1))))</f>
        <v>0</v>
      </c>
      <c r="AD10" s="104" t="n">
        <f aca="false">IF($E10="",0,IF(AD$6+6&lt;$E10,0,IF(AD$6&gt;$F10,0,$D10*(IF(AD$6+6&lt;$F10,AD$6+6,$F10)-IF(AD$6&gt;$E10,AD$6,$E10)+1)/($F10-$E10+1))))</f>
        <v>0</v>
      </c>
      <c r="AE10" s="104" t="n">
        <f aca="false">IF($E10="",0,IF(AE$6+6&lt;$E10,0,IF(AE$6&gt;$F10,0,$D10*(IF(AE$6+6&lt;$F10,AE$6+6,$F10)-IF(AE$6&gt;$E10,AE$6,$E10)+1)/($F10-$E10+1))))</f>
        <v>0</v>
      </c>
      <c r="AF10" s="104" t="n">
        <f aca="false">IF($E10="",0,IF(AF$6+6&lt;$E10,0,IF(AF$6&gt;$F10,0,$D10*(IF(AF$6+6&lt;$F10,AF$6+6,$F10)-IF(AF$6&gt;$E10,AF$6,$E10)+1)/($F10-$E10+1))))</f>
        <v>0</v>
      </c>
      <c r="AG10" s="104" t="n">
        <f aca="false">IF($E10="",0,IF(AG$6+6&lt;$E10,0,IF(AG$6&gt;$F10,0,$D10*(IF(AG$6+6&lt;$F10,AG$6+6,$F10)-IF(AG$6&gt;$E10,AG$6,$E10)+1)/($F10-$E10+1))))</f>
        <v>0</v>
      </c>
      <c r="AH10" s="104" t="n">
        <f aca="false">IF($E10="",0,IF(AH$6+6&lt;$E10,0,IF(AH$6&gt;$F10,0,$D10*(IF(AH$6+6&lt;$F10,AH$6+6,$F10)-IF(AH$6&gt;$E10,AH$6,$E10)+1)/($F10-$E10+1))))</f>
        <v>0</v>
      </c>
      <c r="AI10" s="104" t="n">
        <f aca="false">IF($E10="",0,IF(AI$6+6&lt;$E10,0,IF(AI$6&gt;$F10,0,$D10*(IF(AI$6+6&lt;$F10,AI$6+6,$F10)-IF(AI$6&gt;$E10,AI$6,$E10)+1)/($F10-$E10+1))))</f>
        <v>0</v>
      </c>
      <c r="AJ10" s="104" t="n">
        <f aca="false">IF($E10="",0,IF(AJ$6+6&lt;$E10,0,IF(AJ$6&gt;$F10,0,$D10*(IF(AJ$6+6&lt;$F10,AJ$6+6,$F10)-IF(AJ$6&gt;$E10,AJ$6,$E10)+1)/($F10-$E10+1))))</f>
        <v>0</v>
      </c>
      <c r="AK10" s="104" t="n">
        <f aca="false">IF($E10="",0,IF(AK$6+6&lt;$E10,0,IF(AK$6&gt;$F10,0,$D10*(IF(AK$6+6&lt;$F10,AK$6+6,$F10)-IF(AK$6&gt;$E10,AK$6,$E10)+1)/($F10-$E10+1))))</f>
        <v>0</v>
      </c>
      <c r="AL10" s="104" t="n">
        <f aca="false">IF($E10="",0,IF(AL$6+6&lt;$E10,0,IF(AL$6&gt;$F10,0,$D10*(IF(AL$6+6&lt;$F10,AL$6+6,$F10)-IF(AL$6&gt;$E10,AL$6,$E10)+1)/($F10-$E10+1))))</f>
        <v>0</v>
      </c>
      <c r="AM10" s="104" t="n">
        <f aca="false">IF($E10="",0,IF(AM$6+6&lt;$E10,0,IF(AM$6&gt;$F10,0,$D10*(IF(AM$6+6&lt;$F10,AM$6+6,$F10)-IF(AM$6&gt;$E10,AM$6,$E10)+1)/($F10-$E10+1))))</f>
        <v>0</v>
      </c>
      <c r="AN10" s="104" t="n">
        <f aca="false">IF($E10="",0,IF(AN$6+6&lt;$E10,0,IF(AN$6&gt;$F10,0,$D10*(IF(AN$6+6&lt;$F10,AN$6+6,$F10)-IF(AN$6&gt;$E10,AN$6,$E10)+1)/($F10-$E10+1))))</f>
        <v>0</v>
      </c>
      <c r="AO10" s="104" t="n">
        <f aca="false">IF($E10="",0,IF(AO$6+6&lt;$E10,0,IF(AO$6&gt;$F10,0,$D10*(IF(AO$6+6&lt;$F10,AO$6+6,$F10)-IF(AO$6&gt;$E10,AO$6,$E10)+1)/($F10-$E10+1))))</f>
        <v>0</v>
      </c>
      <c r="AP10" s="104" t="n">
        <f aca="false">IF($E10="",0,IF(AP$6+6&lt;$E10,0,IF(AP$6&gt;$F10,0,$D10*(IF(AP$6+6&lt;$F10,AP$6+6,$F10)-IF(AP$6&gt;$E10,AP$6,$E10)+1)/($F10-$E10+1))))</f>
        <v>0</v>
      </c>
      <c r="AQ10" s="104" t="n">
        <f aca="false">IF($E10="",0,IF(AQ$6+6&lt;$E10,0,IF(AQ$6&gt;$F10,0,$D10*(IF(AQ$6+6&lt;$F10,AQ$6+6,$F10)-IF(AQ$6&gt;$E10,AQ$6,$E10)+1)/($F10-$E10+1))))</f>
        <v>0</v>
      </c>
      <c r="AR10" s="104" t="n">
        <f aca="false">IF($E10="",0,IF(AR$6+6&lt;$E10,0,IF(AR$6&gt;$F10,0,$D10*(IF(AR$6+6&lt;$F10,AR$6+6,$F10)-IF(AR$6&gt;$E10,AR$6,$E10)+1)/($F10-$E10+1))))</f>
        <v>0</v>
      </c>
      <c r="AS10" s="104" t="n">
        <f aca="false">IF($E10="",0,IF(AS$6+6&lt;$E10,0,IF(AS$6&gt;$F10,0,$D10*(IF(AS$6+6&lt;$F10,AS$6+6,$F10)-IF(AS$6&gt;$E10,AS$6,$E10)+1)/($F10-$E10+1))))</f>
        <v>0</v>
      </c>
      <c r="AT10" s="104" t="n">
        <f aca="false">IF($E10="",0,IF(AT$6+6&lt;$E10,0,IF(AT$6&gt;$F10,0,$D10*(IF(AT$6+6&lt;$F10,AT$6+6,$F10)-IF(AT$6&gt;$E10,AT$6,$E10)+1)/($F10-$E10+1))))</f>
        <v>0</v>
      </c>
      <c r="AU10" s="104" t="n">
        <f aca="false">IF($E10="",0,IF(AU$6+6&lt;$E10,0,IF(AU$6&gt;$F10,0,$D10*(IF(AU$6+6&lt;$F10,AU$6+6,$F10)-IF(AU$6&gt;$E10,AU$6,$E10)+1)/($F10-$E10+1))))</f>
        <v>0</v>
      </c>
      <c r="AV10" s="104" t="n">
        <f aca="false">IF($E10="",0,IF(AV$6+6&lt;$E10,0,IF(AV$6&gt;$F10,0,$D10*(IF(AV$6+6&lt;$F10,AV$6+6,$F10)-IF(AV$6&gt;$E10,AV$6,$E10)+1)/($F10-$E10+1))))</f>
        <v>0</v>
      </c>
      <c r="AW10" s="104" t="n">
        <f aca="false">IF($E10="",0,IF(AW$6+6&lt;$E10,0,IF(AW$6&gt;$F10,0,$D10*(IF(AW$6+6&lt;$F10,AW$6+6,$F10)-IF(AW$6&gt;$E10,AW$6,$E10)+1)/($F10-$E10+1))))</f>
        <v>0</v>
      </c>
      <c r="AX10" s="104" t="n">
        <f aca="false">IF($E10="",0,IF(AX$6+6&lt;$E10,0,IF(AX$6&gt;$F10,0,$D10*(IF(AX$6+6&lt;$F10,AX$6+6,$F10)-IF(AX$6&gt;$E10,AX$6,$E10)+1)/($F10-$E10+1))))</f>
        <v>0</v>
      </c>
      <c r="AY10" s="104" t="n">
        <f aca="false">IF($E10="",0,IF(AY$6+6&lt;$E10,0,IF(AY$6&gt;$F10,0,$D10*(IF(AY$6+6&lt;$F10,AY$6+6,$F10)-IF(AY$6&gt;$E10,AY$6,$E10)+1)/($F10-$E10+1))))</f>
        <v>0</v>
      </c>
      <c r="AZ10" s="104" t="n">
        <f aca="false">IF($E10="",0,IF(AZ$6+6&lt;$E10,0,IF(AZ$6&gt;$F10,0,$D10*(IF(AZ$6+6&lt;$F10,AZ$6+6,$F10)-IF(AZ$6&gt;$E10,AZ$6,$E10)+1)/($F10-$E10+1))))</f>
        <v>0</v>
      </c>
      <c r="BA10" s="104" t="n">
        <f aca="false">IF($E10="",0,IF(BA$6+6&lt;$E10,0,IF(BA$6&gt;$F10,0,$D10*(IF(BA$6+6&lt;$F10,BA$6+6,$F10)-IF(BA$6&gt;$E10,BA$6,$E10)+1)/($F10-$E10+1))))</f>
        <v>0</v>
      </c>
      <c r="BB10" s="104" t="n">
        <f aca="false">IF($E10="",0,IF(BB$6+6&lt;$E10,0,IF(BB$6&gt;$F10,0,$D10*(IF(BB$6+6&lt;$F10,BB$6+6,$F10)-IF(BB$6&gt;$E10,BB$6,$E10)+1)/($F10-$E10+1))))</f>
        <v>0</v>
      </c>
      <c r="BC10" s="104" t="n">
        <f aca="false">IF($E10="",0,IF(BC$6+6&lt;$E10,0,IF(BC$6&gt;$F10,0,$D10*(IF(BC$6+6&lt;$F10,BC$6+6,$F10)-IF(BC$6&gt;$E10,BC$6,$E10)+1)/($F10-$E10+1))))</f>
        <v>0</v>
      </c>
      <c r="BD10" s="104" t="n">
        <f aca="false">IF($E10="",0,IF(BD$6+6&lt;$E10,0,IF(BD$6&gt;$F10,0,$D10*(IF(BD$6+6&lt;$F10,BD$6+6,$F10)-IF(BD$6&gt;$E10,BD$6,$E10)+1)/($F10-$E10+1))))</f>
        <v>0</v>
      </c>
      <c r="BE10" s="104" t="n">
        <f aca="false">IF($E10="",0,IF(BE$6+6&lt;$E10,0,IF(BE$6&gt;$F10,0,$D10*(IF(BE$6+6&lt;$F10,BE$6+6,$F10)-IF(BE$6&gt;$E10,BE$6,$E10)+1)/($F10-$E10+1))))</f>
        <v>0</v>
      </c>
      <c r="BF10" s="104" t="n">
        <f aca="false">IF($E10="",0,IF(BF$6+6&lt;$E10,0,IF(BF$6&gt;$F10,0,$D10*(IF(BF$6+6&lt;$F10,BF$6+6,$F10)-IF(BF$6&gt;$E10,BF$6,$E10)+1)/($F10-$E10+1))))</f>
        <v>0</v>
      </c>
      <c r="BG10" s="104" t="n">
        <f aca="false">IF($E10="",0,IF(BG$6+6&lt;$E10,0,IF(BG$6&gt;$F10,0,$D10*(IF(BG$6+6&lt;$F10,BG$6+6,$F10)-IF(BG$6&gt;$E10,BG$6,$E10)+1)/($F10-$E10+1))))</f>
        <v>0</v>
      </c>
      <c r="BH10" s="104" t="n">
        <f aca="false">IF($E10="",0,IF(BH$6+6&lt;$E10,0,IF(BH$6&gt;$F10,0,$D10*(IF(BH$6+6&lt;$F10,BH$6+6,$F10)-IF(BH$6&gt;$E10,BH$6,$E10)+1)/($F10-$E10+1))))</f>
        <v>0</v>
      </c>
      <c r="BI10" s="104" t="n">
        <f aca="false">IF($E10="",0,IF(BI$6+6&lt;$E10,0,IF(BI$6&gt;$F10,0,$D10*(IF(BI$6+6&lt;$F10,BI$6+6,$F10)-IF(BI$6&gt;$E10,BI$6,$E10)+1)/($F10-$E10+1))))</f>
        <v>0</v>
      </c>
      <c r="BJ10" s="104" t="n">
        <f aca="false">IF($E10="",0,IF(BJ$6+6&lt;$E10,0,IF(BJ$6&gt;$F10,0,$D10*(IF(BJ$6+6&lt;$F10,BJ$6+6,$F10)-IF(BJ$6&gt;$E10,BJ$6,$E10)+1)/($F10-$E10+1))))</f>
        <v>0</v>
      </c>
      <c r="BK10" s="104" t="n">
        <f aca="false">IF($E10="",0,IF(BK$6+6&lt;$E10,0,IF(BK$6&gt;$F10,0,$D10*(IF(BK$6+6&lt;$F10,BK$6+6,$F10)-IF(BK$6&gt;$E10,BK$6,$E10)+1)/($F10-$E10+1))))</f>
        <v>0</v>
      </c>
      <c r="BL10" s="104" t="n">
        <f aca="false">IF($E10="",0,IF(BL$6+6&lt;$E10,0,IF(BL$6&gt;$F10,0,$D10*(IF(BL$6+6&lt;$F10,BL$6+6,$F10)-IF(BL$6&gt;$E10,BL$6,$E10)+1)/($F10-$E10+1))))</f>
        <v>0</v>
      </c>
      <c r="BM10" s="104" t="n">
        <f aca="false">IF($E10="",0,IF(BM$6+6&lt;$E10,0,IF(BM$6&gt;$F10,0,$D10*(IF(BM$6+6&lt;$F10,BM$6+6,$F10)-IF(BM$6&gt;$E10,BM$6,$E10)+1)/($F10-$E10+1))))</f>
        <v>0</v>
      </c>
      <c r="BN10" s="104" t="n">
        <f aca="false">IF($E10="",0,IF(BN$6+6&lt;$E10,0,IF(BN$6&gt;$F10,0,$D10*(IF(BN$6+6&lt;$F10,BN$6+6,$F10)-IF(BN$6&gt;$E10,BN$6,$E10)+1)/($F10-$E10+1))))</f>
        <v>0</v>
      </c>
      <c r="BO10" s="104" t="n">
        <f aca="false">IF($E10="",0,IF(BO$6+6&lt;$E10,0,IF(BO$6&gt;$F10,0,$D10*(IF(BO$6+6&lt;$F10,BO$6+6,$F10)-IF(BO$6&gt;$E10,BO$6,$E10)+1)/($F10-$E10+1))))</f>
        <v>0</v>
      </c>
      <c r="BP10" s="104" t="n">
        <f aca="false">IF($E10="",0,IF(BP$6+6&lt;$E10,0,IF(BP$6&gt;$F10,0,$D10*(IF(BP$6+6&lt;$F10,BP$6+6,$F10)-IF(BP$6&gt;$E10,BP$6,$E10)+1)/($F10-$E10+1))))</f>
        <v>0</v>
      </c>
      <c r="BQ10" s="104" t="n">
        <f aca="false">IF($E10="",0,IF(BQ$6+6&lt;$E10,0,IF(BQ$6&gt;$F10,0,$D10*(IF(BQ$6+6&lt;$F10,BQ$6+6,$F10)-IF(BQ$6&gt;$E10,BQ$6,$E10)+1)/($F10-$E10+1))))</f>
        <v>0</v>
      </c>
      <c r="BR10" s="104" t="n">
        <f aca="false">IF($E10="",0,IF(BR$6+6&lt;$E10,0,IF(BR$6&gt;$F10,0,$D10*(IF(BR$6+6&lt;$F10,BR$6+6,$F10)-IF(BR$6&gt;$E10,BR$6,$E10)+1)/($F10-$E10+1))))</f>
        <v>0</v>
      </c>
      <c r="BS10" s="104" t="n">
        <f aca="false">IF($E10="",0,IF(BS$6+6&lt;$E10,0,IF(BS$6&gt;$F10,0,$D10*(IF(BS$6+6&lt;$F10,BS$6+6,$F10)-IF(BS$6&gt;$E10,BS$6,$E10)+1)/($F10-$E10+1))))</f>
        <v>0</v>
      </c>
      <c r="BT10" s="104" t="n">
        <f aca="false">IF($E10="",0,IF(BT$6+6&lt;$E10,0,IF(BT$6&gt;$F10,0,$D10*(IF(BT$6+6&lt;$F10,BT$6+6,$F10)-IF(BT$6&gt;$E10,BT$6,$E10)+1)/($F10-$E10+1))))</f>
        <v>0</v>
      </c>
      <c r="BU10" s="104" t="n">
        <f aca="false">IF($E10="",0,IF(BU$6+6&lt;$E10,0,IF(BU$6&gt;$F10,0,$D10*(IF(BU$6+6&lt;$F10,BU$6+6,$F10)-IF(BU$6&gt;$E10,BU$6,$E10)+1)/($F10-$E10+1))))</f>
        <v>0</v>
      </c>
      <c r="BV10" s="104" t="n">
        <f aca="false">IF($E10="",0,IF(BV$6+6&lt;$E10,0,IF(BV$6&gt;$F10,0,$D10*(IF(BV$6+6&lt;$F10,BV$6+6,$F10)-IF(BV$6&gt;$E10,BV$6,$E10)+1)/($F10-$E10+1))))</f>
        <v>0</v>
      </c>
      <c r="BW10" s="104" t="n">
        <f aca="false">IF($E10="",0,IF(BW$6+6&lt;$E10,0,IF(BW$6&gt;$F10,0,$D10*(IF(BW$6+6&lt;$F10,BW$6+6,$F10)-IF(BW$6&gt;$E10,BW$6,$E10)+1)/($F10-$E10+1))))</f>
        <v>0</v>
      </c>
      <c r="BX10" s="104" t="n">
        <f aca="false">IF($E10="",0,IF(BX$6+6&lt;$E10,0,IF(BX$6&gt;$F10,0,$D10*(IF(BX$6+6&lt;$F10,BX$6+6,$F10)-IF(BX$6&gt;$E10,BX$6,$E10)+1)/($F10-$E10+1))))</f>
        <v>0</v>
      </c>
      <c r="BY10" s="104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101"/>
      <c r="B11" s="101"/>
      <c r="C11" s="101" t="s">
        <v>695</v>
      </c>
      <c r="D11" s="102"/>
      <c r="E11" s="105" t="n">
        <v>46209</v>
      </c>
      <c r="F11" s="105" t="n">
        <v>46218</v>
      </c>
      <c r="G11" s="106"/>
      <c r="H11" s="107"/>
      <c r="I11" s="107"/>
      <c r="J11" s="107"/>
      <c r="K11" s="107"/>
      <c r="L11" s="107"/>
      <c r="M11" s="107"/>
      <c r="N11" s="107"/>
      <c r="O11" s="107" t="n">
        <v>0.5</v>
      </c>
      <c r="P11" s="107" t="n">
        <v>0.5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</row>
    <row r="12" customFormat="false" ht="15" hidden="false" customHeight="false" outlineLevel="0" collapsed="false">
      <c r="A12" s="101" t="s">
        <v>210</v>
      </c>
      <c r="B12" s="101" t="s">
        <v>697</v>
      </c>
      <c r="C12" s="101" t="s">
        <v>694</v>
      </c>
      <c r="D12" s="102" t="n">
        <v>0.5</v>
      </c>
      <c r="E12" s="103" t="n">
        <v>46238</v>
      </c>
      <c r="F12" s="103" t="n">
        <v>46238</v>
      </c>
      <c r="G12" s="101" t="n">
        <v>1</v>
      </c>
      <c r="H12" s="104" t="n">
        <f aca="false">IF($E12="",0,IF(H$6+6&lt;$E12,0,IF(H$6&gt;$F12,0,$D12*(IF(H$6+6&lt;$F12,H$6+6,$F12)-IF(H$6&gt;$E12,H$6,$E12)+1)/($F12-$E12+1))))</f>
        <v>0</v>
      </c>
      <c r="I12" s="104" t="n">
        <f aca="false">IF($E12="",0,IF(I$6+6&lt;$E12,0,IF(I$6&gt;$F12,0,$D12*(IF(I$6+6&lt;$F12,I$6+6,$F12)-IF(I$6&gt;$E12,I$6,$E12)+1)/($F12-$E12+1))))</f>
        <v>0</v>
      </c>
      <c r="J12" s="104" t="n">
        <f aca="false">IF($E12="",0,IF(J$6+6&lt;$E12,0,IF(J$6&gt;$F12,0,$D12*(IF(J$6+6&lt;$F12,J$6+6,$F12)-IF(J$6&gt;$E12,J$6,$E12)+1)/($F12-$E12+1))))</f>
        <v>0</v>
      </c>
      <c r="K12" s="104" t="n">
        <f aca="false">IF($E12="",0,IF(K$6+6&lt;$E12,0,IF(K$6&gt;$F12,0,$D12*(IF(K$6+6&lt;$F12,K$6+6,$F12)-IF(K$6&gt;$E12,K$6,$E12)+1)/($F12-$E12+1))))</f>
        <v>0</v>
      </c>
      <c r="L12" s="104" t="n">
        <f aca="false">IF($E12="",0,IF(L$6+6&lt;$E12,0,IF(L$6&gt;$F12,0,$D12*(IF(L$6+6&lt;$F12,L$6+6,$F12)-IF(L$6&gt;$E12,L$6,$E12)+1)/($F12-$E12+1))))</f>
        <v>0</v>
      </c>
      <c r="M12" s="104" t="n">
        <f aca="false">IF($E12="",0,IF(M$6+6&lt;$E12,0,IF(M$6&gt;$F12,0,$D12*(IF(M$6+6&lt;$F12,M$6+6,$F12)-IF(M$6&gt;$E12,M$6,$E12)+1)/($F12-$E12+1))))</f>
        <v>0</v>
      </c>
      <c r="N12" s="104" t="n">
        <f aca="false">IF($E12="",0,IF(N$6+6&lt;$E12,0,IF(N$6&gt;$F12,0,$D12*(IF(N$6+6&lt;$F12,N$6+6,$F12)-IF(N$6&gt;$E12,N$6,$E12)+1)/($F12-$E12+1))))</f>
        <v>0</v>
      </c>
      <c r="O12" s="104" t="n">
        <f aca="false">IF($E12="",0,IF(O$6+6&lt;$E12,0,IF(O$6&gt;$F12,0,$D12*(IF(O$6+6&lt;$F12,O$6+6,$F12)-IF(O$6&gt;$E12,O$6,$E12)+1)/($F12-$E12+1))))</f>
        <v>0</v>
      </c>
      <c r="P12" s="104" t="n">
        <f aca="false">IF($E12="",0,IF(P$6+6&lt;$E12,0,IF(P$6&gt;$F12,0,$D12*(IF(P$6+6&lt;$F12,P$6+6,$F12)-IF(P$6&gt;$E12,P$6,$E12)+1)/($F12-$E12+1))))</f>
        <v>0</v>
      </c>
      <c r="Q12" s="104" t="n">
        <f aca="false">IF($E12="",0,IF(Q$6+6&lt;$E12,0,IF(Q$6&gt;$F12,0,$D12*(IF(Q$6+6&lt;$F12,Q$6+6,$F12)-IF(Q$6&gt;$E12,Q$6,$E12)+1)/($F12-$E12+1))))</f>
        <v>0</v>
      </c>
      <c r="R12" s="104" t="n">
        <f aca="false">IF($E12="",0,IF(R$6+6&lt;$E12,0,IF(R$6&gt;$F12,0,$D12*(IF(R$6+6&lt;$F12,R$6+6,$F12)-IF(R$6&gt;$E12,R$6,$E12)+1)/($F12-$E12+1))))</f>
        <v>0</v>
      </c>
      <c r="S12" s="104" t="n">
        <f aca="false">IF($E12="",0,IF(S$6+6&lt;$E12,0,IF(S$6&gt;$F12,0,$D12*(IF(S$6+6&lt;$F12,S$6+6,$F12)-IF(S$6&gt;$E12,S$6,$E12)+1)/($F12-$E12+1))))</f>
        <v>0.5</v>
      </c>
      <c r="T12" s="104" t="n">
        <f aca="false">IF($E12="",0,IF(T$6+6&lt;$E12,0,IF(T$6&gt;$F12,0,$D12*(IF(T$6+6&lt;$F12,T$6+6,$F12)-IF(T$6&gt;$E12,T$6,$E12)+1)/($F12-$E12+1))))</f>
        <v>0</v>
      </c>
      <c r="U12" s="104" t="n">
        <f aca="false">IF($E12="",0,IF(U$6+6&lt;$E12,0,IF(U$6&gt;$F12,0,$D12*(IF(U$6+6&lt;$F12,U$6+6,$F12)-IF(U$6&gt;$E12,U$6,$E12)+1)/($F12-$E12+1))))</f>
        <v>0</v>
      </c>
      <c r="V12" s="104" t="n">
        <f aca="false">IF($E12="",0,IF(V$6+6&lt;$E12,0,IF(V$6&gt;$F12,0,$D12*(IF(V$6+6&lt;$F12,V$6+6,$F12)-IF(V$6&gt;$E12,V$6,$E12)+1)/($F12-$E12+1))))</f>
        <v>0</v>
      </c>
      <c r="W12" s="104" t="n">
        <f aca="false">IF($E12="",0,IF(W$6+6&lt;$E12,0,IF(W$6&gt;$F12,0,$D12*(IF(W$6+6&lt;$F12,W$6+6,$F12)-IF(W$6&gt;$E12,W$6,$E12)+1)/($F12-$E12+1))))</f>
        <v>0</v>
      </c>
      <c r="X12" s="104" t="n">
        <f aca="false">IF($E12="",0,IF(X$6+6&lt;$E12,0,IF(X$6&gt;$F12,0,$D12*(IF(X$6+6&lt;$F12,X$6+6,$F12)-IF(X$6&gt;$E12,X$6,$E12)+1)/($F12-$E12+1))))</f>
        <v>0</v>
      </c>
      <c r="Y12" s="104" t="n">
        <f aca="false">IF($E12="",0,IF(Y$6+6&lt;$E12,0,IF(Y$6&gt;$F12,0,$D12*(IF(Y$6+6&lt;$F12,Y$6+6,$F12)-IF(Y$6&gt;$E12,Y$6,$E12)+1)/($F12-$E12+1))))</f>
        <v>0</v>
      </c>
      <c r="Z12" s="104" t="n">
        <f aca="false">IF($E12="",0,IF(Z$6+6&lt;$E12,0,IF(Z$6&gt;$F12,0,$D12*(IF(Z$6+6&lt;$F12,Z$6+6,$F12)-IF(Z$6&gt;$E12,Z$6,$E12)+1)/($F12-$E12+1))))</f>
        <v>0</v>
      </c>
      <c r="AA12" s="104" t="n">
        <f aca="false">IF($E12="",0,IF(AA$6+6&lt;$E12,0,IF(AA$6&gt;$F12,0,$D12*(IF(AA$6+6&lt;$F12,AA$6+6,$F12)-IF(AA$6&gt;$E12,AA$6,$E12)+1)/($F12-$E12+1))))</f>
        <v>0</v>
      </c>
      <c r="AB12" s="104" t="n">
        <f aca="false">IF($E12="",0,IF(AB$6+6&lt;$E12,0,IF(AB$6&gt;$F12,0,$D12*(IF(AB$6+6&lt;$F12,AB$6+6,$F12)-IF(AB$6&gt;$E12,AB$6,$E12)+1)/($F12-$E12+1))))</f>
        <v>0</v>
      </c>
      <c r="AC12" s="104" t="n">
        <f aca="false">IF($E12="",0,IF(AC$6+6&lt;$E12,0,IF(AC$6&gt;$F12,0,$D12*(IF(AC$6+6&lt;$F12,AC$6+6,$F12)-IF(AC$6&gt;$E12,AC$6,$E12)+1)/($F12-$E12+1))))</f>
        <v>0</v>
      </c>
      <c r="AD12" s="104" t="n">
        <f aca="false">IF($E12="",0,IF(AD$6+6&lt;$E12,0,IF(AD$6&gt;$F12,0,$D12*(IF(AD$6+6&lt;$F12,AD$6+6,$F12)-IF(AD$6&gt;$E12,AD$6,$E12)+1)/($F12-$E12+1))))</f>
        <v>0</v>
      </c>
      <c r="AE12" s="104" t="n">
        <f aca="false">IF($E12="",0,IF(AE$6+6&lt;$E12,0,IF(AE$6&gt;$F12,0,$D12*(IF(AE$6+6&lt;$F12,AE$6+6,$F12)-IF(AE$6&gt;$E12,AE$6,$E12)+1)/($F12-$E12+1))))</f>
        <v>0</v>
      </c>
      <c r="AF12" s="104" t="n">
        <f aca="false">IF($E12="",0,IF(AF$6+6&lt;$E12,0,IF(AF$6&gt;$F12,0,$D12*(IF(AF$6+6&lt;$F12,AF$6+6,$F12)-IF(AF$6&gt;$E12,AF$6,$E12)+1)/($F12-$E12+1))))</f>
        <v>0</v>
      </c>
      <c r="AG12" s="104" t="n">
        <f aca="false">IF($E12="",0,IF(AG$6+6&lt;$E12,0,IF(AG$6&gt;$F12,0,$D12*(IF(AG$6+6&lt;$F12,AG$6+6,$F12)-IF(AG$6&gt;$E12,AG$6,$E12)+1)/($F12-$E12+1))))</f>
        <v>0</v>
      </c>
      <c r="AH12" s="104" t="n">
        <f aca="false">IF($E12="",0,IF(AH$6+6&lt;$E12,0,IF(AH$6&gt;$F12,0,$D12*(IF(AH$6+6&lt;$F12,AH$6+6,$F12)-IF(AH$6&gt;$E12,AH$6,$E12)+1)/($F12-$E12+1))))</f>
        <v>0</v>
      </c>
      <c r="AI12" s="104" t="n">
        <f aca="false">IF($E12="",0,IF(AI$6+6&lt;$E12,0,IF(AI$6&gt;$F12,0,$D12*(IF(AI$6+6&lt;$F12,AI$6+6,$F12)-IF(AI$6&gt;$E12,AI$6,$E12)+1)/($F12-$E12+1))))</f>
        <v>0</v>
      </c>
      <c r="AJ12" s="104" t="n">
        <f aca="false">IF($E12="",0,IF(AJ$6+6&lt;$E12,0,IF(AJ$6&gt;$F12,0,$D12*(IF(AJ$6+6&lt;$F12,AJ$6+6,$F12)-IF(AJ$6&gt;$E12,AJ$6,$E12)+1)/($F12-$E12+1))))</f>
        <v>0</v>
      </c>
      <c r="AK12" s="104" t="n">
        <f aca="false">IF($E12="",0,IF(AK$6+6&lt;$E12,0,IF(AK$6&gt;$F12,0,$D12*(IF(AK$6+6&lt;$F12,AK$6+6,$F12)-IF(AK$6&gt;$E12,AK$6,$E12)+1)/($F12-$E12+1))))</f>
        <v>0</v>
      </c>
      <c r="AL12" s="104" t="n">
        <f aca="false">IF($E12="",0,IF(AL$6+6&lt;$E12,0,IF(AL$6&gt;$F12,0,$D12*(IF(AL$6+6&lt;$F12,AL$6+6,$F12)-IF(AL$6&gt;$E12,AL$6,$E12)+1)/($F12-$E12+1))))</f>
        <v>0</v>
      </c>
      <c r="AM12" s="104" t="n">
        <f aca="false">IF($E12="",0,IF(AM$6+6&lt;$E12,0,IF(AM$6&gt;$F12,0,$D12*(IF(AM$6+6&lt;$F12,AM$6+6,$F12)-IF(AM$6&gt;$E12,AM$6,$E12)+1)/($F12-$E12+1))))</f>
        <v>0</v>
      </c>
      <c r="AN12" s="104" t="n">
        <f aca="false">IF($E12="",0,IF(AN$6+6&lt;$E12,0,IF(AN$6&gt;$F12,0,$D12*(IF(AN$6+6&lt;$F12,AN$6+6,$F12)-IF(AN$6&gt;$E12,AN$6,$E12)+1)/($F12-$E12+1))))</f>
        <v>0</v>
      </c>
      <c r="AO12" s="104" t="n">
        <f aca="false">IF($E12="",0,IF(AO$6+6&lt;$E12,0,IF(AO$6&gt;$F12,0,$D12*(IF(AO$6+6&lt;$F12,AO$6+6,$F12)-IF(AO$6&gt;$E12,AO$6,$E12)+1)/($F12-$E12+1))))</f>
        <v>0</v>
      </c>
      <c r="AP12" s="104" t="n">
        <f aca="false">IF($E12="",0,IF(AP$6+6&lt;$E12,0,IF(AP$6&gt;$F12,0,$D12*(IF(AP$6+6&lt;$F12,AP$6+6,$F12)-IF(AP$6&gt;$E12,AP$6,$E12)+1)/($F12-$E12+1))))</f>
        <v>0</v>
      </c>
      <c r="AQ12" s="104" t="n">
        <f aca="false">IF($E12="",0,IF(AQ$6+6&lt;$E12,0,IF(AQ$6&gt;$F12,0,$D12*(IF(AQ$6+6&lt;$F12,AQ$6+6,$F12)-IF(AQ$6&gt;$E12,AQ$6,$E12)+1)/($F12-$E12+1))))</f>
        <v>0</v>
      </c>
      <c r="AR12" s="104" t="n">
        <f aca="false">IF($E12="",0,IF(AR$6+6&lt;$E12,0,IF(AR$6&gt;$F12,0,$D12*(IF(AR$6+6&lt;$F12,AR$6+6,$F12)-IF(AR$6&gt;$E12,AR$6,$E12)+1)/($F12-$E12+1))))</f>
        <v>0</v>
      </c>
      <c r="AS12" s="104" t="n">
        <f aca="false">IF($E12="",0,IF(AS$6+6&lt;$E12,0,IF(AS$6&gt;$F12,0,$D12*(IF(AS$6+6&lt;$F12,AS$6+6,$F12)-IF(AS$6&gt;$E12,AS$6,$E12)+1)/($F12-$E12+1))))</f>
        <v>0</v>
      </c>
      <c r="AT12" s="104" t="n">
        <f aca="false">IF($E12="",0,IF(AT$6+6&lt;$E12,0,IF(AT$6&gt;$F12,0,$D12*(IF(AT$6+6&lt;$F12,AT$6+6,$F12)-IF(AT$6&gt;$E12,AT$6,$E12)+1)/($F12-$E12+1))))</f>
        <v>0</v>
      </c>
      <c r="AU12" s="104" t="n">
        <f aca="false">IF($E12="",0,IF(AU$6+6&lt;$E12,0,IF(AU$6&gt;$F12,0,$D12*(IF(AU$6+6&lt;$F12,AU$6+6,$F12)-IF(AU$6&gt;$E12,AU$6,$E12)+1)/($F12-$E12+1))))</f>
        <v>0</v>
      </c>
      <c r="AV12" s="104" t="n">
        <f aca="false">IF($E12="",0,IF(AV$6+6&lt;$E12,0,IF(AV$6&gt;$F12,0,$D12*(IF(AV$6+6&lt;$F12,AV$6+6,$F12)-IF(AV$6&gt;$E12,AV$6,$E12)+1)/($F12-$E12+1))))</f>
        <v>0</v>
      </c>
      <c r="AW12" s="104" t="n">
        <f aca="false">IF($E12="",0,IF(AW$6+6&lt;$E12,0,IF(AW$6&gt;$F12,0,$D12*(IF(AW$6+6&lt;$F12,AW$6+6,$F12)-IF(AW$6&gt;$E12,AW$6,$E12)+1)/($F12-$E12+1))))</f>
        <v>0</v>
      </c>
      <c r="AX12" s="104" t="n">
        <f aca="false">IF($E12="",0,IF(AX$6+6&lt;$E12,0,IF(AX$6&gt;$F12,0,$D12*(IF(AX$6+6&lt;$F12,AX$6+6,$F12)-IF(AX$6&gt;$E12,AX$6,$E12)+1)/($F12-$E12+1))))</f>
        <v>0</v>
      </c>
      <c r="AY12" s="104" t="n">
        <f aca="false">IF($E12="",0,IF(AY$6+6&lt;$E12,0,IF(AY$6&gt;$F12,0,$D12*(IF(AY$6+6&lt;$F12,AY$6+6,$F12)-IF(AY$6&gt;$E12,AY$6,$E12)+1)/($F12-$E12+1))))</f>
        <v>0</v>
      </c>
      <c r="AZ12" s="104" t="n">
        <f aca="false">IF($E12="",0,IF(AZ$6+6&lt;$E12,0,IF(AZ$6&gt;$F12,0,$D12*(IF(AZ$6+6&lt;$F12,AZ$6+6,$F12)-IF(AZ$6&gt;$E12,AZ$6,$E12)+1)/($F12-$E12+1))))</f>
        <v>0</v>
      </c>
      <c r="BA12" s="104" t="n">
        <f aca="false">IF($E12="",0,IF(BA$6+6&lt;$E12,0,IF(BA$6&gt;$F12,0,$D12*(IF(BA$6+6&lt;$F12,BA$6+6,$F12)-IF(BA$6&gt;$E12,BA$6,$E12)+1)/($F12-$E12+1))))</f>
        <v>0</v>
      </c>
      <c r="BB12" s="104" t="n">
        <f aca="false">IF($E12="",0,IF(BB$6+6&lt;$E12,0,IF(BB$6&gt;$F12,0,$D12*(IF(BB$6+6&lt;$F12,BB$6+6,$F12)-IF(BB$6&gt;$E12,BB$6,$E12)+1)/($F12-$E12+1))))</f>
        <v>0</v>
      </c>
      <c r="BC12" s="104" t="n">
        <f aca="false">IF($E12="",0,IF(BC$6+6&lt;$E12,0,IF(BC$6&gt;$F12,0,$D12*(IF(BC$6+6&lt;$F12,BC$6+6,$F12)-IF(BC$6&gt;$E12,BC$6,$E12)+1)/($F12-$E12+1))))</f>
        <v>0</v>
      </c>
      <c r="BD12" s="104" t="n">
        <f aca="false">IF($E12="",0,IF(BD$6+6&lt;$E12,0,IF(BD$6&gt;$F12,0,$D12*(IF(BD$6+6&lt;$F12,BD$6+6,$F12)-IF(BD$6&gt;$E12,BD$6,$E12)+1)/($F12-$E12+1))))</f>
        <v>0</v>
      </c>
      <c r="BE12" s="104" t="n">
        <f aca="false">IF($E12="",0,IF(BE$6+6&lt;$E12,0,IF(BE$6&gt;$F12,0,$D12*(IF(BE$6+6&lt;$F12,BE$6+6,$F12)-IF(BE$6&gt;$E12,BE$6,$E12)+1)/($F12-$E12+1))))</f>
        <v>0</v>
      </c>
      <c r="BF12" s="104" t="n">
        <f aca="false">IF($E12="",0,IF(BF$6+6&lt;$E12,0,IF(BF$6&gt;$F12,0,$D12*(IF(BF$6+6&lt;$F12,BF$6+6,$F12)-IF(BF$6&gt;$E12,BF$6,$E12)+1)/($F12-$E12+1))))</f>
        <v>0</v>
      </c>
      <c r="BG12" s="104" t="n">
        <f aca="false">IF($E12="",0,IF(BG$6+6&lt;$E12,0,IF(BG$6&gt;$F12,0,$D12*(IF(BG$6+6&lt;$F12,BG$6+6,$F12)-IF(BG$6&gt;$E12,BG$6,$E12)+1)/($F12-$E12+1))))</f>
        <v>0</v>
      </c>
      <c r="BH12" s="104" t="n">
        <f aca="false">IF($E12="",0,IF(BH$6+6&lt;$E12,0,IF(BH$6&gt;$F12,0,$D12*(IF(BH$6+6&lt;$F12,BH$6+6,$F12)-IF(BH$6&gt;$E12,BH$6,$E12)+1)/($F12-$E12+1))))</f>
        <v>0</v>
      </c>
      <c r="BI12" s="104" t="n">
        <f aca="false">IF($E12="",0,IF(BI$6+6&lt;$E12,0,IF(BI$6&gt;$F12,0,$D12*(IF(BI$6+6&lt;$F12,BI$6+6,$F12)-IF(BI$6&gt;$E12,BI$6,$E12)+1)/($F12-$E12+1))))</f>
        <v>0</v>
      </c>
      <c r="BJ12" s="104" t="n">
        <f aca="false">IF($E12="",0,IF(BJ$6+6&lt;$E12,0,IF(BJ$6&gt;$F12,0,$D12*(IF(BJ$6+6&lt;$F12,BJ$6+6,$F12)-IF(BJ$6&gt;$E12,BJ$6,$E12)+1)/($F12-$E12+1))))</f>
        <v>0</v>
      </c>
      <c r="BK12" s="104" t="n">
        <f aca="false">IF($E12="",0,IF(BK$6+6&lt;$E12,0,IF(BK$6&gt;$F12,0,$D12*(IF(BK$6+6&lt;$F12,BK$6+6,$F12)-IF(BK$6&gt;$E12,BK$6,$E12)+1)/($F12-$E12+1))))</f>
        <v>0</v>
      </c>
      <c r="BL12" s="104" t="n">
        <f aca="false">IF($E12="",0,IF(BL$6+6&lt;$E12,0,IF(BL$6&gt;$F12,0,$D12*(IF(BL$6+6&lt;$F12,BL$6+6,$F12)-IF(BL$6&gt;$E12,BL$6,$E12)+1)/($F12-$E12+1))))</f>
        <v>0</v>
      </c>
      <c r="BM12" s="104" t="n">
        <f aca="false">IF($E12="",0,IF(BM$6+6&lt;$E12,0,IF(BM$6&gt;$F12,0,$D12*(IF(BM$6+6&lt;$F12,BM$6+6,$F12)-IF(BM$6&gt;$E12,BM$6,$E12)+1)/($F12-$E12+1))))</f>
        <v>0</v>
      </c>
      <c r="BN12" s="104" t="n">
        <f aca="false">IF($E12="",0,IF(BN$6+6&lt;$E12,0,IF(BN$6&gt;$F12,0,$D12*(IF(BN$6+6&lt;$F12,BN$6+6,$F12)-IF(BN$6&gt;$E12,BN$6,$E12)+1)/($F12-$E12+1))))</f>
        <v>0</v>
      </c>
      <c r="BO12" s="104" t="n">
        <f aca="false">IF($E12="",0,IF(BO$6+6&lt;$E12,0,IF(BO$6&gt;$F12,0,$D12*(IF(BO$6+6&lt;$F12,BO$6+6,$F12)-IF(BO$6&gt;$E12,BO$6,$E12)+1)/($F12-$E12+1))))</f>
        <v>0</v>
      </c>
      <c r="BP12" s="104" t="n">
        <f aca="false">IF($E12="",0,IF(BP$6+6&lt;$E12,0,IF(BP$6&gt;$F12,0,$D12*(IF(BP$6+6&lt;$F12,BP$6+6,$F12)-IF(BP$6&gt;$E12,BP$6,$E12)+1)/($F12-$E12+1))))</f>
        <v>0</v>
      </c>
      <c r="BQ12" s="104" t="n">
        <f aca="false">IF($E12="",0,IF(BQ$6+6&lt;$E12,0,IF(BQ$6&gt;$F12,0,$D12*(IF(BQ$6+6&lt;$F12,BQ$6+6,$F12)-IF(BQ$6&gt;$E12,BQ$6,$E12)+1)/($F12-$E12+1))))</f>
        <v>0</v>
      </c>
      <c r="BR12" s="104" t="n">
        <f aca="false">IF($E12="",0,IF(BR$6+6&lt;$E12,0,IF(BR$6&gt;$F12,0,$D12*(IF(BR$6+6&lt;$F12,BR$6+6,$F12)-IF(BR$6&gt;$E12,BR$6,$E12)+1)/($F12-$E12+1))))</f>
        <v>0</v>
      </c>
      <c r="BS12" s="104" t="n">
        <f aca="false">IF($E12="",0,IF(BS$6+6&lt;$E12,0,IF(BS$6&gt;$F12,0,$D12*(IF(BS$6+6&lt;$F12,BS$6+6,$F12)-IF(BS$6&gt;$E12,BS$6,$E12)+1)/($F12-$E12+1))))</f>
        <v>0</v>
      </c>
      <c r="BT12" s="104" t="n">
        <f aca="false">IF($E12="",0,IF(BT$6+6&lt;$E12,0,IF(BT$6&gt;$F12,0,$D12*(IF(BT$6+6&lt;$F12,BT$6+6,$F12)-IF(BT$6&gt;$E12,BT$6,$E12)+1)/($F12-$E12+1))))</f>
        <v>0</v>
      </c>
      <c r="BU12" s="104" t="n">
        <f aca="false">IF($E12="",0,IF(BU$6+6&lt;$E12,0,IF(BU$6&gt;$F12,0,$D12*(IF(BU$6+6&lt;$F12,BU$6+6,$F12)-IF(BU$6&gt;$E12,BU$6,$E12)+1)/($F12-$E12+1))))</f>
        <v>0</v>
      </c>
      <c r="BV12" s="104" t="n">
        <f aca="false">IF($E12="",0,IF(BV$6+6&lt;$E12,0,IF(BV$6&gt;$F12,0,$D12*(IF(BV$6+6&lt;$F12,BV$6+6,$F12)-IF(BV$6&gt;$E12,BV$6,$E12)+1)/($F12-$E12+1))))</f>
        <v>0</v>
      </c>
      <c r="BW12" s="104" t="n">
        <f aca="false">IF($E12="",0,IF(BW$6+6&lt;$E12,0,IF(BW$6&gt;$F12,0,$D12*(IF(BW$6+6&lt;$F12,BW$6+6,$F12)-IF(BW$6&gt;$E12,BW$6,$E12)+1)/($F12-$E12+1))))</f>
        <v>0</v>
      </c>
      <c r="BX12" s="104" t="n">
        <f aca="false">IF($E12="",0,IF(BX$6+6&lt;$E12,0,IF(BX$6&gt;$F12,0,$D12*(IF(BX$6+6&lt;$F12,BX$6+6,$F12)-IF(BX$6&gt;$E12,BX$6,$E12)+1)/($F12-$E12+1))))</f>
        <v>0</v>
      </c>
      <c r="BY12" s="104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101"/>
      <c r="B13" s="101"/>
      <c r="C13" s="101" t="s">
        <v>695</v>
      </c>
      <c r="D13" s="102"/>
      <c r="E13" s="105" t="n">
        <v>46228</v>
      </c>
      <c r="F13" s="105" t="n">
        <v>46228</v>
      </c>
      <c r="G13" s="106"/>
      <c r="H13" s="107"/>
      <c r="I13" s="107"/>
      <c r="J13" s="107"/>
      <c r="K13" s="107"/>
      <c r="L13" s="107"/>
      <c r="M13" s="107"/>
      <c r="N13" s="107"/>
      <c r="O13" s="107"/>
      <c r="P13" s="107"/>
      <c r="Q13" s="107" t="n">
        <v>0.5</v>
      </c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</row>
    <row r="14" customFormat="false" ht="15" hidden="false" customHeight="false" outlineLevel="0" collapsed="false">
      <c r="A14" s="101" t="s">
        <v>226</v>
      </c>
      <c r="B14" s="101" t="s">
        <v>698</v>
      </c>
      <c r="C14" s="101" t="s">
        <v>694</v>
      </c>
      <c r="D14" s="102" t="n">
        <v>1.5</v>
      </c>
      <c r="E14" s="103" t="n">
        <v>46215</v>
      </c>
      <c r="F14" s="103" t="n">
        <v>46228</v>
      </c>
      <c r="G14" s="101" t="n">
        <v>13</v>
      </c>
      <c r="H14" s="104" t="n">
        <f aca="false">IF($E14="",0,IF(H$6+6&lt;$E14,0,IF(H$6&gt;$F14,0,$D14*(IF(H$6+6&lt;$F14,H$6+6,$F14)-IF(H$6&gt;$E14,H$6,$E14)+1)/($F14-$E14+1))))</f>
        <v>0</v>
      </c>
      <c r="I14" s="104" t="n">
        <f aca="false">IF($E14="",0,IF(I$6+6&lt;$E14,0,IF(I$6&gt;$F14,0,$D14*(IF(I$6+6&lt;$F14,I$6+6,$F14)-IF(I$6&gt;$E14,I$6,$E14)+1)/($F14-$E14+1))))</f>
        <v>0</v>
      </c>
      <c r="J14" s="104" t="n">
        <f aca="false">IF($E14="",0,IF(J$6+6&lt;$E14,0,IF(J$6&gt;$F14,0,$D14*(IF(J$6+6&lt;$F14,J$6+6,$F14)-IF(J$6&gt;$E14,J$6,$E14)+1)/($F14-$E14+1))))</f>
        <v>0</v>
      </c>
      <c r="K14" s="104" t="n">
        <f aca="false">IF($E14="",0,IF(K$6+6&lt;$E14,0,IF(K$6&gt;$F14,0,$D14*(IF(K$6+6&lt;$F14,K$6+6,$F14)-IF(K$6&gt;$E14,K$6,$E14)+1)/($F14-$E14+1))))</f>
        <v>0</v>
      </c>
      <c r="L14" s="104" t="n">
        <f aca="false">IF($E14="",0,IF(L$6+6&lt;$E14,0,IF(L$6&gt;$F14,0,$D14*(IF(L$6+6&lt;$F14,L$6+6,$F14)-IF(L$6&gt;$E14,L$6,$E14)+1)/($F14-$E14+1))))</f>
        <v>0</v>
      </c>
      <c r="M14" s="104" t="n">
        <f aca="false">IF($E14="",0,IF(M$6+6&lt;$E14,0,IF(M$6&gt;$F14,0,$D14*(IF(M$6+6&lt;$F14,M$6+6,$F14)-IF(M$6&gt;$E14,M$6,$E14)+1)/($F14-$E14+1))))</f>
        <v>0</v>
      </c>
      <c r="N14" s="104" t="n">
        <f aca="false">IF($E14="",0,IF(N$6+6&lt;$E14,0,IF(N$6&gt;$F14,0,$D14*(IF(N$6+6&lt;$F14,N$6+6,$F14)-IF(N$6&gt;$E14,N$6,$E14)+1)/($F14-$E14+1))))</f>
        <v>0</v>
      </c>
      <c r="O14" s="104" t="n">
        <f aca="false">IF($E14="",0,IF(O$6+6&lt;$E14,0,IF(O$6&gt;$F14,0,$D14*(IF(O$6+6&lt;$F14,O$6+6,$F14)-IF(O$6&gt;$E14,O$6,$E14)+1)/($F14-$E14+1))))</f>
        <v>0.107142857142857</v>
      </c>
      <c r="P14" s="104" t="n">
        <f aca="false">IF($E14="",0,IF(P$6+6&lt;$E14,0,IF(P$6&gt;$F14,0,$D14*(IF(P$6+6&lt;$F14,P$6+6,$F14)-IF(P$6&gt;$E14,P$6,$E14)+1)/($F14-$E14+1))))</f>
        <v>0.75</v>
      </c>
      <c r="Q14" s="104" t="n">
        <f aca="false">IF($E14="",0,IF(Q$6+6&lt;$E14,0,IF(Q$6&gt;$F14,0,$D14*(IF(Q$6+6&lt;$F14,Q$6+6,$F14)-IF(Q$6&gt;$E14,Q$6,$E14)+1)/($F14-$E14+1))))</f>
        <v>0.642857142857143</v>
      </c>
      <c r="R14" s="104" t="n">
        <f aca="false">IF($E14="",0,IF(R$6+6&lt;$E14,0,IF(R$6&gt;$F14,0,$D14*(IF(R$6+6&lt;$F14,R$6+6,$F14)-IF(R$6&gt;$E14,R$6,$E14)+1)/($F14-$E14+1))))</f>
        <v>0</v>
      </c>
      <c r="S14" s="104" t="n">
        <f aca="false">IF($E14="",0,IF(S$6+6&lt;$E14,0,IF(S$6&gt;$F14,0,$D14*(IF(S$6+6&lt;$F14,S$6+6,$F14)-IF(S$6&gt;$E14,S$6,$E14)+1)/($F14-$E14+1))))</f>
        <v>0</v>
      </c>
      <c r="T14" s="104" t="n">
        <f aca="false">IF($E14="",0,IF(T$6+6&lt;$E14,0,IF(T$6&gt;$F14,0,$D14*(IF(T$6+6&lt;$F14,T$6+6,$F14)-IF(T$6&gt;$E14,T$6,$E14)+1)/($F14-$E14+1))))</f>
        <v>0</v>
      </c>
      <c r="U14" s="104" t="n">
        <f aca="false">IF($E14="",0,IF(U$6+6&lt;$E14,0,IF(U$6&gt;$F14,0,$D14*(IF(U$6+6&lt;$F14,U$6+6,$F14)-IF(U$6&gt;$E14,U$6,$E14)+1)/($F14-$E14+1))))</f>
        <v>0</v>
      </c>
      <c r="V14" s="104" t="n">
        <f aca="false">IF($E14="",0,IF(V$6+6&lt;$E14,0,IF(V$6&gt;$F14,0,$D14*(IF(V$6+6&lt;$F14,V$6+6,$F14)-IF(V$6&gt;$E14,V$6,$E14)+1)/($F14-$E14+1))))</f>
        <v>0</v>
      </c>
      <c r="W14" s="104" t="n">
        <f aca="false">IF($E14="",0,IF(W$6+6&lt;$E14,0,IF(W$6&gt;$F14,0,$D14*(IF(W$6+6&lt;$F14,W$6+6,$F14)-IF(W$6&gt;$E14,W$6,$E14)+1)/($F14-$E14+1))))</f>
        <v>0</v>
      </c>
      <c r="X14" s="104" t="n">
        <f aca="false">IF($E14="",0,IF(X$6+6&lt;$E14,0,IF(X$6&gt;$F14,0,$D14*(IF(X$6+6&lt;$F14,X$6+6,$F14)-IF(X$6&gt;$E14,X$6,$E14)+1)/($F14-$E14+1))))</f>
        <v>0</v>
      </c>
      <c r="Y14" s="104" t="n">
        <f aca="false">IF($E14="",0,IF(Y$6+6&lt;$E14,0,IF(Y$6&gt;$F14,0,$D14*(IF(Y$6+6&lt;$F14,Y$6+6,$F14)-IF(Y$6&gt;$E14,Y$6,$E14)+1)/($F14-$E14+1))))</f>
        <v>0</v>
      </c>
      <c r="Z14" s="104" t="n">
        <f aca="false">IF($E14="",0,IF(Z$6+6&lt;$E14,0,IF(Z$6&gt;$F14,0,$D14*(IF(Z$6+6&lt;$F14,Z$6+6,$F14)-IF(Z$6&gt;$E14,Z$6,$E14)+1)/($F14-$E14+1))))</f>
        <v>0</v>
      </c>
      <c r="AA14" s="104" t="n">
        <f aca="false">IF($E14="",0,IF(AA$6+6&lt;$E14,0,IF(AA$6&gt;$F14,0,$D14*(IF(AA$6+6&lt;$F14,AA$6+6,$F14)-IF(AA$6&gt;$E14,AA$6,$E14)+1)/($F14-$E14+1))))</f>
        <v>0</v>
      </c>
      <c r="AB14" s="104" t="n">
        <f aca="false">IF($E14="",0,IF(AB$6+6&lt;$E14,0,IF(AB$6&gt;$F14,0,$D14*(IF(AB$6+6&lt;$F14,AB$6+6,$F14)-IF(AB$6&gt;$E14,AB$6,$E14)+1)/($F14-$E14+1))))</f>
        <v>0</v>
      </c>
      <c r="AC14" s="104" t="n">
        <f aca="false">IF($E14="",0,IF(AC$6+6&lt;$E14,0,IF(AC$6&gt;$F14,0,$D14*(IF(AC$6+6&lt;$F14,AC$6+6,$F14)-IF(AC$6&gt;$E14,AC$6,$E14)+1)/($F14-$E14+1))))</f>
        <v>0</v>
      </c>
      <c r="AD14" s="104" t="n">
        <f aca="false">IF($E14="",0,IF(AD$6+6&lt;$E14,0,IF(AD$6&gt;$F14,0,$D14*(IF(AD$6+6&lt;$F14,AD$6+6,$F14)-IF(AD$6&gt;$E14,AD$6,$E14)+1)/($F14-$E14+1))))</f>
        <v>0</v>
      </c>
      <c r="AE14" s="104" t="n">
        <f aca="false">IF($E14="",0,IF(AE$6+6&lt;$E14,0,IF(AE$6&gt;$F14,0,$D14*(IF(AE$6+6&lt;$F14,AE$6+6,$F14)-IF(AE$6&gt;$E14,AE$6,$E14)+1)/($F14-$E14+1))))</f>
        <v>0</v>
      </c>
      <c r="AF14" s="104" t="n">
        <f aca="false">IF($E14="",0,IF(AF$6+6&lt;$E14,0,IF(AF$6&gt;$F14,0,$D14*(IF(AF$6+6&lt;$F14,AF$6+6,$F14)-IF(AF$6&gt;$E14,AF$6,$E14)+1)/($F14-$E14+1))))</f>
        <v>0</v>
      </c>
      <c r="AG14" s="104" t="n">
        <f aca="false">IF($E14="",0,IF(AG$6+6&lt;$E14,0,IF(AG$6&gt;$F14,0,$D14*(IF(AG$6+6&lt;$F14,AG$6+6,$F14)-IF(AG$6&gt;$E14,AG$6,$E14)+1)/($F14-$E14+1))))</f>
        <v>0</v>
      </c>
      <c r="AH14" s="104" t="n">
        <f aca="false">IF($E14="",0,IF(AH$6+6&lt;$E14,0,IF(AH$6&gt;$F14,0,$D14*(IF(AH$6+6&lt;$F14,AH$6+6,$F14)-IF(AH$6&gt;$E14,AH$6,$E14)+1)/($F14-$E14+1))))</f>
        <v>0</v>
      </c>
      <c r="AI14" s="104" t="n">
        <f aca="false">IF($E14="",0,IF(AI$6+6&lt;$E14,0,IF(AI$6&gt;$F14,0,$D14*(IF(AI$6+6&lt;$F14,AI$6+6,$F14)-IF(AI$6&gt;$E14,AI$6,$E14)+1)/($F14-$E14+1))))</f>
        <v>0</v>
      </c>
      <c r="AJ14" s="104" t="n">
        <f aca="false">IF($E14="",0,IF(AJ$6+6&lt;$E14,0,IF(AJ$6&gt;$F14,0,$D14*(IF(AJ$6+6&lt;$F14,AJ$6+6,$F14)-IF(AJ$6&gt;$E14,AJ$6,$E14)+1)/($F14-$E14+1))))</f>
        <v>0</v>
      </c>
      <c r="AK14" s="104" t="n">
        <f aca="false">IF($E14="",0,IF(AK$6+6&lt;$E14,0,IF(AK$6&gt;$F14,0,$D14*(IF(AK$6+6&lt;$F14,AK$6+6,$F14)-IF(AK$6&gt;$E14,AK$6,$E14)+1)/($F14-$E14+1))))</f>
        <v>0</v>
      </c>
      <c r="AL14" s="104" t="n">
        <f aca="false">IF($E14="",0,IF(AL$6+6&lt;$E14,0,IF(AL$6&gt;$F14,0,$D14*(IF(AL$6+6&lt;$F14,AL$6+6,$F14)-IF(AL$6&gt;$E14,AL$6,$E14)+1)/($F14-$E14+1))))</f>
        <v>0</v>
      </c>
      <c r="AM14" s="104" t="n">
        <f aca="false">IF($E14="",0,IF(AM$6+6&lt;$E14,0,IF(AM$6&gt;$F14,0,$D14*(IF(AM$6+6&lt;$F14,AM$6+6,$F14)-IF(AM$6&gt;$E14,AM$6,$E14)+1)/($F14-$E14+1))))</f>
        <v>0</v>
      </c>
      <c r="AN14" s="104" t="n">
        <f aca="false">IF($E14="",0,IF(AN$6+6&lt;$E14,0,IF(AN$6&gt;$F14,0,$D14*(IF(AN$6+6&lt;$F14,AN$6+6,$F14)-IF(AN$6&gt;$E14,AN$6,$E14)+1)/($F14-$E14+1))))</f>
        <v>0</v>
      </c>
      <c r="AO14" s="104" t="n">
        <f aca="false">IF($E14="",0,IF(AO$6+6&lt;$E14,0,IF(AO$6&gt;$F14,0,$D14*(IF(AO$6+6&lt;$F14,AO$6+6,$F14)-IF(AO$6&gt;$E14,AO$6,$E14)+1)/($F14-$E14+1))))</f>
        <v>0</v>
      </c>
      <c r="AP14" s="104" t="n">
        <f aca="false">IF($E14="",0,IF(AP$6+6&lt;$E14,0,IF(AP$6&gt;$F14,0,$D14*(IF(AP$6+6&lt;$F14,AP$6+6,$F14)-IF(AP$6&gt;$E14,AP$6,$E14)+1)/($F14-$E14+1))))</f>
        <v>0</v>
      </c>
      <c r="AQ14" s="104" t="n">
        <f aca="false">IF($E14="",0,IF(AQ$6+6&lt;$E14,0,IF(AQ$6&gt;$F14,0,$D14*(IF(AQ$6+6&lt;$F14,AQ$6+6,$F14)-IF(AQ$6&gt;$E14,AQ$6,$E14)+1)/($F14-$E14+1))))</f>
        <v>0</v>
      </c>
      <c r="AR14" s="104" t="n">
        <f aca="false">IF($E14="",0,IF(AR$6+6&lt;$E14,0,IF(AR$6&gt;$F14,0,$D14*(IF(AR$6+6&lt;$F14,AR$6+6,$F14)-IF(AR$6&gt;$E14,AR$6,$E14)+1)/($F14-$E14+1))))</f>
        <v>0</v>
      </c>
      <c r="AS14" s="104" t="n">
        <f aca="false">IF($E14="",0,IF(AS$6+6&lt;$E14,0,IF(AS$6&gt;$F14,0,$D14*(IF(AS$6+6&lt;$F14,AS$6+6,$F14)-IF(AS$6&gt;$E14,AS$6,$E14)+1)/($F14-$E14+1))))</f>
        <v>0</v>
      </c>
      <c r="AT14" s="104" t="n">
        <f aca="false">IF($E14="",0,IF(AT$6+6&lt;$E14,0,IF(AT$6&gt;$F14,0,$D14*(IF(AT$6+6&lt;$F14,AT$6+6,$F14)-IF(AT$6&gt;$E14,AT$6,$E14)+1)/($F14-$E14+1))))</f>
        <v>0</v>
      </c>
      <c r="AU14" s="104" t="n">
        <f aca="false">IF($E14="",0,IF(AU$6+6&lt;$E14,0,IF(AU$6&gt;$F14,0,$D14*(IF(AU$6+6&lt;$F14,AU$6+6,$F14)-IF(AU$6&gt;$E14,AU$6,$E14)+1)/($F14-$E14+1))))</f>
        <v>0</v>
      </c>
      <c r="AV14" s="104" t="n">
        <f aca="false">IF($E14="",0,IF(AV$6+6&lt;$E14,0,IF(AV$6&gt;$F14,0,$D14*(IF(AV$6+6&lt;$F14,AV$6+6,$F14)-IF(AV$6&gt;$E14,AV$6,$E14)+1)/($F14-$E14+1))))</f>
        <v>0</v>
      </c>
      <c r="AW14" s="104" t="n">
        <f aca="false">IF($E14="",0,IF(AW$6+6&lt;$E14,0,IF(AW$6&gt;$F14,0,$D14*(IF(AW$6+6&lt;$F14,AW$6+6,$F14)-IF(AW$6&gt;$E14,AW$6,$E14)+1)/($F14-$E14+1))))</f>
        <v>0</v>
      </c>
      <c r="AX14" s="104" t="n">
        <f aca="false">IF($E14="",0,IF(AX$6+6&lt;$E14,0,IF(AX$6&gt;$F14,0,$D14*(IF(AX$6+6&lt;$F14,AX$6+6,$F14)-IF(AX$6&gt;$E14,AX$6,$E14)+1)/($F14-$E14+1))))</f>
        <v>0</v>
      </c>
      <c r="AY14" s="104" t="n">
        <f aca="false">IF($E14="",0,IF(AY$6+6&lt;$E14,0,IF(AY$6&gt;$F14,0,$D14*(IF(AY$6+6&lt;$F14,AY$6+6,$F14)-IF(AY$6&gt;$E14,AY$6,$E14)+1)/($F14-$E14+1))))</f>
        <v>0</v>
      </c>
      <c r="AZ14" s="104" t="n">
        <f aca="false">IF($E14="",0,IF(AZ$6+6&lt;$E14,0,IF(AZ$6&gt;$F14,0,$D14*(IF(AZ$6+6&lt;$F14,AZ$6+6,$F14)-IF(AZ$6&gt;$E14,AZ$6,$E14)+1)/($F14-$E14+1))))</f>
        <v>0</v>
      </c>
      <c r="BA14" s="104" t="n">
        <f aca="false">IF($E14="",0,IF(BA$6+6&lt;$E14,0,IF(BA$6&gt;$F14,0,$D14*(IF(BA$6+6&lt;$F14,BA$6+6,$F14)-IF(BA$6&gt;$E14,BA$6,$E14)+1)/($F14-$E14+1))))</f>
        <v>0</v>
      </c>
      <c r="BB14" s="104" t="n">
        <f aca="false">IF($E14="",0,IF(BB$6+6&lt;$E14,0,IF(BB$6&gt;$F14,0,$D14*(IF(BB$6+6&lt;$F14,BB$6+6,$F14)-IF(BB$6&gt;$E14,BB$6,$E14)+1)/($F14-$E14+1))))</f>
        <v>0</v>
      </c>
      <c r="BC14" s="104" t="n">
        <f aca="false">IF($E14="",0,IF(BC$6+6&lt;$E14,0,IF(BC$6&gt;$F14,0,$D14*(IF(BC$6+6&lt;$F14,BC$6+6,$F14)-IF(BC$6&gt;$E14,BC$6,$E14)+1)/($F14-$E14+1))))</f>
        <v>0</v>
      </c>
      <c r="BD14" s="104" t="n">
        <f aca="false">IF($E14="",0,IF(BD$6+6&lt;$E14,0,IF(BD$6&gt;$F14,0,$D14*(IF(BD$6+6&lt;$F14,BD$6+6,$F14)-IF(BD$6&gt;$E14,BD$6,$E14)+1)/($F14-$E14+1))))</f>
        <v>0</v>
      </c>
      <c r="BE14" s="104" t="n">
        <f aca="false">IF($E14="",0,IF(BE$6+6&lt;$E14,0,IF(BE$6&gt;$F14,0,$D14*(IF(BE$6+6&lt;$F14,BE$6+6,$F14)-IF(BE$6&gt;$E14,BE$6,$E14)+1)/($F14-$E14+1))))</f>
        <v>0</v>
      </c>
      <c r="BF14" s="104" t="n">
        <f aca="false">IF($E14="",0,IF(BF$6+6&lt;$E14,0,IF(BF$6&gt;$F14,0,$D14*(IF(BF$6+6&lt;$F14,BF$6+6,$F14)-IF(BF$6&gt;$E14,BF$6,$E14)+1)/($F14-$E14+1))))</f>
        <v>0</v>
      </c>
      <c r="BG14" s="104" t="n">
        <f aca="false">IF($E14="",0,IF(BG$6+6&lt;$E14,0,IF(BG$6&gt;$F14,0,$D14*(IF(BG$6+6&lt;$F14,BG$6+6,$F14)-IF(BG$6&gt;$E14,BG$6,$E14)+1)/($F14-$E14+1))))</f>
        <v>0</v>
      </c>
      <c r="BH14" s="104" t="n">
        <f aca="false">IF($E14="",0,IF(BH$6+6&lt;$E14,0,IF(BH$6&gt;$F14,0,$D14*(IF(BH$6+6&lt;$F14,BH$6+6,$F14)-IF(BH$6&gt;$E14,BH$6,$E14)+1)/($F14-$E14+1))))</f>
        <v>0</v>
      </c>
      <c r="BI14" s="104" t="n">
        <f aca="false">IF($E14="",0,IF(BI$6+6&lt;$E14,0,IF(BI$6&gt;$F14,0,$D14*(IF(BI$6+6&lt;$F14,BI$6+6,$F14)-IF(BI$6&gt;$E14,BI$6,$E14)+1)/($F14-$E14+1))))</f>
        <v>0</v>
      </c>
      <c r="BJ14" s="104" t="n">
        <f aca="false">IF($E14="",0,IF(BJ$6+6&lt;$E14,0,IF(BJ$6&gt;$F14,0,$D14*(IF(BJ$6+6&lt;$F14,BJ$6+6,$F14)-IF(BJ$6&gt;$E14,BJ$6,$E14)+1)/($F14-$E14+1))))</f>
        <v>0</v>
      </c>
      <c r="BK14" s="104" t="n">
        <f aca="false">IF($E14="",0,IF(BK$6+6&lt;$E14,0,IF(BK$6&gt;$F14,0,$D14*(IF(BK$6+6&lt;$F14,BK$6+6,$F14)-IF(BK$6&gt;$E14,BK$6,$E14)+1)/($F14-$E14+1))))</f>
        <v>0</v>
      </c>
      <c r="BL14" s="104" t="n">
        <f aca="false">IF($E14="",0,IF(BL$6+6&lt;$E14,0,IF(BL$6&gt;$F14,0,$D14*(IF(BL$6+6&lt;$F14,BL$6+6,$F14)-IF(BL$6&gt;$E14,BL$6,$E14)+1)/($F14-$E14+1))))</f>
        <v>0</v>
      </c>
      <c r="BM14" s="104" t="n">
        <f aca="false">IF($E14="",0,IF(BM$6+6&lt;$E14,0,IF(BM$6&gt;$F14,0,$D14*(IF(BM$6+6&lt;$F14,BM$6+6,$F14)-IF(BM$6&gt;$E14,BM$6,$E14)+1)/($F14-$E14+1))))</f>
        <v>0</v>
      </c>
      <c r="BN14" s="104" t="n">
        <f aca="false">IF($E14="",0,IF(BN$6+6&lt;$E14,0,IF(BN$6&gt;$F14,0,$D14*(IF(BN$6+6&lt;$F14,BN$6+6,$F14)-IF(BN$6&gt;$E14,BN$6,$E14)+1)/($F14-$E14+1))))</f>
        <v>0</v>
      </c>
      <c r="BO14" s="104" t="n">
        <f aca="false">IF($E14="",0,IF(BO$6+6&lt;$E14,0,IF(BO$6&gt;$F14,0,$D14*(IF(BO$6+6&lt;$F14,BO$6+6,$F14)-IF(BO$6&gt;$E14,BO$6,$E14)+1)/($F14-$E14+1))))</f>
        <v>0</v>
      </c>
      <c r="BP14" s="104" t="n">
        <f aca="false">IF($E14="",0,IF(BP$6+6&lt;$E14,0,IF(BP$6&gt;$F14,0,$D14*(IF(BP$6+6&lt;$F14,BP$6+6,$F14)-IF(BP$6&gt;$E14,BP$6,$E14)+1)/($F14-$E14+1))))</f>
        <v>0</v>
      </c>
      <c r="BQ14" s="104" t="n">
        <f aca="false">IF($E14="",0,IF(BQ$6+6&lt;$E14,0,IF(BQ$6&gt;$F14,0,$D14*(IF(BQ$6+6&lt;$F14,BQ$6+6,$F14)-IF(BQ$6&gt;$E14,BQ$6,$E14)+1)/($F14-$E14+1))))</f>
        <v>0</v>
      </c>
      <c r="BR14" s="104" t="n">
        <f aca="false">IF($E14="",0,IF(BR$6+6&lt;$E14,0,IF(BR$6&gt;$F14,0,$D14*(IF(BR$6+6&lt;$F14,BR$6+6,$F14)-IF(BR$6&gt;$E14,BR$6,$E14)+1)/($F14-$E14+1))))</f>
        <v>0</v>
      </c>
      <c r="BS14" s="104" t="n">
        <f aca="false">IF($E14="",0,IF(BS$6+6&lt;$E14,0,IF(BS$6&gt;$F14,0,$D14*(IF(BS$6+6&lt;$F14,BS$6+6,$F14)-IF(BS$6&gt;$E14,BS$6,$E14)+1)/($F14-$E14+1))))</f>
        <v>0</v>
      </c>
      <c r="BT14" s="104" t="n">
        <f aca="false">IF($E14="",0,IF(BT$6+6&lt;$E14,0,IF(BT$6&gt;$F14,0,$D14*(IF(BT$6+6&lt;$F14,BT$6+6,$F14)-IF(BT$6&gt;$E14,BT$6,$E14)+1)/($F14-$E14+1))))</f>
        <v>0</v>
      </c>
      <c r="BU14" s="104" t="n">
        <f aca="false">IF($E14="",0,IF(BU$6+6&lt;$E14,0,IF(BU$6&gt;$F14,0,$D14*(IF(BU$6+6&lt;$F14,BU$6+6,$F14)-IF(BU$6&gt;$E14,BU$6,$E14)+1)/($F14-$E14+1))))</f>
        <v>0</v>
      </c>
      <c r="BV14" s="104" t="n">
        <f aca="false">IF($E14="",0,IF(BV$6+6&lt;$E14,0,IF(BV$6&gt;$F14,0,$D14*(IF(BV$6+6&lt;$F14,BV$6+6,$F14)-IF(BV$6&gt;$E14,BV$6,$E14)+1)/($F14-$E14+1))))</f>
        <v>0</v>
      </c>
      <c r="BW14" s="104" t="n">
        <f aca="false">IF($E14="",0,IF(BW$6+6&lt;$E14,0,IF(BW$6&gt;$F14,0,$D14*(IF(BW$6+6&lt;$F14,BW$6+6,$F14)-IF(BW$6&gt;$E14,BW$6,$E14)+1)/($F14-$E14+1))))</f>
        <v>0</v>
      </c>
      <c r="BX14" s="104" t="n">
        <f aca="false">IF($E14="",0,IF(BX$6+6&lt;$E14,0,IF(BX$6&gt;$F14,0,$D14*(IF(BX$6+6&lt;$F14,BX$6+6,$F14)-IF(BX$6&gt;$E14,BX$6,$E14)+1)/($F14-$E14+1))))</f>
        <v>0</v>
      </c>
      <c r="BY14" s="104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101"/>
      <c r="B15" s="101"/>
      <c r="C15" s="101" t="s">
        <v>695</v>
      </c>
      <c r="D15" s="102"/>
      <c r="E15" s="105" t="n">
        <v>46210</v>
      </c>
      <c r="F15" s="105" t="n">
        <v>46223</v>
      </c>
      <c r="G15" s="106"/>
      <c r="H15" s="107"/>
      <c r="I15" s="107"/>
      <c r="J15" s="107"/>
      <c r="K15" s="107"/>
      <c r="L15" s="107"/>
      <c r="M15" s="107"/>
      <c r="N15" s="107"/>
      <c r="O15" s="107" t="n">
        <v>0.5</v>
      </c>
      <c r="P15" s="107" t="n">
        <v>0.5</v>
      </c>
      <c r="Q15" s="107" t="n">
        <v>0.5</v>
      </c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</row>
    <row r="16" customFormat="false" ht="15" hidden="false" customHeight="false" outlineLevel="0" collapsed="false">
      <c r="A16" s="101" t="s">
        <v>243</v>
      </c>
      <c r="B16" s="101" t="s">
        <v>699</v>
      </c>
      <c r="C16" s="101" t="s">
        <v>694</v>
      </c>
      <c r="D16" s="102" t="n">
        <v>0</v>
      </c>
      <c r="E16" s="103"/>
      <c r="F16" s="103"/>
      <c r="G16" s="101"/>
      <c r="H16" s="104" t="n">
        <f aca="false">IF($E16="",0,IF(H$6+6&lt;$E16,0,IF(H$6&gt;$F16,0,$D16*(IF(H$6+6&lt;$F16,H$6+6,$F16)-IF(H$6&gt;$E16,H$6,$E16)+1)/($F16-$E16+1))))</f>
        <v>0</v>
      </c>
      <c r="I16" s="104" t="n">
        <f aca="false">IF($E16="",0,IF(I$6+6&lt;$E16,0,IF(I$6&gt;$F16,0,$D16*(IF(I$6+6&lt;$F16,I$6+6,$F16)-IF(I$6&gt;$E16,I$6,$E16)+1)/($F16-$E16+1))))</f>
        <v>0</v>
      </c>
      <c r="J16" s="104" t="n">
        <f aca="false">IF($E16="",0,IF(J$6+6&lt;$E16,0,IF(J$6&gt;$F16,0,$D16*(IF(J$6+6&lt;$F16,J$6+6,$F16)-IF(J$6&gt;$E16,J$6,$E16)+1)/($F16-$E16+1))))</f>
        <v>0</v>
      </c>
      <c r="K16" s="104" t="n">
        <f aca="false">IF($E16="",0,IF(K$6+6&lt;$E16,0,IF(K$6&gt;$F16,0,$D16*(IF(K$6+6&lt;$F16,K$6+6,$F16)-IF(K$6&gt;$E16,K$6,$E16)+1)/($F16-$E16+1))))</f>
        <v>0</v>
      </c>
      <c r="L16" s="104" t="n">
        <f aca="false">IF($E16="",0,IF(L$6+6&lt;$E16,0,IF(L$6&gt;$F16,0,$D16*(IF(L$6+6&lt;$F16,L$6+6,$F16)-IF(L$6&gt;$E16,L$6,$E16)+1)/($F16-$E16+1))))</f>
        <v>0</v>
      </c>
      <c r="M16" s="104" t="n">
        <f aca="false">IF($E16="",0,IF(M$6+6&lt;$E16,0,IF(M$6&gt;$F16,0,$D16*(IF(M$6+6&lt;$F16,M$6+6,$F16)-IF(M$6&gt;$E16,M$6,$E16)+1)/($F16-$E16+1))))</f>
        <v>0</v>
      </c>
      <c r="N16" s="104" t="n">
        <f aca="false">IF($E16="",0,IF(N$6+6&lt;$E16,0,IF(N$6&gt;$F16,0,$D16*(IF(N$6+6&lt;$F16,N$6+6,$F16)-IF(N$6&gt;$E16,N$6,$E16)+1)/($F16-$E16+1))))</f>
        <v>0</v>
      </c>
      <c r="O16" s="104" t="n">
        <f aca="false">IF($E16="",0,IF(O$6+6&lt;$E16,0,IF(O$6&gt;$F16,0,$D16*(IF(O$6+6&lt;$F16,O$6+6,$F16)-IF(O$6&gt;$E16,O$6,$E16)+1)/($F16-$E16+1))))</f>
        <v>0</v>
      </c>
      <c r="P16" s="104" t="n">
        <f aca="false">IF($E16="",0,IF(P$6+6&lt;$E16,0,IF(P$6&gt;$F16,0,$D16*(IF(P$6+6&lt;$F16,P$6+6,$F16)-IF(P$6&gt;$E16,P$6,$E16)+1)/($F16-$E16+1))))</f>
        <v>0</v>
      </c>
      <c r="Q16" s="104" t="n">
        <f aca="false">IF($E16="",0,IF(Q$6+6&lt;$E16,0,IF(Q$6&gt;$F16,0,$D16*(IF(Q$6+6&lt;$F16,Q$6+6,$F16)-IF(Q$6&gt;$E16,Q$6,$E16)+1)/($F16-$E16+1))))</f>
        <v>0</v>
      </c>
      <c r="R16" s="104" t="n">
        <f aca="false">IF($E16="",0,IF(R$6+6&lt;$E16,0,IF(R$6&gt;$F16,0,$D16*(IF(R$6+6&lt;$F16,R$6+6,$F16)-IF(R$6&gt;$E16,R$6,$E16)+1)/($F16-$E16+1))))</f>
        <v>0</v>
      </c>
      <c r="S16" s="104" t="n">
        <f aca="false">IF($E16="",0,IF(S$6+6&lt;$E16,0,IF(S$6&gt;$F16,0,$D16*(IF(S$6+6&lt;$F16,S$6+6,$F16)-IF(S$6&gt;$E16,S$6,$E16)+1)/($F16-$E16+1))))</f>
        <v>0</v>
      </c>
      <c r="T16" s="104" t="n">
        <f aca="false">IF($E16="",0,IF(T$6+6&lt;$E16,0,IF(T$6&gt;$F16,0,$D16*(IF(T$6+6&lt;$F16,T$6+6,$F16)-IF(T$6&gt;$E16,T$6,$E16)+1)/($F16-$E16+1))))</f>
        <v>0</v>
      </c>
      <c r="U16" s="104" t="n">
        <f aca="false">IF($E16="",0,IF(U$6+6&lt;$E16,0,IF(U$6&gt;$F16,0,$D16*(IF(U$6+6&lt;$F16,U$6+6,$F16)-IF(U$6&gt;$E16,U$6,$E16)+1)/($F16-$E16+1))))</f>
        <v>0</v>
      </c>
      <c r="V16" s="104" t="n">
        <f aca="false">IF($E16="",0,IF(V$6+6&lt;$E16,0,IF(V$6&gt;$F16,0,$D16*(IF(V$6+6&lt;$F16,V$6+6,$F16)-IF(V$6&gt;$E16,V$6,$E16)+1)/($F16-$E16+1))))</f>
        <v>0</v>
      </c>
      <c r="W16" s="104" t="n">
        <f aca="false">IF($E16="",0,IF(W$6+6&lt;$E16,0,IF(W$6&gt;$F16,0,$D16*(IF(W$6+6&lt;$F16,W$6+6,$F16)-IF(W$6&gt;$E16,W$6,$E16)+1)/($F16-$E16+1))))</f>
        <v>0</v>
      </c>
      <c r="X16" s="104" t="n">
        <f aca="false">IF($E16="",0,IF(X$6+6&lt;$E16,0,IF(X$6&gt;$F16,0,$D16*(IF(X$6+6&lt;$F16,X$6+6,$F16)-IF(X$6&gt;$E16,X$6,$E16)+1)/($F16-$E16+1))))</f>
        <v>0</v>
      </c>
      <c r="Y16" s="104" t="n">
        <f aca="false">IF($E16="",0,IF(Y$6+6&lt;$E16,0,IF(Y$6&gt;$F16,0,$D16*(IF(Y$6+6&lt;$F16,Y$6+6,$F16)-IF(Y$6&gt;$E16,Y$6,$E16)+1)/($F16-$E16+1))))</f>
        <v>0</v>
      </c>
      <c r="Z16" s="104" t="n">
        <f aca="false">IF($E16="",0,IF(Z$6+6&lt;$E16,0,IF(Z$6&gt;$F16,0,$D16*(IF(Z$6+6&lt;$F16,Z$6+6,$F16)-IF(Z$6&gt;$E16,Z$6,$E16)+1)/($F16-$E16+1))))</f>
        <v>0</v>
      </c>
      <c r="AA16" s="104" t="n">
        <f aca="false">IF($E16="",0,IF(AA$6+6&lt;$E16,0,IF(AA$6&gt;$F16,0,$D16*(IF(AA$6+6&lt;$F16,AA$6+6,$F16)-IF(AA$6&gt;$E16,AA$6,$E16)+1)/($F16-$E16+1))))</f>
        <v>0</v>
      </c>
      <c r="AB16" s="104" t="n">
        <f aca="false">IF($E16="",0,IF(AB$6+6&lt;$E16,0,IF(AB$6&gt;$F16,0,$D16*(IF(AB$6+6&lt;$F16,AB$6+6,$F16)-IF(AB$6&gt;$E16,AB$6,$E16)+1)/($F16-$E16+1))))</f>
        <v>0</v>
      </c>
      <c r="AC16" s="104" t="n">
        <f aca="false">IF($E16="",0,IF(AC$6+6&lt;$E16,0,IF(AC$6&gt;$F16,0,$D16*(IF(AC$6+6&lt;$F16,AC$6+6,$F16)-IF(AC$6&gt;$E16,AC$6,$E16)+1)/($F16-$E16+1))))</f>
        <v>0</v>
      </c>
      <c r="AD16" s="104" t="n">
        <f aca="false">IF($E16="",0,IF(AD$6+6&lt;$E16,0,IF(AD$6&gt;$F16,0,$D16*(IF(AD$6+6&lt;$F16,AD$6+6,$F16)-IF(AD$6&gt;$E16,AD$6,$E16)+1)/($F16-$E16+1))))</f>
        <v>0</v>
      </c>
      <c r="AE16" s="104" t="n">
        <f aca="false">IF($E16="",0,IF(AE$6+6&lt;$E16,0,IF(AE$6&gt;$F16,0,$D16*(IF(AE$6+6&lt;$F16,AE$6+6,$F16)-IF(AE$6&gt;$E16,AE$6,$E16)+1)/($F16-$E16+1))))</f>
        <v>0</v>
      </c>
      <c r="AF16" s="104" t="n">
        <f aca="false">IF($E16="",0,IF(AF$6+6&lt;$E16,0,IF(AF$6&gt;$F16,0,$D16*(IF(AF$6+6&lt;$F16,AF$6+6,$F16)-IF(AF$6&gt;$E16,AF$6,$E16)+1)/($F16-$E16+1))))</f>
        <v>0</v>
      </c>
      <c r="AG16" s="104" t="n">
        <f aca="false">IF($E16="",0,IF(AG$6+6&lt;$E16,0,IF(AG$6&gt;$F16,0,$D16*(IF(AG$6+6&lt;$F16,AG$6+6,$F16)-IF(AG$6&gt;$E16,AG$6,$E16)+1)/($F16-$E16+1))))</f>
        <v>0</v>
      </c>
      <c r="AH16" s="104" t="n">
        <f aca="false">IF($E16="",0,IF(AH$6+6&lt;$E16,0,IF(AH$6&gt;$F16,0,$D16*(IF(AH$6+6&lt;$F16,AH$6+6,$F16)-IF(AH$6&gt;$E16,AH$6,$E16)+1)/($F16-$E16+1))))</f>
        <v>0</v>
      </c>
      <c r="AI16" s="104" t="n">
        <f aca="false">IF($E16="",0,IF(AI$6+6&lt;$E16,0,IF(AI$6&gt;$F16,0,$D16*(IF(AI$6+6&lt;$F16,AI$6+6,$F16)-IF(AI$6&gt;$E16,AI$6,$E16)+1)/($F16-$E16+1))))</f>
        <v>0</v>
      </c>
      <c r="AJ16" s="104" t="n">
        <f aca="false">IF($E16="",0,IF(AJ$6+6&lt;$E16,0,IF(AJ$6&gt;$F16,0,$D16*(IF(AJ$6+6&lt;$F16,AJ$6+6,$F16)-IF(AJ$6&gt;$E16,AJ$6,$E16)+1)/($F16-$E16+1))))</f>
        <v>0</v>
      </c>
      <c r="AK16" s="104" t="n">
        <f aca="false">IF($E16="",0,IF(AK$6+6&lt;$E16,0,IF(AK$6&gt;$F16,0,$D16*(IF(AK$6+6&lt;$F16,AK$6+6,$F16)-IF(AK$6&gt;$E16,AK$6,$E16)+1)/($F16-$E16+1))))</f>
        <v>0</v>
      </c>
      <c r="AL16" s="104" t="n">
        <f aca="false">IF($E16="",0,IF(AL$6+6&lt;$E16,0,IF(AL$6&gt;$F16,0,$D16*(IF(AL$6+6&lt;$F16,AL$6+6,$F16)-IF(AL$6&gt;$E16,AL$6,$E16)+1)/($F16-$E16+1))))</f>
        <v>0</v>
      </c>
      <c r="AM16" s="104" t="n">
        <f aca="false">IF($E16="",0,IF(AM$6+6&lt;$E16,0,IF(AM$6&gt;$F16,0,$D16*(IF(AM$6+6&lt;$F16,AM$6+6,$F16)-IF(AM$6&gt;$E16,AM$6,$E16)+1)/($F16-$E16+1))))</f>
        <v>0</v>
      </c>
      <c r="AN16" s="104" t="n">
        <f aca="false">IF($E16="",0,IF(AN$6+6&lt;$E16,0,IF(AN$6&gt;$F16,0,$D16*(IF(AN$6+6&lt;$F16,AN$6+6,$F16)-IF(AN$6&gt;$E16,AN$6,$E16)+1)/($F16-$E16+1))))</f>
        <v>0</v>
      </c>
      <c r="AO16" s="104" t="n">
        <f aca="false">IF($E16="",0,IF(AO$6+6&lt;$E16,0,IF(AO$6&gt;$F16,0,$D16*(IF(AO$6+6&lt;$F16,AO$6+6,$F16)-IF(AO$6&gt;$E16,AO$6,$E16)+1)/($F16-$E16+1))))</f>
        <v>0</v>
      </c>
      <c r="AP16" s="104" t="n">
        <f aca="false">IF($E16="",0,IF(AP$6+6&lt;$E16,0,IF(AP$6&gt;$F16,0,$D16*(IF(AP$6+6&lt;$F16,AP$6+6,$F16)-IF(AP$6&gt;$E16,AP$6,$E16)+1)/($F16-$E16+1))))</f>
        <v>0</v>
      </c>
      <c r="AQ16" s="104" t="n">
        <f aca="false">IF($E16="",0,IF(AQ$6+6&lt;$E16,0,IF(AQ$6&gt;$F16,0,$D16*(IF(AQ$6+6&lt;$F16,AQ$6+6,$F16)-IF(AQ$6&gt;$E16,AQ$6,$E16)+1)/($F16-$E16+1))))</f>
        <v>0</v>
      </c>
      <c r="AR16" s="104" t="n">
        <f aca="false">IF($E16="",0,IF(AR$6+6&lt;$E16,0,IF(AR$6&gt;$F16,0,$D16*(IF(AR$6+6&lt;$F16,AR$6+6,$F16)-IF(AR$6&gt;$E16,AR$6,$E16)+1)/($F16-$E16+1))))</f>
        <v>0</v>
      </c>
      <c r="AS16" s="104" t="n">
        <f aca="false">IF($E16="",0,IF(AS$6+6&lt;$E16,0,IF(AS$6&gt;$F16,0,$D16*(IF(AS$6+6&lt;$F16,AS$6+6,$F16)-IF(AS$6&gt;$E16,AS$6,$E16)+1)/($F16-$E16+1))))</f>
        <v>0</v>
      </c>
      <c r="AT16" s="104" t="n">
        <f aca="false">IF($E16="",0,IF(AT$6+6&lt;$E16,0,IF(AT$6&gt;$F16,0,$D16*(IF(AT$6+6&lt;$F16,AT$6+6,$F16)-IF(AT$6&gt;$E16,AT$6,$E16)+1)/($F16-$E16+1))))</f>
        <v>0</v>
      </c>
      <c r="AU16" s="104" t="n">
        <f aca="false">IF($E16="",0,IF(AU$6+6&lt;$E16,0,IF(AU$6&gt;$F16,0,$D16*(IF(AU$6+6&lt;$F16,AU$6+6,$F16)-IF(AU$6&gt;$E16,AU$6,$E16)+1)/($F16-$E16+1))))</f>
        <v>0</v>
      </c>
      <c r="AV16" s="104" t="n">
        <f aca="false">IF($E16="",0,IF(AV$6+6&lt;$E16,0,IF(AV$6&gt;$F16,0,$D16*(IF(AV$6+6&lt;$F16,AV$6+6,$F16)-IF(AV$6&gt;$E16,AV$6,$E16)+1)/($F16-$E16+1))))</f>
        <v>0</v>
      </c>
      <c r="AW16" s="104" t="n">
        <f aca="false">IF($E16="",0,IF(AW$6+6&lt;$E16,0,IF(AW$6&gt;$F16,0,$D16*(IF(AW$6+6&lt;$F16,AW$6+6,$F16)-IF(AW$6&gt;$E16,AW$6,$E16)+1)/($F16-$E16+1))))</f>
        <v>0</v>
      </c>
      <c r="AX16" s="104" t="n">
        <f aca="false">IF($E16="",0,IF(AX$6+6&lt;$E16,0,IF(AX$6&gt;$F16,0,$D16*(IF(AX$6+6&lt;$F16,AX$6+6,$F16)-IF(AX$6&gt;$E16,AX$6,$E16)+1)/($F16-$E16+1))))</f>
        <v>0</v>
      </c>
      <c r="AY16" s="104" t="n">
        <f aca="false">IF($E16="",0,IF(AY$6+6&lt;$E16,0,IF(AY$6&gt;$F16,0,$D16*(IF(AY$6+6&lt;$F16,AY$6+6,$F16)-IF(AY$6&gt;$E16,AY$6,$E16)+1)/($F16-$E16+1))))</f>
        <v>0</v>
      </c>
      <c r="AZ16" s="104" t="n">
        <f aca="false">IF($E16="",0,IF(AZ$6+6&lt;$E16,0,IF(AZ$6&gt;$F16,0,$D16*(IF(AZ$6+6&lt;$F16,AZ$6+6,$F16)-IF(AZ$6&gt;$E16,AZ$6,$E16)+1)/($F16-$E16+1))))</f>
        <v>0</v>
      </c>
      <c r="BA16" s="104" t="n">
        <f aca="false">IF($E16="",0,IF(BA$6+6&lt;$E16,0,IF(BA$6&gt;$F16,0,$D16*(IF(BA$6+6&lt;$F16,BA$6+6,$F16)-IF(BA$6&gt;$E16,BA$6,$E16)+1)/($F16-$E16+1))))</f>
        <v>0</v>
      </c>
      <c r="BB16" s="104" t="n">
        <f aca="false">IF($E16="",0,IF(BB$6+6&lt;$E16,0,IF(BB$6&gt;$F16,0,$D16*(IF(BB$6+6&lt;$F16,BB$6+6,$F16)-IF(BB$6&gt;$E16,BB$6,$E16)+1)/($F16-$E16+1))))</f>
        <v>0</v>
      </c>
      <c r="BC16" s="104" t="n">
        <f aca="false">IF($E16="",0,IF(BC$6+6&lt;$E16,0,IF(BC$6&gt;$F16,0,$D16*(IF(BC$6+6&lt;$F16,BC$6+6,$F16)-IF(BC$6&gt;$E16,BC$6,$E16)+1)/($F16-$E16+1))))</f>
        <v>0</v>
      </c>
      <c r="BD16" s="104" t="n">
        <f aca="false">IF($E16="",0,IF(BD$6+6&lt;$E16,0,IF(BD$6&gt;$F16,0,$D16*(IF(BD$6+6&lt;$F16,BD$6+6,$F16)-IF(BD$6&gt;$E16,BD$6,$E16)+1)/($F16-$E16+1))))</f>
        <v>0</v>
      </c>
      <c r="BE16" s="104" t="n">
        <f aca="false">IF($E16="",0,IF(BE$6+6&lt;$E16,0,IF(BE$6&gt;$F16,0,$D16*(IF(BE$6+6&lt;$F16,BE$6+6,$F16)-IF(BE$6&gt;$E16,BE$6,$E16)+1)/($F16-$E16+1))))</f>
        <v>0</v>
      </c>
      <c r="BF16" s="104" t="n">
        <f aca="false">IF($E16="",0,IF(BF$6+6&lt;$E16,0,IF(BF$6&gt;$F16,0,$D16*(IF(BF$6+6&lt;$F16,BF$6+6,$F16)-IF(BF$6&gt;$E16,BF$6,$E16)+1)/($F16-$E16+1))))</f>
        <v>0</v>
      </c>
      <c r="BG16" s="104" t="n">
        <f aca="false">IF($E16="",0,IF(BG$6+6&lt;$E16,0,IF(BG$6&gt;$F16,0,$D16*(IF(BG$6+6&lt;$F16,BG$6+6,$F16)-IF(BG$6&gt;$E16,BG$6,$E16)+1)/($F16-$E16+1))))</f>
        <v>0</v>
      </c>
      <c r="BH16" s="104" t="n">
        <f aca="false">IF($E16="",0,IF(BH$6+6&lt;$E16,0,IF(BH$6&gt;$F16,0,$D16*(IF(BH$6+6&lt;$F16,BH$6+6,$F16)-IF(BH$6&gt;$E16,BH$6,$E16)+1)/($F16-$E16+1))))</f>
        <v>0</v>
      </c>
      <c r="BI16" s="104" t="n">
        <f aca="false">IF($E16="",0,IF(BI$6+6&lt;$E16,0,IF(BI$6&gt;$F16,0,$D16*(IF(BI$6+6&lt;$F16,BI$6+6,$F16)-IF(BI$6&gt;$E16,BI$6,$E16)+1)/($F16-$E16+1))))</f>
        <v>0</v>
      </c>
      <c r="BJ16" s="104" t="n">
        <f aca="false">IF($E16="",0,IF(BJ$6+6&lt;$E16,0,IF(BJ$6&gt;$F16,0,$D16*(IF(BJ$6+6&lt;$F16,BJ$6+6,$F16)-IF(BJ$6&gt;$E16,BJ$6,$E16)+1)/($F16-$E16+1))))</f>
        <v>0</v>
      </c>
      <c r="BK16" s="104" t="n">
        <f aca="false">IF($E16="",0,IF(BK$6+6&lt;$E16,0,IF(BK$6&gt;$F16,0,$D16*(IF(BK$6+6&lt;$F16,BK$6+6,$F16)-IF(BK$6&gt;$E16,BK$6,$E16)+1)/($F16-$E16+1))))</f>
        <v>0</v>
      </c>
      <c r="BL16" s="104" t="n">
        <f aca="false">IF($E16="",0,IF(BL$6+6&lt;$E16,0,IF(BL$6&gt;$F16,0,$D16*(IF(BL$6+6&lt;$F16,BL$6+6,$F16)-IF(BL$6&gt;$E16,BL$6,$E16)+1)/($F16-$E16+1))))</f>
        <v>0</v>
      </c>
      <c r="BM16" s="104" t="n">
        <f aca="false">IF($E16="",0,IF(BM$6+6&lt;$E16,0,IF(BM$6&gt;$F16,0,$D16*(IF(BM$6+6&lt;$F16,BM$6+6,$F16)-IF(BM$6&gt;$E16,BM$6,$E16)+1)/($F16-$E16+1))))</f>
        <v>0</v>
      </c>
      <c r="BN16" s="104" t="n">
        <f aca="false">IF($E16="",0,IF(BN$6+6&lt;$E16,0,IF(BN$6&gt;$F16,0,$D16*(IF(BN$6+6&lt;$F16,BN$6+6,$F16)-IF(BN$6&gt;$E16,BN$6,$E16)+1)/($F16-$E16+1))))</f>
        <v>0</v>
      </c>
      <c r="BO16" s="104" t="n">
        <f aca="false">IF($E16="",0,IF(BO$6+6&lt;$E16,0,IF(BO$6&gt;$F16,0,$D16*(IF(BO$6+6&lt;$F16,BO$6+6,$F16)-IF(BO$6&gt;$E16,BO$6,$E16)+1)/($F16-$E16+1))))</f>
        <v>0</v>
      </c>
      <c r="BP16" s="104" t="n">
        <f aca="false">IF($E16="",0,IF(BP$6+6&lt;$E16,0,IF(BP$6&gt;$F16,0,$D16*(IF(BP$6+6&lt;$F16,BP$6+6,$F16)-IF(BP$6&gt;$E16,BP$6,$E16)+1)/($F16-$E16+1))))</f>
        <v>0</v>
      </c>
      <c r="BQ16" s="104" t="n">
        <f aca="false">IF($E16="",0,IF(BQ$6+6&lt;$E16,0,IF(BQ$6&gt;$F16,0,$D16*(IF(BQ$6+6&lt;$F16,BQ$6+6,$F16)-IF(BQ$6&gt;$E16,BQ$6,$E16)+1)/($F16-$E16+1))))</f>
        <v>0</v>
      </c>
      <c r="BR16" s="104" t="n">
        <f aca="false">IF($E16="",0,IF(BR$6+6&lt;$E16,0,IF(BR$6&gt;$F16,0,$D16*(IF(BR$6+6&lt;$F16,BR$6+6,$F16)-IF(BR$6&gt;$E16,BR$6,$E16)+1)/($F16-$E16+1))))</f>
        <v>0</v>
      </c>
      <c r="BS16" s="104" t="n">
        <f aca="false">IF($E16="",0,IF(BS$6+6&lt;$E16,0,IF(BS$6&gt;$F16,0,$D16*(IF(BS$6+6&lt;$F16,BS$6+6,$F16)-IF(BS$6&gt;$E16,BS$6,$E16)+1)/($F16-$E16+1))))</f>
        <v>0</v>
      </c>
      <c r="BT16" s="104" t="n">
        <f aca="false">IF($E16="",0,IF(BT$6+6&lt;$E16,0,IF(BT$6&gt;$F16,0,$D16*(IF(BT$6+6&lt;$F16,BT$6+6,$F16)-IF(BT$6&gt;$E16,BT$6,$E16)+1)/($F16-$E16+1))))</f>
        <v>0</v>
      </c>
      <c r="BU16" s="104" t="n">
        <f aca="false">IF($E16="",0,IF(BU$6+6&lt;$E16,0,IF(BU$6&gt;$F16,0,$D16*(IF(BU$6+6&lt;$F16,BU$6+6,$F16)-IF(BU$6&gt;$E16,BU$6,$E16)+1)/($F16-$E16+1))))</f>
        <v>0</v>
      </c>
      <c r="BV16" s="104" t="n">
        <f aca="false">IF($E16="",0,IF(BV$6+6&lt;$E16,0,IF(BV$6&gt;$F16,0,$D16*(IF(BV$6+6&lt;$F16,BV$6+6,$F16)-IF(BV$6&gt;$E16,BV$6,$E16)+1)/($F16-$E16+1))))</f>
        <v>0</v>
      </c>
      <c r="BW16" s="104" t="n">
        <f aca="false">IF($E16="",0,IF(BW$6+6&lt;$E16,0,IF(BW$6&gt;$F16,0,$D16*(IF(BW$6+6&lt;$F16,BW$6+6,$F16)-IF(BW$6&gt;$E16,BW$6,$E16)+1)/($F16-$E16+1))))</f>
        <v>0</v>
      </c>
      <c r="BX16" s="104" t="n">
        <f aca="false">IF($E16="",0,IF(BX$6+6&lt;$E16,0,IF(BX$6&gt;$F16,0,$D16*(IF(BX$6+6&lt;$F16,BX$6+6,$F16)-IF(BX$6&gt;$E16,BX$6,$E16)+1)/($F16-$E16+1))))</f>
        <v>0</v>
      </c>
      <c r="BY16" s="104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101"/>
      <c r="B17" s="101"/>
      <c r="C17" s="101" t="s">
        <v>695</v>
      </c>
      <c r="D17" s="102"/>
      <c r="E17" s="105"/>
      <c r="F17" s="105"/>
      <c r="G17" s="106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</row>
    <row r="18" customFormat="false" ht="15" hidden="false" customHeight="false" outlineLevel="0" collapsed="false">
      <c r="A18" s="101" t="s">
        <v>261</v>
      </c>
      <c r="B18" s="101" t="s">
        <v>700</v>
      </c>
      <c r="C18" s="101" t="s">
        <v>694</v>
      </c>
      <c r="D18" s="102" t="n">
        <v>0</v>
      </c>
      <c r="E18" s="103"/>
      <c r="F18" s="103"/>
      <c r="G18" s="101"/>
      <c r="H18" s="104" t="n">
        <f aca="false">IF($E18="",0,IF(H$6+6&lt;$E18,0,IF(H$6&gt;$F18,0,$D18*(IF(H$6+6&lt;$F18,H$6+6,$F18)-IF(H$6&gt;$E18,H$6,$E18)+1)/($F18-$E18+1))))</f>
        <v>0</v>
      </c>
      <c r="I18" s="104" t="n">
        <f aca="false">IF($E18="",0,IF(I$6+6&lt;$E18,0,IF(I$6&gt;$F18,0,$D18*(IF(I$6+6&lt;$F18,I$6+6,$F18)-IF(I$6&gt;$E18,I$6,$E18)+1)/($F18-$E18+1))))</f>
        <v>0</v>
      </c>
      <c r="J18" s="104" t="n">
        <f aca="false">IF($E18="",0,IF(J$6+6&lt;$E18,0,IF(J$6&gt;$F18,0,$D18*(IF(J$6+6&lt;$F18,J$6+6,$F18)-IF(J$6&gt;$E18,J$6,$E18)+1)/($F18-$E18+1))))</f>
        <v>0</v>
      </c>
      <c r="K18" s="104" t="n">
        <f aca="false">IF($E18="",0,IF(K$6+6&lt;$E18,0,IF(K$6&gt;$F18,0,$D18*(IF(K$6+6&lt;$F18,K$6+6,$F18)-IF(K$6&gt;$E18,K$6,$E18)+1)/($F18-$E18+1))))</f>
        <v>0</v>
      </c>
      <c r="L18" s="104" t="n">
        <f aca="false">IF($E18="",0,IF(L$6+6&lt;$E18,0,IF(L$6&gt;$F18,0,$D18*(IF(L$6+6&lt;$F18,L$6+6,$F18)-IF(L$6&gt;$E18,L$6,$E18)+1)/($F18-$E18+1))))</f>
        <v>0</v>
      </c>
      <c r="M18" s="104" t="n">
        <f aca="false">IF($E18="",0,IF(M$6+6&lt;$E18,0,IF(M$6&gt;$F18,0,$D18*(IF(M$6+6&lt;$F18,M$6+6,$F18)-IF(M$6&gt;$E18,M$6,$E18)+1)/($F18-$E18+1))))</f>
        <v>0</v>
      </c>
      <c r="N18" s="104" t="n">
        <f aca="false">IF($E18="",0,IF(N$6+6&lt;$E18,0,IF(N$6&gt;$F18,0,$D18*(IF(N$6+6&lt;$F18,N$6+6,$F18)-IF(N$6&gt;$E18,N$6,$E18)+1)/($F18-$E18+1))))</f>
        <v>0</v>
      </c>
      <c r="O18" s="104" t="n">
        <f aca="false">IF($E18="",0,IF(O$6+6&lt;$E18,0,IF(O$6&gt;$F18,0,$D18*(IF(O$6+6&lt;$F18,O$6+6,$F18)-IF(O$6&gt;$E18,O$6,$E18)+1)/($F18-$E18+1))))</f>
        <v>0</v>
      </c>
      <c r="P18" s="104" t="n">
        <f aca="false">IF($E18="",0,IF(P$6+6&lt;$E18,0,IF(P$6&gt;$F18,0,$D18*(IF(P$6+6&lt;$F18,P$6+6,$F18)-IF(P$6&gt;$E18,P$6,$E18)+1)/($F18-$E18+1))))</f>
        <v>0</v>
      </c>
      <c r="Q18" s="104" t="n">
        <f aca="false">IF($E18="",0,IF(Q$6+6&lt;$E18,0,IF(Q$6&gt;$F18,0,$D18*(IF(Q$6+6&lt;$F18,Q$6+6,$F18)-IF(Q$6&gt;$E18,Q$6,$E18)+1)/($F18-$E18+1))))</f>
        <v>0</v>
      </c>
      <c r="R18" s="104" t="n">
        <f aca="false">IF($E18="",0,IF(R$6+6&lt;$E18,0,IF(R$6&gt;$F18,0,$D18*(IF(R$6+6&lt;$F18,R$6+6,$F18)-IF(R$6&gt;$E18,R$6,$E18)+1)/($F18-$E18+1))))</f>
        <v>0</v>
      </c>
      <c r="S18" s="104" t="n">
        <f aca="false">IF($E18="",0,IF(S$6+6&lt;$E18,0,IF(S$6&gt;$F18,0,$D18*(IF(S$6+6&lt;$F18,S$6+6,$F18)-IF(S$6&gt;$E18,S$6,$E18)+1)/($F18-$E18+1))))</f>
        <v>0</v>
      </c>
      <c r="T18" s="104" t="n">
        <f aca="false">IF($E18="",0,IF(T$6+6&lt;$E18,0,IF(T$6&gt;$F18,0,$D18*(IF(T$6+6&lt;$F18,T$6+6,$F18)-IF(T$6&gt;$E18,T$6,$E18)+1)/($F18-$E18+1))))</f>
        <v>0</v>
      </c>
      <c r="U18" s="104" t="n">
        <f aca="false">IF($E18="",0,IF(U$6+6&lt;$E18,0,IF(U$6&gt;$F18,0,$D18*(IF(U$6+6&lt;$F18,U$6+6,$F18)-IF(U$6&gt;$E18,U$6,$E18)+1)/($F18-$E18+1))))</f>
        <v>0</v>
      </c>
      <c r="V18" s="104" t="n">
        <f aca="false">IF($E18="",0,IF(V$6+6&lt;$E18,0,IF(V$6&gt;$F18,0,$D18*(IF(V$6+6&lt;$F18,V$6+6,$F18)-IF(V$6&gt;$E18,V$6,$E18)+1)/($F18-$E18+1))))</f>
        <v>0</v>
      </c>
      <c r="W18" s="104" t="n">
        <f aca="false">IF($E18="",0,IF(W$6+6&lt;$E18,0,IF(W$6&gt;$F18,0,$D18*(IF(W$6+6&lt;$F18,W$6+6,$F18)-IF(W$6&gt;$E18,W$6,$E18)+1)/($F18-$E18+1))))</f>
        <v>0</v>
      </c>
      <c r="X18" s="104" t="n">
        <f aca="false">IF($E18="",0,IF(X$6+6&lt;$E18,0,IF(X$6&gt;$F18,0,$D18*(IF(X$6+6&lt;$F18,X$6+6,$F18)-IF(X$6&gt;$E18,X$6,$E18)+1)/($F18-$E18+1))))</f>
        <v>0</v>
      </c>
      <c r="Y18" s="104" t="n">
        <f aca="false">IF($E18="",0,IF(Y$6+6&lt;$E18,0,IF(Y$6&gt;$F18,0,$D18*(IF(Y$6+6&lt;$F18,Y$6+6,$F18)-IF(Y$6&gt;$E18,Y$6,$E18)+1)/($F18-$E18+1))))</f>
        <v>0</v>
      </c>
      <c r="Z18" s="104" t="n">
        <f aca="false">IF($E18="",0,IF(Z$6+6&lt;$E18,0,IF(Z$6&gt;$F18,0,$D18*(IF(Z$6+6&lt;$F18,Z$6+6,$F18)-IF(Z$6&gt;$E18,Z$6,$E18)+1)/($F18-$E18+1))))</f>
        <v>0</v>
      </c>
      <c r="AA18" s="104" t="n">
        <f aca="false">IF($E18="",0,IF(AA$6+6&lt;$E18,0,IF(AA$6&gt;$F18,0,$D18*(IF(AA$6+6&lt;$F18,AA$6+6,$F18)-IF(AA$6&gt;$E18,AA$6,$E18)+1)/($F18-$E18+1))))</f>
        <v>0</v>
      </c>
      <c r="AB18" s="104" t="n">
        <f aca="false">IF($E18="",0,IF(AB$6+6&lt;$E18,0,IF(AB$6&gt;$F18,0,$D18*(IF(AB$6+6&lt;$F18,AB$6+6,$F18)-IF(AB$6&gt;$E18,AB$6,$E18)+1)/($F18-$E18+1))))</f>
        <v>0</v>
      </c>
      <c r="AC18" s="104" t="n">
        <f aca="false">IF($E18="",0,IF(AC$6+6&lt;$E18,0,IF(AC$6&gt;$F18,0,$D18*(IF(AC$6+6&lt;$F18,AC$6+6,$F18)-IF(AC$6&gt;$E18,AC$6,$E18)+1)/($F18-$E18+1))))</f>
        <v>0</v>
      </c>
      <c r="AD18" s="104" t="n">
        <f aca="false">IF($E18="",0,IF(AD$6+6&lt;$E18,0,IF(AD$6&gt;$F18,0,$D18*(IF(AD$6+6&lt;$F18,AD$6+6,$F18)-IF(AD$6&gt;$E18,AD$6,$E18)+1)/($F18-$E18+1))))</f>
        <v>0</v>
      </c>
      <c r="AE18" s="104" t="n">
        <f aca="false">IF($E18="",0,IF(AE$6+6&lt;$E18,0,IF(AE$6&gt;$F18,0,$D18*(IF(AE$6+6&lt;$F18,AE$6+6,$F18)-IF(AE$6&gt;$E18,AE$6,$E18)+1)/($F18-$E18+1))))</f>
        <v>0</v>
      </c>
      <c r="AF18" s="104" t="n">
        <f aca="false">IF($E18="",0,IF(AF$6+6&lt;$E18,0,IF(AF$6&gt;$F18,0,$D18*(IF(AF$6+6&lt;$F18,AF$6+6,$F18)-IF(AF$6&gt;$E18,AF$6,$E18)+1)/($F18-$E18+1))))</f>
        <v>0</v>
      </c>
      <c r="AG18" s="104" t="n">
        <f aca="false">IF($E18="",0,IF(AG$6+6&lt;$E18,0,IF(AG$6&gt;$F18,0,$D18*(IF(AG$6+6&lt;$F18,AG$6+6,$F18)-IF(AG$6&gt;$E18,AG$6,$E18)+1)/($F18-$E18+1))))</f>
        <v>0</v>
      </c>
      <c r="AH18" s="104" t="n">
        <f aca="false">IF($E18="",0,IF(AH$6+6&lt;$E18,0,IF(AH$6&gt;$F18,0,$D18*(IF(AH$6+6&lt;$F18,AH$6+6,$F18)-IF(AH$6&gt;$E18,AH$6,$E18)+1)/($F18-$E18+1))))</f>
        <v>0</v>
      </c>
      <c r="AI18" s="104" t="n">
        <f aca="false">IF($E18="",0,IF(AI$6+6&lt;$E18,0,IF(AI$6&gt;$F18,0,$D18*(IF(AI$6+6&lt;$F18,AI$6+6,$F18)-IF(AI$6&gt;$E18,AI$6,$E18)+1)/($F18-$E18+1))))</f>
        <v>0</v>
      </c>
      <c r="AJ18" s="104" t="n">
        <f aca="false">IF($E18="",0,IF(AJ$6+6&lt;$E18,0,IF(AJ$6&gt;$F18,0,$D18*(IF(AJ$6+6&lt;$F18,AJ$6+6,$F18)-IF(AJ$6&gt;$E18,AJ$6,$E18)+1)/($F18-$E18+1))))</f>
        <v>0</v>
      </c>
      <c r="AK18" s="104" t="n">
        <f aca="false">IF($E18="",0,IF(AK$6+6&lt;$E18,0,IF(AK$6&gt;$F18,0,$D18*(IF(AK$6+6&lt;$F18,AK$6+6,$F18)-IF(AK$6&gt;$E18,AK$6,$E18)+1)/($F18-$E18+1))))</f>
        <v>0</v>
      </c>
      <c r="AL18" s="104" t="n">
        <f aca="false">IF($E18="",0,IF(AL$6+6&lt;$E18,0,IF(AL$6&gt;$F18,0,$D18*(IF(AL$6+6&lt;$F18,AL$6+6,$F18)-IF(AL$6&gt;$E18,AL$6,$E18)+1)/($F18-$E18+1))))</f>
        <v>0</v>
      </c>
      <c r="AM18" s="104" t="n">
        <f aca="false">IF($E18="",0,IF(AM$6+6&lt;$E18,0,IF(AM$6&gt;$F18,0,$D18*(IF(AM$6+6&lt;$F18,AM$6+6,$F18)-IF(AM$6&gt;$E18,AM$6,$E18)+1)/($F18-$E18+1))))</f>
        <v>0</v>
      </c>
      <c r="AN18" s="104" t="n">
        <f aca="false">IF($E18="",0,IF(AN$6+6&lt;$E18,0,IF(AN$6&gt;$F18,0,$D18*(IF(AN$6+6&lt;$F18,AN$6+6,$F18)-IF(AN$6&gt;$E18,AN$6,$E18)+1)/($F18-$E18+1))))</f>
        <v>0</v>
      </c>
      <c r="AO18" s="104" t="n">
        <f aca="false">IF($E18="",0,IF(AO$6+6&lt;$E18,0,IF(AO$6&gt;$F18,0,$D18*(IF(AO$6+6&lt;$F18,AO$6+6,$F18)-IF(AO$6&gt;$E18,AO$6,$E18)+1)/($F18-$E18+1))))</f>
        <v>0</v>
      </c>
      <c r="AP18" s="104" t="n">
        <f aca="false">IF($E18="",0,IF(AP$6+6&lt;$E18,0,IF(AP$6&gt;$F18,0,$D18*(IF(AP$6+6&lt;$F18,AP$6+6,$F18)-IF(AP$6&gt;$E18,AP$6,$E18)+1)/($F18-$E18+1))))</f>
        <v>0</v>
      </c>
      <c r="AQ18" s="104" t="n">
        <f aca="false">IF($E18="",0,IF(AQ$6+6&lt;$E18,0,IF(AQ$6&gt;$F18,0,$D18*(IF(AQ$6+6&lt;$F18,AQ$6+6,$F18)-IF(AQ$6&gt;$E18,AQ$6,$E18)+1)/($F18-$E18+1))))</f>
        <v>0</v>
      </c>
      <c r="AR18" s="104" t="n">
        <f aca="false">IF($E18="",0,IF(AR$6+6&lt;$E18,0,IF(AR$6&gt;$F18,0,$D18*(IF(AR$6+6&lt;$F18,AR$6+6,$F18)-IF(AR$6&gt;$E18,AR$6,$E18)+1)/($F18-$E18+1))))</f>
        <v>0</v>
      </c>
      <c r="AS18" s="104" t="n">
        <f aca="false">IF($E18="",0,IF(AS$6+6&lt;$E18,0,IF(AS$6&gt;$F18,0,$D18*(IF(AS$6+6&lt;$F18,AS$6+6,$F18)-IF(AS$6&gt;$E18,AS$6,$E18)+1)/($F18-$E18+1))))</f>
        <v>0</v>
      </c>
      <c r="AT18" s="104" t="n">
        <f aca="false">IF($E18="",0,IF(AT$6+6&lt;$E18,0,IF(AT$6&gt;$F18,0,$D18*(IF(AT$6+6&lt;$F18,AT$6+6,$F18)-IF(AT$6&gt;$E18,AT$6,$E18)+1)/($F18-$E18+1))))</f>
        <v>0</v>
      </c>
      <c r="AU18" s="104" t="n">
        <f aca="false">IF($E18="",0,IF(AU$6+6&lt;$E18,0,IF(AU$6&gt;$F18,0,$D18*(IF(AU$6+6&lt;$F18,AU$6+6,$F18)-IF(AU$6&gt;$E18,AU$6,$E18)+1)/($F18-$E18+1))))</f>
        <v>0</v>
      </c>
      <c r="AV18" s="104" t="n">
        <f aca="false">IF($E18="",0,IF(AV$6+6&lt;$E18,0,IF(AV$6&gt;$F18,0,$D18*(IF(AV$6+6&lt;$F18,AV$6+6,$F18)-IF(AV$6&gt;$E18,AV$6,$E18)+1)/($F18-$E18+1))))</f>
        <v>0</v>
      </c>
      <c r="AW18" s="104" t="n">
        <f aca="false">IF($E18="",0,IF(AW$6+6&lt;$E18,0,IF(AW$6&gt;$F18,0,$D18*(IF(AW$6+6&lt;$F18,AW$6+6,$F18)-IF(AW$6&gt;$E18,AW$6,$E18)+1)/($F18-$E18+1))))</f>
        <v>0</v>
      </c>
      <c r="AX18" s="104" t="n">
        <f aca="false">IF($E18="",0,IF(AX$6+6&lt;$E18,0,IF(AX$6&gt;$F18,0,$D18*(IF(AX$6+6&lt;$F18,AX$6+6,$F18)-IF(AX$6&gt;$E18,AX$6,$E18)+1)/($F18-$E18+1))))</f>
        <v>0</v>
      </c>
      <c r="AY18" s="104" t="n">
        <f aca="false">IF($E18="",0,IF(AY$6+6&lt;$E18,0,IF(AY$6&gt;$F18,0,$D18*(IF(AY$6+6&lt;$F18,AY$6+6,$F18)-IF(AY$6&gt;$E18,AY$6,$E18)+1)/($F18-$E18+1))))</f>
        <v>0</v>
      </c>
      <c r="AZ18" s="104" t="n">
        <f aca="false">IF($E18="",0,IF(AZ$6+6&lt;$E18,0,IF(AZ$6&gt;$F18,0,$D18*(IF(AZ$6+6&lt;$F18,AZ$6+6,$F18)-IF(AZ$6&gt;$E18,AZ$6,$E18)+1)/($F18-$E18+1))))</f>
        <v>0</v>
      </c>
      <c r="BA18" s="104" t="n">
        <f aca="false">IF($E18="",0,IF(BA$6+6&lt;$E18,0,IF(BA$6&gt;$F18,0,$D18*(IF(BA$6+6&lt;$F18,BA$6+6,$F18)-IF(BA$6&gt;$E18,BA$6,$E18)+1)/($F18-$E18+1))))</f>
        <v>0</v>
      </c>
      <c r="BB18" s="104" t="n">
        <f aca="false">IF($E18="",0,IF(BB$6+6&lt;$E18,0,IF(BB$6&gt;$F18,0,$D18*(IF(BB$6+6&lt;$F18,BB$6+6,$F18)-IF(BB$6&gt;$E18,BB$6,$E18)+1)/($F18-$E18+1))))</f>
        <v>0</v>
      </c>
      <c r="BC18" s="104" t="n">
        <f aca="false">IF($E18="",0,IF(BC$6+6&lt;$E18,0,IF(BC$6&gt;$F18,0,$D18*(IF(BC$6+6&lt;$F18,BC$6+6,$F18)-IF(BC$6&gt;$E18,BC$6,$E18)+1)/($F18-$E18+1))))</f>
        <v>0</v>
      </c>
      <c r="BD18" s="104" t="n">
        <f aca="false">IF($E18="",0,IF(BD$6+6&lt;$E18,0,IF(BD$6&gt;$F18,0,$D18*(IF(BD$6+6&lt;$F18,BD$6+6,$F18)-IF(BD$6&gt;$E18,BD$6,$E18)+1)/($F18-$E18+1))))</f>
        <v>0</v>
      </c>
      <c r="BE18" s="104" t="n">
        <f aca="false">IF($E18="",0,IF(BE$6+6&lt;$E18,0,IF(BE$6&gt;$F18,0,$D18*(IF(BE$6+6&lt;$F18,BE$6+6,$F18)-IF(BE$6&gt;$E18,BE$6,$E18)+1)/($F18-$E18+1))))</f>
        <v>0</v>
      </c>
      <c r="BF18" s="104" t="n">
        <f aca="false">IF($E18="",0,IF(BF$6+6&lt;$E18,0,IF(BF$6&gt;$F18,0,$D18*(IF(BF$6+6&lt;$F18,BF$6+6,$F18)-IF(BF$6&gt;$E18,BF$6,$E18)+1)/($F18-$E18+1))))</f>
        <v>0</v>
      </c>
      <c r="BG18" s="104" t="n">
        <f aca="false">IF($E18="",0,IF(BG$6+6&lt;$E18,0,IF(BG$6&gt;$F18,0,$D18*(IF(BG$6+6&lt;$F18,BG$6+6,$F18)-IF(BG$6&gt;$E18,BG$6,$E18)+1)/($F18-$E18+1))))</f>
        <v>0</v>
      </c>
      <c r="BH18" s="104" t="n">
        <f aca="false">IF($E18="",0,IF(BH$6+6&lt;$E18,0,IF(BH$6&gt;$F18,0,$D18*(IF(BH$6+6&lt;$F18,BH$6+6,$F18)-IF(BH$6&gt;$E18,BH$6,$E18)+1)/($F18-$E18+1))))</f>
        <v>0</v>
      </c>
      <c r="BI18" s="104" t="n">
        <f aca="false">IF($E18="",0,IF(BI$6+6&lt;$E18,0,IF(BI$6&gt;$F18,0,$D18*(IF(BI$6+6&lt;$F18,BI$6+6,$F18)-IF(BI$6&gt;$E18,BI$6,$E18)+1)/($F18-$E18+1))))</f>
        <v>0</v>
      </c>
      <c r="BJ18" s="104" t="n">
        <f aca="false">IF($E18="",0,IF(BJ$6+6&lt;$E18,0,IF(BJ$6&gt;$F18,0,$D18*(IF(BJ$6+6&lt;$F18,BJ$6+6,$F18)-IF(BJ$6&gt;$E18,BJ$6,$E18)+1)/($F18-$E18+1))))</f>
        <v>0</v>
      </c>
      <c r="BK18" s="104" t="n">
        <f aca="false">IF($E18="",0,IF(BK$6+6&lt;$E18,0,IF(BK$6&gt;$F18,0,$D18*(IF(BK$6+6&lt;$F18,BK$6+6,$F18)-IF(BK$6&gt;$E18,BK$6,$E18)+1)/($F18-$E18+1))))</f>
        <v>0</v>
      </c>
      <c r="BL18" s="104" t="n">
        <f aca="false">IF($E18="",0,IF(BL$6+6&lt;$E18,0,IF(BL$6&gt;$F18,0,$D18*(IF(BL$6+6&lt;$F18,BL$6+6,$F18)-IF(BL$6&gt;$E18,BL$6,$E18)+1)/($F18-$E18+1))))</f>
        <v>0</v>
      </c>
      <c r="BM18" s="104" t="n">
        <f aca="false">IF($E18="",0,IF(BM$6+6&lt;$E18,0,IF(BM$6&gt;$F18,0,$D18*(IF(BM$6+6&lt;$F18,BM$6+6,$F18)-IF(BM$6&gt;$E18,BM$6,$E18)+1)/($F18-$E18+1))))</f>
        <v>0</v>
      </c>
      <c r="BN18" s="104" t="n">
        <f aca="false">IF($E18="",0,IF(BN$6+6&lt;$E18,0,IF(BN$6&gt;$F18,0,$D18*(IF(BN$6+6&lt;$F18,BN$6+6,$F18)-IF(BN$6&gt;$E18,BN$6,$E18)+1)/($F18-$E18+1))))</f>
        <v>0</v>
      </c>
      <c r="BO18" s="104" t="n">
        <f aca="false">IF($E18="",0,IF(BO$6+6&lt;$E18,0,IF(BO$6&gt;$F18,0,$D18*(IF(BO$6+6&lt;$F18,BO$6+6,$F18)-IF(BO$6&gt;$E18,BO$6,$E18)+1)/($F18-$E18+1))))</f>
        <v>0</v>
      </c>
      <c r="BP18" s="104" t="n">
        <f aca="false">IF($E18="",0,IF(BP$6+6&lt;$E18,0,IF(BP$6&gt;$F18,0,$D18*(IF(BP$6+6&lt;$F18,BP$6+6,$F18)-IF(BP$6&gt;$E18,BP$6,$E18)+1)/($F18-$E18+1))))</f>
        <v>0</v>
      </c>
      <c r="BQ18" s="104" t="n">
        <f aca="false">IF($E18="",0,IF(BQ$6+6&lt;$E18,0,IF(BQ$6&gt;$F18,0,$D18*(IF(BQ$6+6&lt;$F18,BQ$6+6,$F18)-IF(BQ$6&gt;$E18,BQ$6,$E18)+1)/($F18-$E18+1))))</f>
        <v>0</v>
      </c>
      <c r="BR18" s="104" t="n">
        <f aca="false">IF($E18="",0,IF(BR$6+6&lt;$E18,0,IF(BR$6&gt;$F18,0,$D18*(IF(BR$6+6&lt;$F18,BR$6+6,$F18)-IF(BR$6&gt;$E18,BR$6,$E18)+1)/($F18-$E18+1))))</f>
        <v>0</v>
      </c>
      <c r="BS18" s="104" t="n">
        <f aca="false">IF($E18="",0,IF(BS$6+6&lt;$E18,0,IF(BS$6&gt;$F18,0,$D18*(IF(BS$6+6&lt;$F18,BS$6+6,$F18)-IF(BS$6&gt;$E18,BS$6,$E18)+1)/($F18-$E18+1))))</f>
        <v>0</v>
      </c>
      <c r="BT18" s="104" t="n">
        <f aca="false">IF($E18="",0,IF(BT$6+6&lt;$E18,0,IF(BT$6&gt;$F18,0,$D18*(IF(BT$6+6&lt;$F18,BT$6+6,$F18)-IF(BT$6&gt;$E18,BT$6,$E18)+1)/($F18-$E18+1))))</f>
        <v>0</v>
      </c>
      <c r="BU18" s="104" t="n">
        <f aca="false">IF($E18="",0,IF(BU$6+6&lt;$E18,0,IF(BU$6&gt;$F18,0,$D18*(IF(BU$6+6&lt;$F18,BU$6+6,$F18)-IF(BU$6&gt;$E18,BU$6,$E18)+1)/($F18-$E18+1))))</f>
        <v>0</v>
      </c>
      <c r="BV18" s="104" t="n">
        <f aca="false">IF($E18="",0,IF(BV$6+6&lt;$E18,0,IF(BV$6&gt;$F18,0,$D18*(IF(BV$6+6&lt;$F18,BV$6+6,$F18)-IF(BV$6&gt;$E18,BV$6,$E18)+1)/($F18-$E18+1))))</f>
        <v>0</v>
      </c>
      <c r="BW18" s="104" t="n">
        <f aca="false">IF($E18="",0,IF(BW$6+6&lt;$E18,0,IF(BW$6&gt;$F18,0,$D18*(IF(BW$6+6&lt;$F18,BW$6+6,$F18)-IF(BW$6&gt;$E18,BW$6,$E18)+1)/($F18-$E18+1))))</f>
        <v>0</v>
      </c>
      <c r="BX18" s="104" t="n">
        <f aca="false">IF($E18="",0,IF(BX$6+6&lt;$E18,0,IF(BX$6&gt;$F18,0,$D18*(IF(BX$6+6&lt;$F18,BX$6+6,$F18)-IF(BX$6&gt;$E18,BX$6,$E18)+1)/($F18-$E18+1))))</f>
        <v>0</v>
      </c>
      <c r="BY18" s="104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101"/>
      <c r="B19" s="101"/>
      <c r="C19" s="101" t="s">
        <v>695</v>
      </c>
      <c r="D19" s="102"/>
      <c r="E19" s="105"/>
      <c r="F19" s="105"/>
      <c r="G19" s="106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</row>
    <row r="20" customFormat="false" ht="15" hidden="false" customHeight="false" outlineLevel="0" collapsed="false">
      <c r="A20" s="101" t="s">
        <v>701</v>
      </c>
      <c r="B20" s="101" t="s">
        <v>702</v>
      </c>
      <c r="C20" s="101" t="s">
        <v>694</v>
      </c>
      <c r="D20" s="102" t="n">
        <v>1.5</v>
      </c>
      <c r="E20" s="103" t="n">
        <v>46271</v>
      </c>
      <c r="F20" s="103" t="n">
        <v>46316</v>
      </c>
      <c r="G20" s="101" t="n">
        <v>45</v>
      </c>
      <c r="H20" s="104" t="n">
        <f aca="false">IF($E20="",0,IF(H$6+6&lt;$E20,0,IF(H$6&gt;$F20,0,$D20*(IF(H$6+6&lt;$F20,H$6+6,$F20)-IF(H$6&gt;$E20,H$6,$E20)+1)/($F20-$E20+1))))</f>
        <v>0</v>
      </c>
      <c r="I20" s="104" t="n">
        <f aca="false">IF($E20="",0,IF(I$6+6&lt;$E20,0,IF(I$6&gt;$F20,0,$D20*(IF(I$6+6&lt;$F20,I$6+6,$F20)-IF(I$6&gt;$E20,I$6,$E20)+1)/($F20-$E20+1))))</f>
        <v>0</v>
      </c>
      <c r="J20" s="104" t="n">
        <f aca="false">IF($E20="",0,IF(J$6+6&lt;$E20,0,IF(J$6&gt;$F20,0,$D20*(IF(J$6+6&lt;$F20,J$6+6,$F20)-IF(J$6&gt;$E20,J$6,$E20)+1)/($F20-$E20+1))))</f>
        <v>0</v>
      </c>
      <c r="K20" s="104" t="n">
        <f aca="false">IF($E20="",0,IF(K$6+6&lt;$E20,0,IF(K$6&gt;$F20,0,$D20*(IF(K$6+6&lt;$F20,K$6+6,$F20)-IF(K$6&gt;$E20,K$6,$E20)+1)/($F20-$E20+1))))</f>
        <v>0</v>
      </c>
      <c r="L20" s="104" t="n">
        <f aca="false">IF($E20="",0,IF(L$6+6&lt;$E20,0,IF(L$6&gt;$F20,0,$D20*(IF(L$6+6&lt;$F20,L$6+6,$F20)-IF(L$6&gt;$E20,L$6,$E20)+1)/($F20-$E20+1))))</f>
        <v>0</v>
      </c>
      <c r="M20" s="104" t="n">
        <f aca="false">IF($E20="",0,IF(M$6+6&lt;$E20,0,IF(M$6&gt;$F20,0,$D20*(IF(M$6+6&lt;$F20,M$6+6,$F20)-IF(M$6&gt;$E20,M$6,$E20)+1)/($F20-$E20+1))))</f>
        <v>0</v>
      </c>
      <c r="N20" s="104" t="n">
        <f aca="false">IF($E20="",0,IF(N$6+6&lt;$E20,0,IF(N$6&gt;$F20,0,$D20*(IF(N$6+6&lt;$F20,N$6+6,$F20)-IF(N$6&gt;$E20,N$6,$E20)+1)/($F20-$E20+1))))</f>
        <v>0</v>
      </c>
      <c r="O20" s="104" t="n">
        <f aca="false">IF($E20="",0,IF(O$6+6&lt;$E20,0,IF(O$6&gt;$F20,0,$D20*(IF(O$6+6&lt;$F20,O$6+6,$F20)-IF(O$6&gt;$E20,O$6,$E20)+1)/($F20-$E20+1))))</f>
        <v>0</v>
      </c>
      <c r="P20" s="104" t="n">
        <f aca="false">IF($E20="",0,IF(P$6+6&lt;$E20,0,IF(P$6&gt;$F20,0,$D20*(IF(P$6+6&lt;$F20,P$6+6,$F20)-IF(P$6&gt;$E20,P$6,$E20)+1)/($F20-$E20+1))))</f>
        <v>0</v>
      </c>
      <c r="Q20" s="104" t="n">
        <f aca="false">IF($E20="",0,IF(Q$6+6&lt;$E20,0,IF(Q$6&gt;$F20,0,$D20*(IF(Q$6+6&lt;$F20,Q$6+6,$F20)-IF(Q$6&gt;$E20,Q$6,$E20)+1)/($F20-$E20+1))))</f>
        <v>0</v>
      </c>
      <c r="R20" s="104" t="n">
        <f aca="false">IF($E20="",0,IF(R$6+6&lt;$E20,0,IF(R$6&gt;$F20,0,$D20*(IF(R$6+6&lt;$F20,R$6+6,$F20)-IF(R$6&gt;$E20,R$6,$E20)+1)/($F20-$E20+1))))</f>
        <v>0</v>
      </c>
      <c r="S20" s="104" t="n">
        <f aca="false">IF($E20="",0,IF(S$6+6&lt;$E20,0,IF(S$6&gt;$F20,0,$D20*(IF(S$6+6&lt;$F20,S$6+6,$F20)-IF(S$6&gt;$E20,S$6,$E20)+1)/($F20-$E20+1))))</f>
        <v>0</v>
      </c>
      <c r="T20" s="104" t="n">
        <f aca="false">IF($E20="",0,IF(T$6+6&lt;$E20,0,IF(T$6&gt;$F20,0,$D20*(IF(T$6+6&lt;$F20,T$6+6,$F20)-IF(T$6&gt;$E20,T$6,$E20)+1)/($F20-$E20+1))))</f>
        <v>0</v>
      </c>
      <c r="U20" s="104" t="n">
        <f aca="false">IF($E20="",0,IF(U$6+6&lt;$E20,0,IF(U$6&gt;$F20,0,$D20*(IF(U$6+6&lt;$F20,U$6+6,$F20)-IF(U$6&gt;$E20,U$6,$E20)+1)/($F20-$E20+1))))</f>
        <v>0</v>
      </c>
      <c r="V20" s="104" t="n">
        <f aca="false">IF($E20="",0,IF(V$6+6&lt;$E20,0,IF(V$6&gt;$F20,0,$D20*(IF(V$6+6&lt;$F20,V$6+6,$F20)-IF(V$6&gt;$E20,V$6,$E20)+1)/($F20-$E20+1))))</f>
        <v>0</v>
      </c>
      <c r="W20" s="104" t="n">
        <f aca="false">IF($E20="",0,IF(W$6+6&lt;$E20,0,IF(W$6&gt;$F20,0,$D20*(IF(W$6+6&lt;$F20,W$6+6,$F20)-IF(W$6&gt;$E20,W$6,$E20)+1)/($F20-$E20+1))))</f>
        <v>0.0326086956521739</v>
      </c>
      <c r="X20" s="104" t="n">
        <f aca="false">IF($E20="",0,IF(X$6+6&lt;$E20,0,IF(X$6&gt;$F20,0,$D20*(IF(X$6+6&lt;$F20,X$6+6,$F20)-IF(X$6&gt;$E20,X$6,$E20)+1)/($F20-$E20+1))))</f>
        <v>0.228260869565217</v>
      </c>
      <c r="Y20" s="104" t="n">
        <f aca="false">IF($E20="",0,IF(Y$6+6&lt;$E20,0,IF(Y$6&gt;$F20,0,$D20*(IF(Y$6+6&lt;$F20,Y$6+6,$F20)-IF(Y$6&gt;$E20,Y$6,$E20)+1)/($F20-$E20+1))))</f>
        <v>0.228260869565217</v>
      </c>
      <c r="Z20" s="104" t="n">
        <f aca="false">IF($E20="",0,IF(Z$6+6&lt;$E20,0,IF(Z$6&gt;$F20,0,$D20*(IF(Z$6+6&lt;$F20,Z$6+6,$F20)-IF(Z$6&gt;$E20,Z$6,$E20)+1)/($F20-$E20+1))))</f>
        <v>0.228260869565217</v>
      </c>
      <c r="AA20" s="104" t="n">
        <f aca="false">IF($E20="",0,IF(AA$6+6&lt;$E20,0,IF(AA$6&gt;$F20,0,$D20*(IF(AA$6+6&lt;$F20,AA$6+6,$F20)-IF(AA$6&gt;$E20,AA$6,$E20)+1)/($F20-$E20+1))))</f>
        <v>0.228260869565217</v>
      </c>
      <c r="AB20" s="104" t="n">
        <f aca="false">IF($E20="",0,IF(AB$6+6&lt;$E20,0,IF(AB$6&gt;$F20,0,$D20*(IF(AB$6+6&lt;$F20,AB$6+6,$F20)-IF(AB$6&gt;$E20,AB$6,$E20)+1)/($F20-$E20+1))))</f>
        <v>0.228260869565217</v>
      </c>
      <c r="AC20" s="104" t="n">
        <f aca="false">IF($E20="",0,IF(AC$6+6&lt;$E20,0,IF(AC$6&gt;$F20,0,$D20*(IF(AC$6+6&lt;$F20,AC$6+6,$F20)-IF(AC$6&gt;$E20,AC$6,$E20)+1)/($F20-$E20+1))))</f>
        <v>0.228260869565217</v>
      </c>
      <c r="AD20" s="104" t="n">
        <f aca="false">IF($E20="",0,IF(AD$6+6&lt;$E20,0,IF(AD$6&gt;$F20,0,$D20*(IF(AD$6+6&lt;$F20,AD$6+6,$F20)-IF(AD$6&gt;$E20,AD$6,$E20)+1)/($F20-$E20+1))))</f>
        <v>0.0978260869565217</v>
      </c>
      <c r="AE20" s="104" t="n">
        <f aca="false">IF($E20="",0,IF(AE$6+6&lt;$E20,0,IF(AE$6&gt;$F20,0,$D20*(IF(AE$6+6&lt;$F20,AE$6+6,$F20)-IF(AE$6&gt;$E20,AE$6,$E20)+1)/($F20-$E20+1))))</f>
        <v>0</v>
      </c>
      <c r="AF20" s="104" t="n">
        <f aca="false">IF($E20="",0,IF(AF$6+6&lt;$E20,0,IF(AF$6&gt;$F20,0,$D20*(IF(AF$6+6&lt;$F20,AF$6+6,$F20)-IF(AF$6&gt;$E20,AF$6,$E20)+1)/($F20-$E20+1))))</f>
        <v>0</v>
      </c>
      <c r="AG20" s="104" t="n">
        <f aca="false">IF($E20="",0,IF(AG$6+6&lt;$E20,0,IF(AG$6&gt;$F20,0,$D20*(IF(AG$6+6&lt;$F20,AG$6+6,$F20)-IF(AG$6&gt;$E20,AG$6,$E20)+1)/($F20-$E20+1))))</f>
        <v>0</v>
      </c>
      <c r="AH20" s="104" t="n">
        <f aca="false">IF($E20="",0,IF(AH$6+6&lt;$E20,0,IF(AH$6&gt;$F20,0,$D20*(IF(AH$6+6&lt;$F20,AH$6+6,$F20)-IF(AH$6&gt;$E20,AH$6,$E20)+1)/($F20-$E20+1))))</f>
        <v>0</v>
      </c>
      <c r="AI20" s="104" t="n">
        <f aca="false">IF($E20="",0,IF(AI$6+6&lt;$E20,0,IF(AI$6&gt;$F20,0,$D20*(IF(AI$6+6&lt;$F20,AI$6+6,$F20)-IF(AI$6&gt;$E20,AI$6,$E20)+1)/($F20-$E20+1))))</f>
        <v>0</v>
      </c>
      <c r="AJ20" s="104" t="n">
        <f aca="false">IF($E20="",0,IF(AJ$6+6&lt;$E20,0,IF(AJ$6&gt;$F20,0,$D20*(IF(AJ$6+6&lt;$F20,AJ$6+6,$F20)-IF(AJ$6&gt;$E20,AJ$6,$E20)+1)/($F20-$E20+1))))</f>
        <v>0</v>
      </c>
      <c r="AK20" s="104" t="n">
        <f aca="false">IF($E20="",0,IF(AK$6+6&lt;$E20,0,IF(AK$6&gt;$F20,0,$D20*(IF(AK$6+6&lt;$F20,AK$6+6,$F20)-IF(AK$6&gt;$E20,AK$6,$E20)+1)/($F20-$E20+1))))</f>
        <v>0</v>
      </c>
      <c r="AL20" s="104" t="n">
        <f aca="false">IF($E20="",0,IF(AL$6+6&lt;$E20,0,IF(AL$6&gt;$F20,0,$D20*(IF(AL$6+6&lt;$F20,AL$6+6,$F20)-IF(AL$6&gt;$E20,AL$6,$E20)+1)/($F20-$E20+1))))</f>
        <v>0</v>
      </c>
      <c r="AM20" s="104" t="n">
        <f aca="false">IF($E20="",0,IF(AM$6+6&lt;$E20,0,IF(AM$6&gt;$F20,0,$D20*(IF(AM$6+6&lt;$F20,AM$6+6,$F20)-IF(AM$6&gt;$E20,AM$6,$E20)+1)/($F20-$E20+1))))</f>
        <v>0</v>
      </c>
      <c r="AN20" s="104" t="n">
        <f aca="false">IF($E20="",0,IF(AN$6+6&lt;$E20,0,IF(AN$6&gt;$F20,0,$D20*(IF(AN$6+6&lt;$F20,AN$6+6,$F20)-IF(AN$6&gt;$E20,AN$6,$E20)+1)/($F20-$E20+1))))</f>
        <v>0</v>
      </c>
      <c r="AO20" s="104" t="n">
        <f aca="false">IF($E20="",0,IF(AO$6+6&lt;$E20,0,IF(AO$6&gt;$F20,0,$D20*(IF(AO$6+6&lt;$F20,AO$6+6,$F20)-IF(AO$6&gt;$E20,AO$6,$E20)+1)/($F20-$E20+1))))</f>
        <v>0</v>
      </c>
      <c r="AP20" s="104" t="n">
        <f aca="false">IF($E20="",0,IF(AP$6+6&lt;$E20,0,IF(AP$6&gt;$F20,0,$D20*(IF(AP$6+6&lt;$F20,AP$6+6,$F20)-IF(AP$6&gt;$E20,AP$6,$E20)+1)/($F20-$E20+1))))</f>
        <v>0</v>
      </c>
      <c r="AQ20" s="104" t="n">
        <f aca="false">IF($E20="",0,IF(AQ$6+6&lt;$E20,0,IF(AQ$6&gt;$F20,0,$D20*(IF(AQ$6+6&lt;$F20,AQ$6+6,$F20)-IF(AQ$6&gt;$E20,AQ$6,$E20)+1)/($F20-$E20+1))))</f>
        <v>0</v>
      </c>
      <c r="AR20" s="104" t="n">
        <f aca="false">IF($E20="",0,IF(AR$6+6&lt;$E20,0,IF(AR$6&gt;$F20,0,$D20*(IF(AR$6+6&lt;$F20,AR$6+6,$F20)-IF(AR$6&gt;$E20,AR$6,$E20)+1)/($F20-$E20+1))))</f>
        <v>0</v>
      </c>
      <c r="AS20" s="104" t="n">
        <f aca="false">IF($E20="",0,IF(AS$6+6&lt;$E20,0,IF(AS$6&gt;$F20,0,$D20*(IF(AS$6+6&lt;$F20,AS$6+6,$F20)-IF(AS$6&gt;$E20,AS$6,$E20)+1)/($F20-$E20+1))))</f>
        <v>0</v>
      </c>
      <c r="AT20" s="104" t="n">
        <f aca="false">IF($E20="",0,IF(AT$6+6&lt;$E20,0,IF(AT$6&gt;$F20,0,$D20*(IF(AT$6+6&lt;$F20,AT$6+6,$F20)-IF(AT$6&gt;$E20,AT$6,$E20)+1)/($F20-$E20+1))))</f>
        <v>0</v>
      </c>
      <c r="AU20" s="104" t="n">
        <f aca="false">IF($E20="",0,IF(AU$6+6&lt;$E20,0,IF(AU$6&gt;$F20,0,$D20*(IF(AU$6+6&lt;$F20,AU$6+6,$F20)-IF(AU$6&gt;$E20,AU$6,$E20)+1)/($F20-$E20+1))))</f>
        <v>0</v>
      </c>
      <c r="AV20" s="104" t="n">
        <f aca="false">IF($E20="",0,IF(AV$6+6&lt;$E20,0,IF(AV$6&gt;$F20,0,$D20*(IF(AV$6+6&lt;$F20,AV$6+6,$F20)-IF(AV$6&gt;$E20,AV$6,$E20)+1)/($F20-$E20+1))))</f>
        <v>0</v>
      </c>
      <c r="AW20" s="104" t="n">
        <f aca="false">IF($E20="",0,IF(AW$6+6&lt;$E20,0,IF(AW$6&gt;$F20,0,$D20*(IF(AW$6+6&lt;$F20,AW$6+6,$F20)-IF(AW$6&gt;$E20,AW$6,$E20)+1)/($F20-$E20+1))))</f>
        <v>0</v>
      </c>
      <c r="AX20" s="104" t="n">
        <f aca="false">IF($E20="",0,IF(AX$6+6&lt;$E20,0,IF(AX$6&gt;$F20,0,$D20*(IF(AX$6+6&lt;$F20,AX$6+6,$F20)-IF(AX$6&gt;$E20,AX$6,$E20)+1)/($F20-$E20+1))))</f>
        <v>0</v>
      </c>
      <c r="AY20" s="104" t="n">
        <f aca="false">IF($E20="",0,IF(AY$6+6&lt;$E20,0,IF(AY$6&gt;$F20,0,$D20*(IF(AY$6+6&lt;$F20,AY$6+6,$F20)-IF(AY$6&gt;$E20,AY$6,$E20)+1)/($F20-$E20+1))))</f>
        <v>0</v>
      </c>
      <c r="AZ20" s="104" t="n">
        <f aca="false">IF($E20="",0,IF(AZ$6+6&lt;$E20,0,IF(AZ$6&gt;$F20,0,$D20*(IF(AZ$6+6&lt;$F20,AZ$6+6,$F20)-IF(AZ$6&gt;$E20,AZ$6,$E20)+1)/($F20-$E20+1))))</f>
        <v>0</v>
      </c>
      <c r="BA20" s="104" t="n">
        <f aca="false">IF($E20="",0,IF(BA$6+6&lt;$E20,0,IF(BA$6&gt;$F20,0,$D20*(IF(BA$6+6&lt;$F20,BA$6+6,$F20)-IF(BA$6&gt;$E20,BA$6,$E20)+1)/($F20-$E20+1))))</f>
        <v>0</v>
      </c>
      <c r="BB20" s="104" t="n">
        <f aca="false">IF($E20="",0,IF(BB$6+6&lt;$E20,0,IF(BB$6&gt;$F20,0,$D20*(IF(BB$6+6&lt;$F20,BB$6+6,$F20)-IF(BB$6&gt;$E20,BB$6,$E20)+1)/($F20-$E20+1))))</f>
        <v>0</v>
      </c>
      <c r="BC20" s="104" t="n">
        <f aca="false">IF($E20="",0,IF(BC$6+6&lt;$E20,0,IF(BC$6&gt;$F20,0,$D20*(IF(BC$6+6&lt;$F20,BC$6+6,$F20)-IF(BC$6&gt;$E20,BC$6,$E20)+1)/($F20-$E20+1))))</f>
        <v>0</v>
      </c>
      <c r="BD20" s="104" t="n">
        <f aca="false">IF($E20="",0,IF(BD$6+6&lt;$E20,0,IF(BD$6&gt;$F20,0,$D20*(IF(BD$6+6&lt;$F20,BD$6+6,$F20)-IF(BD$6&gt;$E20,BD$6,$E20)+1)/($F20-$E20+1))))</f>
        <v>0</v>
      </c>
      <c r="BE20" s="104" t="n">
        <f aca="false">IF($E20="",0,IF(BE$6+6&lt;$E20,0,IF(BE$6&gt;$F20,0,$D20*(IF(BE$6+6&lt;$F20,BE$6+6,$F20)-IF(BE$6&gt;$E20,BE$6,$E20)+1)/($F20-$E20+1))))</f>
        <v>0</v>
      </c>
      <c r="BF20" s="104" t="n">
        <f aca="false">IF($E20="",0,IF(BF$6+6&lt;$E20,0,IF(BF$6&gt;$F20,0,$D20*(IF(BF$6+6&lt;$F20,BF$6+6,$F20)-IF(BF$6&gt;$E20,BF$6,$E20)+1)/($F20-$E20+1))))</f>
        <v>0</v>
      </c>
      <c r="BG20" s="104" t="n">
        <f aca="false">IF($E20="",0,IF(BG$6+6&lt;$E20,0,IF(BG$6&gt;$F20,0,$D20*(IF(BG$6+6&lt;$F20,BG$6+6,$F20)-IF(BG$6&gt;$E20,BG$6,$E20)+1)/($F20-$E20+1))))</f>
        <v>0</v>
      </c>
      <c r="BH20" s="104" t="n">
        <f aca="false">IF($E20="",0,IF(BH$6+6&lt;$E20,0,IF(BH$6&gt;$F20,0,$D20*(IF(BH$6+6&lt;$F20,BH$6+6,$F20)-IF(BH$6&gt;$E20,BH$6,$E20)+1)/($F20-$E20+1))))</f>
        <v>0</v>
      </c>
      <c r="BI20" s="104" t="n">
        <f aca="false">IF($E20="",0,IF(BI$6+6&lt;$E20,0,IF(BI$6&gt;$F20,0,$D20*(IF(BI$6+6&lt;$F20,BI$6+6,$F20)-IF(BI$6&gt;$E20,BI$6,$E20)+1)/($F20-$E20+1))))</f>
        <v>0</v>
      </c>
      <c r="BJ20" s="104" t="n">
        <f aca="false">IF($E20="",0,IF(BJ$6+6&lt;$E20,0,IF(BJ$6&gt;$F20,0,$D20*(IF(BJ$6+6&lt;$F20,BJ$6+6,$F20)-IF(BJ$6&gt;$E20,BJ$6,$E20)+1)/($F20-$E20+1))))</f>
        <v>0</v>
      </c>
      <c r="BK20" s="104" t="n">
        <f aca="false">IF($E20="",0,IF(BK$6+6&lt;$E20,0,IF(BK$6&gt;$F20,0,$D20*(IF(BK$6+6&lt;$F20,BK$6+6,$F20)-IF(BK$6&gt;$E20,BK$6,$E20)+1)/($F20-$E20+1))))</f>
        <v>0</v>
      </c>
      <c r="BL20" s="104" t="n">
        <f aca="false">IF($E20="",0,IF(BL$6+6&lt;$E20,0,IF(BL$6&gt;$F20,0,$D20*(IF(BL$6+6&lt;$F20,BL$6+6,$F20)-IF(BL$6&gt;$E20,BL$6,$E20)+1)/($F20-$E20+1))))</f>
        <v>0</v>
      </c>
      <c r="BM20" s="104" t="n">
        <f aca="false">IF($E20="",0,IF(BM$6+6&lt;$E20,0,IF(BM$6&gt;$F20,0,$D20*(IF(BM$6+6&lt;$F20,BM$6+6,$F20)-IF(BM$6&gt;$E20,BM$6,$E20)+1)/($F20-$E20+1))))</f>
        <v>0</v>
      </c>
      <c r="BN20" s="104" t="n">
        <f aca="false">IF($E20="",0,IF(BN$6+6&lt;$E20,0,IF(BN$6&gt;$F20,0,$D20*(IF(BN$6+6&lt;$F20,BN$6+6,$F20)-IF(BN$6&gt;$E20,BN$6,$E20)+1)/($F20-$E20+1))))</f>
        <v>0</v>
      </c>
      <c r="BO20" s="104" t="n">
        <f aca="false">IF($E20="",0,IF(BO$6+6&lt;$E20,0,IF(BO$6&gt;$F20,0,$D20*(IF(BO$6+6&lt;$F20,BO$6+6,$F20)-IF(BO$6&gt;$E20,BO$6,$E20)+1)/($F20-$E20+1))))</f>
        <v>0</v>
      </c>
      <c r="BP20" s="104" t="n">
        <f aca="false">IF($E20="",0,IF(BP$6+6&lt;$E20,0,IF(BP$6&gt;$F20,0,$D20*(IF(BP$6+6&lt;$F20,BP$6+6,$F20)-IF(BP$6&gt;$E20,BP$6,$E20)+1)/($F20-$E20+1))))</f>
        <v>0</v>
      </c>
      <c r="BQ20" s="104" t="n">
        <f aca="false">IF($E20="",0,IF(BQ$6+6&lt;$E20,0,IF(BQ$6&gt;$F20,0,$D20*(IF(BQ$6+6&lt;$F20,BQ$6+6,$F20)-IF(BQ$6&gt;$E20,BQ$6,$E20)+1)/($F20-$E20+1))))</f>
        <v>0</v>
      </c>
      <c r="BR20" s="104" t="n">
        <f aca="false">IF($E20="",0,IF(BR$6+6&lt;$E20,0,IF(BR$6&gt;$F20,0,$D20*(IF(BR$6+6&lt;$F20,BR$6+6,$F20)-IF(BR$6&gt;$E20,BR$6,$E20)+1)/($F20-$E20+1))))</f>
        <v>0</v>
      </c>
      <c r="BS20" s="104" t="n">
        <f aca="false">IF($E20="",0,IF(BS$6+6&lt;$E20,0,IF(BS$6&gt;$F20,0,$D20*(IF(BS$6+6&lt;$F20,BS$6+6,$F20)-IF(BS$6&gt;$E20,BS$6,$E20)+1)/($F20-$E20+1))))</f>
        <v>0</v>
      </c>
      <c r="BT20" s="104" t="n">
        <f aca="false">IF($E20="",0,IF(BT$6+6&lt;$E20,0,IF(BT$6&gt;$F20,0,$D20*(IF(BT$6+6&lt;$F20,BT$6+6,$F20)-IF(BT$6&gt;$E20,BT$6,$E20)+1)/($F20-$E20+1))))</f>
        <v>0</v>
      </c>
      <c r="BU20" s="104" t="n">
        <f aca="false">IF($E20="",0,IF(BU$6+6&lt;$E20,0,IF(BU$6&gt;$F20,0,$D20*(IF(BU$6+6&lt;$F20,BU$6+6,$F20)-IF(BU$6&gt;$E20,BU$6,$E20)+1)/($F20-$E20+1))))</f>
        <v>0</v>
      </c>
      <c r="BV20" s="104" t="n">
        <f aca="false">IF($E20="",0,IF(BV$6+6&lt;$E20,0,IF(BV$6&gt;$F20,0,$D20*(IF(BV$6+6&lt;$F20,BV$6+6,$F20)-IF(BV$6&gt;$E20,BV$6,$E20)+1)/($F20-$E20+1))))</f>
        <v>0</v>
      </c>
      <c r="BW20" s="104" t="n">
        <f aca="false">IF($E20="",0,IF(BW$6+6&lt;$E20,0,IF(BW$6&gt;$F20,0,$D20*(IF(BW$6+6&lt;$F20,BW$6+6,$F20)-IF(BW$6&gt;$E20,BW$6,$E20)+1)/($F20-$E20+1))))</f>
        <v>0</v>
      </c>
      <c r="BX20" s="104" t="n">
        <f aca="false">IF($E20="",0,IF(BX$6+6&lt;$E20,0,IF(BX$6&gt;$F20,0,$D20*(IF(BX$6+6&lt;$F20,BX$6+6,$F20)-IF(BX$6&gt;$E20,BX$6,$E20)+1)/($F20-$E20+1))))</f>
        <v>0</v>
      </c>
      <c r="BY20" s="104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101"/>
      <c r="B21" s="101"/>
      <c r="C21" s="101" t="s">
        <v>695</v>
      </c>
      <c r="D21" s="102"/>
      <c r="E21" s="105" t="n">
        <v>46282</v>
      </c>
      <c r="F21" s="105"/>
      <c r="G21" s="106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 t="n">
        <v>0.25</v>
      </c>
      <c r="Z21" s="107" t="n">
        <v>0.25</v>
      </c>
      <c r="AA21" s="107" t="n">
        <v>0.25</v>
      </c>
      <c r="AB21" s="107" t="n">
        <v>0.25</v>
      </c>
      <c r="AC21" s="107" t="n">
        <v>0.25</v>
      </c>
      <c r="AD21" s="107" t="n">
        <v>0.25</v>
      </c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</row>
    <row r="22" customFormat="false" ht="15" hidden="false" customHeight="false" outlineLevel="0" collapsed="false">
      <c r="A22" s="99"/>
      <c r="B22" s="100" t="s">
        <v>295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</row>
    <row r="23" customFormat="false" ht="15" hidden="false" customHeight="false" outlineLevel="0" collapsed="false">
      <c r="A23" s="101" t="s">
        <v>296</v>
      </c>
      <c r="B23" s="101" t="s">
        <v>703</v>
      </c>
      <c r="C23" s="101" t="s">
        <v>694</v>
      </c>
      <c r="D23" s="102" t="n">
        <v>20</v>
      </c>
      <c r="E23" s="103" t="n">
        <v>46241</v>
      </c>
      <c r="F23" s="103" t="n">
        <v>46258</v>
      </c>
      <c r="G23" s="101" t="n">
        <v>17</v>
      </c>
      <c r="H23" s="104" t="n">
        <f aca="false">IF($E23="",0,IF(H$6+6&lt;$E23,0,IF(H$6&gt;$F23,0,$D23*(IF(H$6+6&lt;$F23,H$6+6,$F23)-IF(H$6&gt;$E23,H$6,$E23)+1)/($F23-$E23+1))))</f>
        <v>0</v>
      </c>
      <c r="I23" s="104" t="n">
        <f aca="false">IF($E23="",0,IF(I$6+6&lt;$E23,0,IF(I$6&gt;$F23,0,$D23*(IF(I$6+6&lt;$F23,I$6+6,$F23)-IF(I$6&gt;$E23,I$6,$E23)+1)/($F23-$E23+1))))</f>
        <v>0</v>
      </c>
      <c r="J23" s="104" t="n">
        <f aca="false">IF($E23="",0,IF(J$6+6&lt;$E23,0,IF(J$6&gt;$F23,0,$D23*(IF(J$6+6&lt;$F23,J$6+6,$F23)-IF(J$6&gt;$E23,J$6,$E23)+1)/($F23-$E23+1))))</f>
        <v>0</v>
      </c>
      <c r="K23" s="104" t="n">
        <f aca="false">IF($E23="",0,IF(K$6+6&lt;$E23,0,IF(K$6&gt;$F23,0,$D23*(IF(K$6+6&lt;$F23,K$6+6,$F23)-IF(K$6&gt;$E23,K$6,$E23)+1)/($F23-$E23+1))))</f>
        <v>0</v>
      </c>
      <c r="L23" s="104" t="n">
        <f aca="false">IF($E23="",0,IF(L$6+6&lt;$E23,0,IF(L$6&gt;$F23,0,$D23*(IF(L$6+6&lt;$F23,L$6+6,$F23)-IF(L$6&gt;$E23,L$6,$E23)+1)/($F23-$E23+1))))</f>
        <v>0</v>
      </c>
      <c r="M23" s="104" t="n">
        <f aca="false">IF($E23="",0,IF(M$6+6&lt;$E23,0,IF(M$6&gt;$F23,0,$D23*(IF(M$6+6&lt;$F23,M$6+6,$F23)-IF(M$6&gt;$E23,M$6,$E23)+1)/($F23-$E23+1))))</f>
        <v>0</v>
      </c>
      <c r="N23" s="104" t="n">
        <f aca="false">IF($E23="",0,IF(N$6+6&lt;$E23,0,IF(N$6&gt;$F23,0,$D23*(IF(N$6+6&lt;$F23,N$6+6,$F23)-IF(N$6&gt;$E23,N$6,$E23)+1)/($F23-$E23+1))))</f>
        <v>0</v>
      </c>
      <c r="O23" s="104" t="n">
        <f aca="false">IF($E23="",0,IF(O$6+6&lt;$E23,0,IF(O$6&gt;$F23,0,$D23*(IF(O$6+6&lt;$F23,O$6+6,$F23)-IF(O$6&gt;$E23,O$6,$E23)+1)/($F23-$E23+1))))</f>
        <v>0</v>
      </c>
      <c r="P23" s="104" t="n">
        <f aca="false">IF($E23="",0,IF(P$6+6&lt;$E23,0,IF(P$6&gt;$F23,0,$D23*(IF(P$6+6&lt;$F23,P$6+6,$F23)-IF(P$6&gt;$E23,P$6,$E23)+1)/($F23-$E23+1))))</f>
        <v>0</v>
      </c>
      <c r="Q23" s="104" t="n">
        <f aca="false">IF($E23="",0,IF(Q$6+6&lt;$E23,0,IF(Q$6&gt;$F23,0,$D23*(IF(Q$6+6&lt;$F23,Q$6+6,$F23)-IF(Q$6&gt;$E23,Q$6,$E23)+1)/($F23-$E23+1))))</f>
        <v>0</v>
      </c>
      <c r="R23" s="104" t="n">
        <f aca="false">IF($E23="",0,IF(R$6+6&lt;$E23,0,IF(R$6&gt;$F23,0,$D23*(IF(R$6+6&lt;$F23,R$6+6,$F23)-IF(R$6&gt;$E23,R$6,$E23)+1)/($F23-$E23+1))))</f>
        <v>0</v>
      </c>
      <c r="S23" s="104" t="n">
        <f aca="false">IF($E23="",0,IF(S$6+6&lt;$E23,0,IF(S$6&gt;$F23,0,$D23*(IF(S$6+6&lt;$F23,S$6+6,$F23)-IF(S$6&gt;$E23,S$6,$E23)+1)/($F23-$E23+1))))</f>
        <v>3.33333333333333</v>
      </c>
      <c r="T23" s="104" t="n">
        <f aca="false">IF($E23="",0,IF(T$6+6&lt;$E23,0,IF(T$6&gt;$F23,0,$D23*(IF(T$6+6&lt;$F23,T$6+6,$F23)-IF(T$6&gt;$E23,T$6,$E23)+1)/($F23-$E23+1))))</f>
        <v>7.77777777777778</v>
      </c>
      <c r="U23" s="104" t="n">
        <f aca="false">IF($E23="",0,IF(U$6+6&lt;$E23,0,IF(U$6&gt;$F23,0,$D23*(IF(U$6+6&lt;$F23,U$6+6,$F23)-IF(U$6&gt;$E23,U$6,$E23)+1)/($F23-$E23+1))))</f>
        <v>7.77777777777778</v>
      </c>
      <c r="V23" s="104" t="n">
        <f aca="false">IF($E23="",0,IF(V$6+6&lt;$E23,0,IF(V$6&gt;$F23,0,$D23*(IF(V$6+6&lt;$F23,V$6+6,$F23)-IF(V$6&gt;$E23,V$6,$E23)+1)/($F23-$E23+1))))</f>
        <v>1.11111111111111</v>
      </c>
      <c r="W23" s="104" t="n">
        <f aca="false">IF($E23="",0,IF(W$6+6&lt;$E23,0,IF(W$6&gt;$F23,0,$D23*(IF(W$6+6&lt;$F23,W$6+6,$F23)-IF(W$6&gt;$E23,W$6,$E23)+1)/($F23-$E23+1))))</f>
        <v>0</v>
      </c>
      <c r="X23" s="104" t="n">
        <f aca="false">IF($E23="",0,IF(X$6+6&lt;$E23,0,IF(X$6&gt;$F23,0,$D23*(IF(X$6+6&lt;$F23,X$6+6,$F23)-IF(X$6&gt;$E23,X$6,$E23)+1)/($F23-$E23+1))))</f>
        <v>0</v>
      </c>
      <c r="Y23" s="104" t="n">
        <f aca="false">IF($E23="",0,IF(Y$6+6&lt;$E23,0,IF(Y$6&gt;$F23,0,$D23*(IF(Y$6+6&lt;$F23,Y$6+6,$F23)-IF(Y$6&gt;$E23,Y$6,$E23)+1)/($F23-$E23+1))))</f>
        <v>0</v>
      </c>
      <c r="Z23" s="104" t="n">
        <f aca="false">IF($E23="",0,IF(Z$6+6&lt;$E23,0,IF(Z$6&gt;$F23,0,$D23*(IF(Z$6+6&lt;$F23,Z$6+6,$F23)-IF(Z$6&gt;$E23,Z$6,$E23)+1)/($F23-$E23+1))))</f>
        <v>0</v>
      </c>
      <c r="AA23" s="104" t="n">
        <f aca="false">IF($E23="",0,IF(AA$6+6&lt;$E23,0,IF(AA$6&gt;$F23,0,$D23*(IF(AA$6+6&lt;$F23,AA$6+6,$F23)-IF(AA$6&gt;$E23,AA$6,$E23)+1)/($F23-$E23+1))))</f>
        <v>0</v>
      </c>
      <c r="AB23" s="104" t="n">
        <f aca="false">IF($E23="",0,IF(AB$6+6&lt;$E23,0,IF(AB$6&gt;$F23,0,$D23*(IF(AB$6+6&lt;$F23,AB$6+6,$F23)-IF(AB$6&gt;$E23,AB$6,$E23)+1)/($F23-$E23+1))))</f>
        <v>0</v>
      </c>
      <c r="AC23" s="104" t="n">
        <f aca="false">IF($E23="",0,IF(AC$6+6&lt;$E23,0,IF(AC$6&gt;$F23,0,$D23*(IF(AC$6+6&lt;$F23,AC$6+6,$F23)-IF(AC$6&gt;$E23,AC$6,$E23)+1)/($F23-$E23+1))))</f>
        <v>0</v>
      </c>
      <c r="AD23" s="104" t="n">
        <f aca="false">IF($E23="",0,IF(AD$6+6&lt;$E23,0,IF(AD$6&gt;$F23,0,$D23*(IF(AD$6+6&lt;$F23,AD$6+6,$F23)-IF(AD$6&gt;$E23,AD$6,$E23)+1)/($F23-$E23+1))))</f>
        <v>0</v>
      </c>
      <c r="AE23" s="104" t="n">
        <f aca="false">IF($E23="",0,IF(AE$6+6&lt;$E23,0,IF(AE$6&gt;$F23,0,$D23*(IF(AE$6+6&lt;$F23,AE$6+6,$F23)-IF(AE$6&gt;$E23,AE$6,$E23)+1)/($F23-$E23+1))))</f>
        <v>0</v>
      </c>
      <c r="AF23" s="104" t="n">
        <f aca="false">IF($E23="",0,IF(AF$6+6&lt;$E23,0,IF(AF$6&gt;$F23,0,$D23*(IF(AF$6+6&lt;$F23,AF$6+6,$F23)-IF(AF$6&gt;$E23,AF$6,$E23)+1)/($F23-$E23+1))))</f>
        <v>0</v>
      </c>
      <c r="AG23" s="104" t="n">
        <f aca="false">IF($E23="",0,IF(AG$6+6&lt;$E23,0,IF(AG$6&gt;$F23,0,$D23*(IF(AG$6+6&lt;$F23,AG$6+6,$F23)-IF(AG$6&gt;$E23,AG$6,$E23)+1)/($F23-$E23+1))))</f>
        <v>0</v>
      </c>
      <c r="AH23" s="104" t="n">
        <f aca="false">IF($E23="",0,IF(AH$6+6&lt;$E23,0,IF(AH$6&gt;$F23,0,$D23*(IF(AH$6+6&lt;$F23,AH$6+6,$F23)-IF(AH$6&gt;$E23,AH$6,$E23)+1)/($F23-$E23+1))))</f>
        <v>0</v>
      </c>
      <c r="AI23" s="104" t="n">
        <f aca="false">IF($E23="",0,IF(AI$6+6&lt;$E23,0,IF(AI$6&gt;$F23,0,$D23*(IF(AI$6+6&lt;$F23,AI$6+6,$F23)-IF(AI$6&gt;$E23,AI$6,$E23)+1)/($F23-$E23+1))))</f>
        <v>0</v>
      </c>
      <c r="AJ23" s="104" t="n">
        <f aca="false">IF($E23="",0,IF(AJ$6+6&lt;$E23,0,IF(AJ$6&gt;$F23,0,$D23*(IF(AJ$6+6&lt;$F23,AJ$6+6,$F23)-IF(AJ$6&gt;$E23,AJ$6,$E23)+1)/($F23-$E23+1))))</f>
        <v>0</v>
      </c>
      <c r="AK23" s="104" t="n">
        <f aca="false">IF($E23="",0,IF(AK$6+6&lt;$E23,0,IF(AK$6&gt;$F23,0,$D23*(IF(AK$6+6&lt;$F23,AK$6+6,$F23)-IF(AK$6&gt;$E23,AK$6,$E23)+1)/($F23-$E23+1))))</f>
        <v>0</v>
      </c>
      <c r="AL23" s="104" t="n">
        <f aca="false">IF($E23="",0,IF(AL$6+6&lt;$E23,0,IF(AL$6&gt;$F23,0,$D23*(IF(AL$6+6&lt;$F23,AL$6+6,$F23)-IF(AL$6&gt;$E23,AL$6,$E23)+1)/($F23-$E23+1))))</f>
        <v>0</v>
      </c>
      <c r="AM23" s="104" t="n">
        <f aca="false">IF($E23="",0,IF(AM$6+6&lt;$E23,0,IF(AM$6&gt;$F23,0,$D23*(IF(AM$6+6&lt;$F23,AM$6+6,$F23)-IF(AM$6&gt;$E23,AM$6,$E23)+1)/($F23-$E23+1))))</f>
        <v>0</v>
      </c>
      <c r="AN23" s="104" t="n">
        <f aca="false">IF($E23="",0,IF(AN$6+6&lt;$E23,0,IF(AN$6&gt;$F23,0,$D23*(IF(AN$6+6&lt;$F23,AN$6+6,$F23)-IF(AN$6&gt;$E23,AN$6,$E23)+1)/($F23-$E23+1))))</f>
        <v>0</v>
      </c>
      <c r="AO23" s="104" t="n">
        <f aca="false">IF($E23="",0,IF(AO$6+6&lt;$E23,0,IF(AO$6&gt;$F23,0,$D23*(IF(AO$6+6&lt;$F23,AO$6+6,$F23)-IF(AO$6&gt;$E23,AO$6,$E23)+1)/($F23-$E23+1))))</f>
        <v>0</v>
      </c>
      <c r="AP23" s="104" t="n">
        <f aca="false">IF($E23="",0,IF(AP$6+6&lt;$E23,0,IF(AP$6&gt;$F23,0,$D23*(IF(AP$6+6&lt;$F23,AP$6+6,$F23)-IF(AP$6&gt;$E23,AP$6,$E23)+1)/($F23-$E23+1))))</f>
        <v>0</v>
      </c>
      <c r="AQ23" s="104" t="n">
        <f aca="false">IF($E23="",0,IF(AQ$6+6&lt;$E23,0,IF(AQ$6&gt;$F23,0,$D23*(IF(AQ$6+6&lt;$F23,AQ$6+6,$F23)-IF(AQ$6&gt;$E23,AQ$6,$E23)+1)/($F23-$E23+1))))</f>
        <v>0</v>
      </c>
      <c r="AR23" s="104" t="n">
        <f aca="false">IF($E23="",0,IF(AR$6+6&lt;$E23,0,IF(AR$6&gt;$F23,0,$D23*(IF(AR$6+6&lt;$F23,AR$6+6,$F23)-IF(AR$6&gt;$E23,AR$6,$E23)+1)/($F23-$E23+1))))</f>
        <v>0</v>
      </c>
      <c r="AS23" s="104" t="n">
        <f aca="false">IF($E23="",0,IF(AS$6+6&lt;$E23,0,IF(AS$6&gt;$F23,0,$D23*(IF(AS$6+6&lt;$F23,AS$6+6,$F23)-IF(AS$6&gt;$E23,AS$6,$E23)+1)/($F23-$E23+1))))</f>
        <v>0</v>
      </c>
      <c r="AT23" s="104" t="n">
        <f aca="false">IF($E23="",0,IF(AT$6+6&lt;$E23,0,IF(AT$6&gt;$F23,0,$D23*(IF(AT$6+6&lt;$F23,AT$6+6,$F23)-IF(AT$6&gt;$E23,AT$6,$E23)+1)/($F23-$E23+1))))</f>
        <v>0</v>
      </c>
      <c r="AU23" s="104" t="n">
        <f aca="false">IF($E23="",0,IF(AU$6+6&lt;$E23,0,IF(AU$6&gt;$F23,0,$D23*(IF(AU$6+6&lt;$F23,AU$6+6,$F23)-IF(AU$6&gt;$E23,AU$6,$E23)+1)/($F23-$E23+1))))</f>
        <v>0</v>
      </c>
      <c r="AV23" s="104" t="n">
        <f aca="false">IF($E23="",0,IF(AV$6+6&lt;$E23,0,IF(AV$6&gt;$F23,0,$D23*(IF(AV$6+6&lt;$F23,AV$6+6,$F23)-IF(AV$6&gt;$E23,AV$6,$E23)+1)/($F23-$E23+1))))</f>
        <v>0</v>
      </c>
      <c r="AW23" s="104" t="n">
        <f aca="false">IF($E23="",0,IF(AW$6+6&lt;$E23,0,IF(AW$6&gt;$F23,0,$D23*(IF(AW$6+6&lt;$F23,AW$6+6,$F23)-IF(AW$6&gt;$E23,AW$6,$E23)+1)/($F23-$E23+1))))</f>
        <v>0</v>
      </c>
      <c r="AX23" s="104" t="n">
        <f aca="false">IF($E23="",0,IF(AX$6+6&lt;$E23,0,IF(AX$6&gt;$F23,0,$D23*(IF(AX$6+6&lt;$F23,AX$6+6,$F23)-IF(AX$6&gt;$E23,AX$6,$E23)+1)/($F23-$E23+1))))</f>
        <v>0</v>
      </c>
      <c r="AY23" s="104" t="n">
        <f aca="false">IF($E23="",0,IF(AY$6+6&lt;$E23,0,IF(AY$6&gt;$F23,0,$D23*(IF(AY$6+6&lt;$F23,AY$6+6,$F23)-IF(AY$6&gt;$E23,AY$6,$E23)+1)/($F23-$E23+1))))</f>
        <v>0</v>
      </c>
      <c r="AZ23" s="104" t="n">
        <f aca="false">IF($E23="",0,IF(AZ$6+6&lt;$E23,0,IF(AZ$6&gt;$F23,0,$D23*(IF(AZ$6+6&lt;$F23,AZ$6+6,$F23)-IF(AZ$6&gt;$E23,AZ$6,$E23)+1)/($F23-$E23+1))))</f>
        <v>0</v>
      </c>
      <c r="BA23" s="104" t="n">
        <f aca="false">IF($E23="",0,IF(BA$6+6&lt;$E23,0,IF(BA$6&gt;$F23,0,$D23*(IF(BA$6+6&lt;$F23,BA$6+6,$F23)-IF(BA$6&gt;$E23,BA$6,$E23)+1)/($F23-$E23+1))))</f>
        <v>0</v>
      </c>
      <c r="BB23" s="104" t="n">
        <f aca="false">IF($E23="",0,IF(BB$6+6&lt;$E23,0,IF(BB$6&gt;$F23,0,$D23*(IF(BB$6+6&lt;$F23,BB$6+6,$F23)-IF(BB$6&gt;$E23,BB$6,$E23)+1)/($F23-$E23+1))))</f>
        <v>0</v>
      </c>
      <c r="BC23" s="104" t="n">
        <f aca="false">IF($E23="",0,IF(BC$6+6&lt;$E23,0,IF(BC$6&gt;$F23,0,$D23*(IF(BC$6+6&lt;$F23,BC$6+6,$F23)-IF(BC$6&gt;$E23,BC$6,$E23)+1)/($F23-$E23+1))))</f>
        <v>0</v>
      </c>
      <c r="BD23" s="104" t="n">
        <f aca="false">IF($E23="",0,IF(BD$6+6&lt;$E23,0,IF(BD$6&gt;$F23,0,$D23*(IF(BD$6+6&lt;$F23,BD$6+6,$F23)-IF(BD$6&gt;$E23,BD$6,$E23)+1)/($F23-$E23+1))))</f>
        <v>0</v>
      </c>
      <c r="BE23" s="104" t="n">
        <f aca="false">IF($E23="",0,IF(BE$6+6&lt;$E23,0,IF(BE$6&gt;$F23,0,$D23*(IF(BE$6+6&lt;$F23,BE$6+6,$F23)-IF(BE$6&gt;$E23,BE$6,$E23)+1)/($F23-$E23+1))))</f>
        <v>0</v>
      </c>
      <c r="BF23" s="104" t="n">
        <f aca="false">IF($E23="",0,IF(BF$6+6&lt;$E23,0,IF(BF$6&gt;$F23,0,$D23*(IF(BF$6+6&lt;$F23,BF$6+6,$F23)-IF(BF$6&gt;$E23,BF$6,$E23)+1)/($F23-$E23+1))))</f>
        <v>0</v>
      </c>
      <c r="BG23" s="104" t="n">
        <f aca="false">IF($E23="",0,IF(BG$6+6&lt;$E23,0,IF(BG$6&gt;$F23,0,$D23*(IF(BG$6+6&lt;$F23,BG$6+6,$F23)-IF(BG$6&gt;$E23,BG$6,$E23)+1)/($F23-$E23+1))))</f>
        <v>0</v>
      </c>
      <c r="BH23" s="104" t="n">
        <f aca="false">IF($E23="",0,IF(BH$6+6&lt;$E23,0,IF(BH$6&gt;$F23,0,$D23*(IF(BH$6+6&lt;$F23,BH$6+6,$F23)-IF(BH$6&gt;$E23,BH$6,$E23)+1)/($F23-$E23+1))))</f>
        <v>0</v>
      </c>
      <c r="BI23" s="104" t="n">
        <f aca="false">IF($E23="",0,IF(BI$6+6&lt;$E23,0,IF(BI$6&gt;$F23,0,$D23*(IF(BI$6+6&lt;$F23,BI$6+6,$F23)-IF(BI$6&gt;$E23,BI$6,$E23)+1)/($F23-$E23+1))))</f>
        <v>0</v>
      </c>
      <c r="BJ23" s="104" t="n">
        <f aca="false">IF($E23="",0,IF(BJ$6+6&lt;$E23,0,IF(BJ$6&gt;$F23,0,$D23*(IF(BJ$6+6&lt;$F23,BJ$6+6,$F23)-IF(BJ$6&gt;$E23,BJ$6,$E23)+1)/($F23-$E23+1))))</f>
        <v>0</v>
      </c>
      <c r="BK23" s="104" t="n">
        <f aca="false">IF($E23="",0,IF(BK$6+6&lt;$E23,0,IF(BK$6&gt;$F23,0,$D23*(IF(BK$6+6&lt;$F23,BK$6+6,$F23)-IF(BK$6&gt;$E23,BK$6,$E23)+1)/($F23-$E23+1))))</f>
        <v>0</v>
      </c>
      <c r="BL23" s="104" t="n">
        <f aca="false">IF($E23="",0,IF(BL$6+6&lt;$E23,0,IF(BL$6&gt;$F23,0,$D23*(IF(BL$6+6&lt;$F23,BL$6+6,$F23)-IF(BL$6&gt;$E23,BL$6,$E23)+1)/($F23-$E23+1))))</f>
        <v>0</v>
      </c>
      <c r="BM23" s="104" t="n">
        <f aca="false">IF($E23="",0,IF(BM$6+6&lt;$E23,0,IF(BM$6&gt;$F23,0,$D23*(IF(BM$6+6&lt;$F23,BM$6+6,$F23)-IF(BM$6&gt;$E23,BM$6,$E23)+1)/($F23-$E23+1))))</f>
        <v>0</v>
      </c>
      <c r="BN23" s="104" t="n">
        <f aca="false">IF($E23="",0,IF(BN$6+6&lt;$E23,0,IF(BN$6&gt;$F23,0,$D23*(IF(BN$6+6&lt;$F23,BN$6+6,$F23)-IF(BN$6&gt;$E23,BN$6,$E23)+1)/($F23-$E23+1))))</f>
        <v>0</v>
      </c>
      <c r="BO23" s="104" t="n">
        <f aca="false">IF($E23="",0,IF(BO$6+6&lt;$E23,0,IF(BO$6&gt;$F23,0,$D23*(IF(BO$6+6&lt;$F23,BO$6+6,$F23)-IF(BO$6&gt;$E23,BO$6,$E23)+1)/($F23-$E23+1))))</f>
        <v>0</v>
      </c>
      <c r="BP23" s="104" t="n">
        <f aca="false">IF($E23="",0,IF(BP$6+6&lt;$E23,0,IF(BP$6&gt;$F23,0,$D23*(IF(BP$6+6&lt;$F23,BP$6+6,$F23)-IF(BP$6&gt;$E23,BP$6,$E23)+1)/($F23-$E23+1))))</f>
        <v>0</v>
      </c>
      <c r="BQ23" s="104" t="n">
        <f aca="false">IF($E23="",0,IF(BQ$6+6&lt;$E23,0,IF(BQ$6&gt;$F23,0,$D23*(IF(BQ$6+6&lt;$F23,BQ$6+6,$F23)-IF(BQ$6&gt;$E23,BQ$6,$E23)+1)/($F23-$E23+1))))</f>
        <v>0</v>
      </c>
      <c r="BR23" s="104" t="n">
        <f aca="false">IF($E23="",0,IF(BR$6+6&lt;$E23,0,IF(BR$6&gt;$F23,0,$D23*(IF(BR$6+6&lt;$F23,BR$6+6,$F23)-IF(BR$6&gt;$E23,BR$6,$E23)+1)/($F23-$E23+1))))</f>
        <v>0</v>
      </c>
      <c r="BS23" s="104" t="n">
        <f aca="false">IF($E23="",0,IF(BS$6+6&lt;$E23,0,IF(BS$6&gt;$F23,0,$D23*(IF(BS$6+6&lt;$F23,BS$6+6,$F23)-IF(BS$6&gt;$E23,BS$6,$E23)+1)/($F23-$E23+1))))</f>
        <v>0</v>
      </c>
      <c r="BT23" s="104" t="n">
        <f aca="false">IF($E23="",0,IF(BT$6+6&lt;$E23,0,IF(BT$6&gt;$F23,0,$D23*(IF(BT$6+6&lt;$F23,BT$6+6,$F23)-IF(BT$6&gt;$E23,BT$6,$E23)+1)/($F23-$E23+1))))</f>
        <v>0</v>
      </c>
      <c r="BU23" s="104" t="n">
        <f aca="false">IF($E23="",0,IF(BU$6+6&lt;$E23,0,IF(BU$6&gt;$F23,0,$D23*(IF(BU$6+6&lt;$F23,BU$6+6,$F23)-IF(BU$6&gt;$E23,BU$6,$E23)+1)/($F23-$E23+1))))</f>
        <v>0</v>
      </c>
      <c r="BV23" s="104" t="n">
        <f aca="false">IF($E23="",0,IF(BV$6+6&lt;$E23,0,IF(BV$6&gt;$F23,0,$D23*(IF(BV$6+6&lt;$F23,BV$6+6,$F23)-IF(BV$6&gt;$E23,BV$6,$E23)+1)/($F23-$E23+1))))</f>
        <v>0</v>
      </c>
      <c r="BW23" s="104" t="n">
        <f aca="false">IF($E23="",0,IF(BW$6+6&lt;$E23,0,IF(BW$6&gt;$F23,0,$D23*(IF(BW$6+6&lt;$F23,BW$6+6,$F23)-IF(BW$6&gt;$E23,BW$6,$E23)+1)/($F23-$E23+1))))</f>
        <v>0</v>
      </c>
      <c r="BX23" s="104" t="n">
        <f aca="false">IF($E23="",0,IF(BX$6+6&lt;$E23,0,IF(BX$6&gt;$F23,0,$D23*(IF(BX$6+6&lt;$F23,BX$6+6,$F23)-IF(BX$6&gt;$E23,BX$6,$E23)+1)/($F23-$E23+1))))</f>
        <v>0</v>
      </c>
      <c r="BY23" s="104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101"/>
      <c r="B24" s="101"/>
      <c r="C24" s="101" t="s">
        <v>695</v>
      </c>
      <c r="D24" s="102"/>
      <c r="E24" s="105" t="n">
        <v>46243</v>
      </c>
      <c r="F24" s="105" t="n">
        <v>46256</v>
      </c>
      <c r="G24" s="106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 t="n">
        <v>6.6667</v>
      </c>
      <c r="T24" s="107" t="n">
        <v>6.6667</v>
      </c>
      <c r="U24" s="107" t="n">
        <v>6.6667</v>
      </c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</row>
    <row r="25" customFormat="false" ht="15" hidden="false" customHeight="false" outlineLevel="0" collapsed="false">
      <c r="A25" s="101" t="s">
        <v>331</v>
      </c>
      <c r="B25" s="101" t="s">
        <v>704</v>
      </c>
      <c r="C25" s="101" t="s">
        <v>694</v>
      </c>
      <c r="D25" s="102" t="n">
        <v>10</v>
      </c>
      <c r="E25" s="103" t="n">
        <v>46259</v>
      </c>
      <c r="F25" s="103" t="n">
        <v>46268</v>
      </c>
      <c r="G25" s="101" t="n">
        <v>9</v>
      </c>
      <c r="H25" s="104" t="n">
        <f aca="false">IF($E25="",0,IF(H$6+6&lt;$E25,0,IF(H$6&gt;$F25,0,$D25*(IF(H$6+6&lt;$F25,H$6+6,$F25)-IF(H$6&gt;$E25,H$6,$E25)+1)/($F25-$E25+1))))</f>
        <v>0</v>
      </c>
      <c r="I25" s="104" t="n">
        <f aca="false">IF($E25="",0,IF(I$6+6&lt;$E25,0,IF(I$6&gt;$F25,0,$D25*(IF(I$6+6&lt;$F25,I$6+6,$F25)-IF(I$6&gt;$E25,I$6,$E25)+1)/($F25-$E25+1))))</f>
        <v>0</v>
      </c>
      <c r="J25" s="104" t="n">
        <f aca="false">IF($E25="",0,IF(J$6+6&lt;$E25,0,IF(J$6&gt;$F25,0,$D25*(IF(J$6+6&lt;$F25,J$6+6,$F25)-IF(J$6&gt;$E25,J$6,$E25)+1)/($F25-$E25+1))))</f>
        <v>0</v>
      </c>
      <c r="K25" s="104" t="n">
        <f aca="false">IF($E25="",0,IF(K$6+6&lt;$E25,0,IF(K$6&gt;$F25,0,$D25*(IF(K$6+6&lt;$F25,K$6+6,$F25)-IF(K$6&gt;$E25,K$6,$E25)+1)/($F25-$E25+1))))</f>
        <v>0</v>
      </c>
      <c r="L25" s="104" t="n">
        <f aca="false">IF($E25="",0,IF(L$6+6&lt;$E25,0,IF(L$6&gt;$F25,0,$D25*(IF(L$6+6&lt;$F25,L$6+6,$F25)-IF(L$6&gt;$E25,L$6,$E25)+1)/($F25-$E25+1))))</f>
        <v>0</v>
      </c>
      <c r="M25" s="104" t="n">
        <f aca="false">IF($E25="",0,IF(M$6+6&lt;$E25,0,IF(M$6&gt;$F25,0,$D25*(IF(M$6+6&lt;$F25,M$6+6,$F25)-IF(M$6&gt;$E25,M$6,$E25)+1)/($F25-$E25+1))))</f>
        <v>0</v>
      </c>
      <c r="N25" s="104" t="n">
        <f aca="false">IF($E25="",0,IF(N$6+6&lt;$E25,0,IF(N$6&gt;$F25,0,$D25*(IF(N$6+6&lt;$F25,N$6+6,$F25)-IF(N$6&gt;$E25,N$6,$E25)+1)/($F25-$E25+1))))</f>
        <v>0</v>
      </c>
      <c r="O25" s="104" t="n">
        <f aca="false">IF($E25="",0,IF(O$6+6&lt;$E25,0,IF(O$6&gt;$F25,0,$D25*(IF(O$6+6&lt;$F25,O$6+6,$F25)-IF(O$6&gt;$E25,O$6,$E25)+1)/($F25-$E25+1))))</f>
        <v>0</v>
      </c>
      <c r="P25" s="104" t="n">
        <f aca="false">IF($E25="",0,IF(P$6+6&lt;$E25,0,IF(P$6&gt;$F25,0,$D25*(IF(P$6+6&lt;$F25,P$6+6,$F25)-IF(P$6&gt;$E25,P$6,$E25)+1)/($F25-$E25+1))))</f>
        <v>0</v>
      </c>
      <c r="Q25" s="104" t="n">
        <f aca="false">IF($E25="",0,IF(Q$6+6&lt;$E25,0,IF(Q$6&gt;$F25,0,$D25*(IF(Q$6+6&lt;$F25,Q$6+6,$F25)-IF(Q$6&gt;$E25,Q$6,$E25)+1)/($F25-$E25+1))))</f>
        <v>0</v>
      </c>
      <c r="R25" s="104" t="n">
        <f aca="false">IF($E25="",0,IF(R$6+6&lt;$E25,0,IF(R$6&gt;$F25,0,$D25*(IF(R$6+6&lt;$F25,R$6+6,$F25)-IF(R$6&gt;$E25,R$6,$E25)+1)/($F25-$E25+1))))</f>
        <v>0</v>
      </c>
      <c r="S25" s="104" t="n">
        <f aca="false">IF($E25="",0,IF(S$6+6&lt;$E25,0,IF(S$6&gt;$F25,0,$D25*(IF(S$6+6&lt;$F25,S$6+6,$F25)-IF(S$6&gt;$E25,S$6,$E25)+1)/($F25-$E25+1))))</f>
        <v>0</v>
      </c>
      <c r="T25" s="104" t="n">
        <f aca="false">IF($E25="",0,IF(T$6+6&lt;$E25,0,IF(T$6&gt;$F25,0,$D25*(IF(T$6+6&lt;$F25,T$6+6,$F25)-IF(T$6&gt;$E25,T$6,$E25)+1)/($F25-$E25+1))))</f>
        <v>0</v>
      </c>
      <c r="U25" s="104" t="n">
        <f aca="false">IF($E25="",0,IF(U$6+6&lt;$E25,0,IF(U$6&gt;$F25,0,$D25*(IF(U$6+6&lt;$F25,U$6+6,$F25)-IF(U$6&gt;$E25,U$6,$E25)+1)/($F25-$E25+1))))</f>
        <v>0</v>
      </c>
      <c r="V25" s="104" t="n">
        <f aca="false">IF($E25="",0,IF(V$6+6&lt;$E25,0,IF(V$6&gt;$F25,0,$D25*(IF(V$6+6&lt;$F25,V$6+6,$F25)-IF(V$6&gt;$E25,V$6,$E25)+1)/($F25-$E25+1))))</f>
        <v>6</v>
      </c>
      <c r="W25" s="104" t="n">
        <f aca="false">IF($E25="",0,IF(W$6+6&lt;$E25,0,IF(W$6&gt;$F25,0,$D25*(IF(W$6+6&lt;$F25,W$6+6,$F25)-IF(W$6&gt;$E25,W$6,$E25)+1)/($F25-$E25+1))))</f>
        <v>4</v>
      </c>
      <c r="X25" s="104" t="n">
        <f aca="false">IF($E25="",0,IF(X$6+6&lt;$E25,0,IF(X$6&gt;$F25,0,$D25*(IF(X$6+6&lt;$F25,X$6+6,$F25)-IF(X$6&gt;$E25,X$6,$E25)+1)/($F25-$E25+1))))</f>
        <v>0</v>
      </c>
      <c r="Y25" s="104" t="n">
        <f aca="false">IF($E25="",0,IF(Y$6+6&lt;$E25,0,IF(Y$6&gt;$F25,0,$D25*(IF(Y$6+6&lt;$F25,Y$6+6,$F25)-IF(Y$6&gt;$E25,Y$6,$E25)+1)/($F25-$E25+1))))</f>
        <v>0</v>
      </c>
      <c r="Z25" s="104" t="n">
        <f aca="false">IF($E25="",0,IF(Z$6+6&lt;$E25,0,IF(Z$6&gt;$F25,0,$D25*(IF(Z$6+6&lt;$F25,Z$6+6,$F25)-IF(Z$6&gt;$E25,Z$6,$E25)+1)/($F25-$E25+1))))</f>
        <v>0</v>
      </c>
      <c r="AA25" s="104" t="n">
        <f aca="false">IF($E25="",0,IF(AA$6+6&lt;$E25,0,IF(AA$6&gt;$F25,0,$D25*(IF(AA$6+6&lt;$F25,AA$6+6,$F25)-IF(AA$6&gt;$E25,AA$6,$E25)+1)/($F25-$E25+1))))</f>
        <v>0</v>
      </c>
      <c r="AB25" s="104" t="n">
        <f aca="false">IF($E25="",0,IF(AB$6+6&lt;$E25,0,IF(AB$6&gt;$F25,0,$D25*(IF(AB$6+6&lt;$F25,AB$6+6,$F25)-IF(AB$6&gt;$E25,AB$6,$E25)+1)/($F25-$E25+1))))</f>
        <v>0</v>
      </c>
      <c r="AC25" s="104" t="n">
        <f aca="false">IF($E25="",0,IF(AC$6+6&lt;$E25,0,IF(AC$6&gt;$F25,0,$D25*(IF(AC$6+6&lt;$F25,AC$6+6,$F25)-IF(AC$6&gt;$E25,AC$6,$E25)+1)/($F25-$E25+1))))</f>
        <v>0</v>
      </c>
      <c r="AD25" s="104" t="n">
        <f aca="false">IF($E25="",0,IF(AD$6+6&lt;$E25,0,IF(AD$6&gt;$F25,0,$D25*(IF(AD$6+6&lt;$F25,AD$6+6,$F25)-IF(AD$6&gt;$E25,AD$6,$E25)+1)/($F25-$E25+1))))</f>
        <v>0</v>
      </c>
      <c r="AE25" s="104" t="n">
        <f aca="false">IF($E25="",0,IF(AE$6+6&lt;$E25,0,IF(AE$6&gt;$F25,0,$D25*(IF(AE$6+6&lt;$F25,AE$6+6,$F25)-IF(AE$6&gt;$E25,AE$6,$E25)+1)/($F25-$E25+1))))</f>
        <v>0</v>
      </c>
      <c r="AF25" s="104" t="n">
        <f aca="false">IF($E25="",0,IF(AF$6+6&lt;$E25,0,IF(AF$6&gt;$F25,0,$D25*(IF(AF$6+6&lt;$F25,AF$6+6,$F25)-IF(AF$6&gt;$E25,AF$6,$E25)+1)/($F25-$E25+1))))</f>
        <v>0</v>
      </c>
      <c r="AG25" s="104" t="n">
        <f aca="false">IF($E25="",0,IF(AG$6+6&lt;$E25,0,IF(AG$6&gt;$F25,0,$D25*(IF(AG$6+6&lt;$F25,AG$6+6,$F25)-IF(AG$6&gt;$E25,AG$6,$E25)+1)/($F25-$E25+1))))</f>
        <v>0</v>
      </c>
      <c r="AH25" s="104" t="n">
        <f aca="false">IF($E25="",0,IF(AH$6+6&lt;$E25,0,IF(AH$6&gt;$F25,0,$D25*(IF(AH$6+6&lt;$F25,AH$6+6,$F25)-IF(AH$6&gt;$E25,AH$6,$E25)+1)/($F25-$E25+1))))</f>
        <v>0</v>
      </c>
      <c r="AI25" s="104" t="n">
        <f aca="false">IF($E25="",0,IF(AI$6+6&lt;$E25,0,IF(AI$6&gt;$F25,0,$D25*(IF(AI$6+6&lt;$F25,AI$6+6,$F25)-IF(AI$6&gt;$E25,AI$6,$E25)+1)/($F25-$E25+1))))</f>
        <v>0</v>
      </c>
      <c r="AJ25" s="104" t="n">
        <f aca="false">IF($E25="",0,IF(AJ$6+6&lt;$E25,0,IF(AJ$6&gt;$F25,0,$D25*(IF(AJ$6+6&lt;$F25,AJ$6+6,$F25)-IF(AJ$6&gt;$E25,AJ$6,$E25)+1)/($F25-$E25+1))))</f>
        <v>0</v>
      </c>
      <c r="AK25" s="104" t="n">
        <f aca="false">IF($E25="",0,IF(AK$6+6&lt;$E25,0,IF(AK$6&gt;$F25,0,$D25*(IF(AK$6+6&lt;$F25,AK$6+6,$F25)-IF(AK$6&gt;$E25,AK$6,$E25)+1)/($F25-$E25+1))))</f>
        <v>0</v>
      </c>
      <c r="AL25" s="104" t="n">
        <f aca="false">IF($E25="",0,IF(AL$6+6&lt;$E25,0,IF(AL$6&gt;$F25,0,$D25*(IF(AL$6+6&lt;$F25,AL$6+6,$F25)-IF(AL$6&gt;$E25,AL$6,$E25)+1)/($F25-$E25+1))))</f>
        <v>0</v>
      </c>
      <c r="AM25" s="104" t="n">
        <f aca="false">IF($E25="",0,IF(AM$6+6&lt;$E25,0,IF(AM$6&gt;$F25,0,$D25*(IF(AM$6+6&lt;$F25,AM$6+6,$F25)-IF(AM$6&gt;$E25,AM$6,$E25)+1)/($F25-$E25+1))))</f>
        <v>0</v>
      </c>
      <c r="AN25" s="104" t="n">
        <f aca="false">IF($E25="",0,IF(AN$6+6&lt;$E25,0,IF(AN$6&gt;$F25,0,$D25*(IF(AN$6+6&lt;$F25,AN$6+6,$F25)-IF(AN$6&gt;$E25,AN$6,$E25)+1)/($F25-$E25+1))))</f>
        <v>0</v>
      </c>
      <c r="AO25" s="104" t="n">
        <f aca="false">IF($E25="",0,IF(AO$6+6&lt;$E25,0,IF(AO$6&gt;$F25,0,$D25*(IF(AO$6+6&lt;$F25,AO$6+6,$F25)-IF(AO$6&gt;$E25,AO$6,$E25)+1)/($F25-$E25+1))))</f>
        <v>0</v>
      </c>
      <c r="AP25" s="104" t="n">
        <f aca="false">IF($E25="",0,IF(AP$6+6&lt;$E25,0,IF(AP$6&gt;$F25,0,$D25*(IF(AP$6+6&lt;$F25,AP$6+6,$F25)-IF(AP$6&gt;$E25,AP$6,$E25)+1)/($F25-$E25+1))))</f>
        <v>0</v>
      </c>
      <c r="AQ25" s="104" t="n">
        <f aca="false">IF($E25="",0,IF(AQ$6+6&lt;$E25,0,IF(AQ$6&gt;$F25,0,$D25*(IF(AQ$6+6&lt;$F25,AQ$6+6,$F25)-IF(AQ$6&gt;$E25,AQ$6,$E25)+1)/($F25-$E25+1))))</f>
        <v>0</v>
      </c>
      <c r="AR25" s="104" t="n">
        <f aca="false">IF($E25="",0,IF(AR$6+6&lt;$E25,0,IF(AR$6&gt;$F25,0,$D25*(IF(AR$6+6&lt;$F25,AR$6+6,$F25)-IF(AR$6&gt;$E25,AR$6,$E25)+1)/($F25-$E25+1))))</f>
        <v>0</v>
      </c>
      <c r="AS25" s="104" t="n">
        <f aca="false">IF($E25="",0,IF(AS$6+6&lt;$E25,0,IF(AS$6&gt;$F25,0,$D25*(IF(AS$6+6&lt;$F25,AS$6+6,$F25)-IF(AS$6&gt;$E25,AS$6,$E25)+1)/($F25-$E25+1))))</f>
        <v>0</v>
      </c>
      <c r="AT25" s="104" t="n">
        <f aca="false">IF($E25="",0,IF(AT$6+6&lt;$E25,0,IF(AT$6&gt;$F25,0,$D25*(IF(AT$6+6&lt;$F25,AT$6+6,$F25)-IF(AT$6&gt;$E25,AT$6,$E25)+1)/($F25-$E25+1))))</f>
        <v>0</v>
      </c>
      <c r="AU25" s="104" t="n">
        <f aca="false">IF($E25="",0,IF(AU$6+6&lt;$E25,0,IF(AU$6&gt;$F25,0,$D25*(IF(AU$6+6&lt;$F25,AU$6+6,$F25)-IF(AU$6&gt;$E25,AU$6,$E25)+1)/($F25-$E25+1))))</f>
        <v>0</v>
      </c>
      <c r="AV25" s="104" t="n">
        <f aca="false">IF($E25="",0,IF(AV$6+6&lt;$E25,0,IF(AV$6&gt;$F25,0,$D25*(IF(AV$6+6&lt;$F25,AV$6+6,$F25)-IF(AV$6&gt;$E25,AV$6,$E25)+1)/($F25-$E25+1))))</f>
        <v>0</v>
      </c>
      <c r="AW25" s="104" t="n">
        <f aca="false">IF($E25="",0,IF(AW$6+6&lt;$E25,0,IF(AW$6&gt;$F25,0,$D25*(IF(AW$6+6&lt;$F25,AW$6+6,$F25)-IF(AW$6&gt;$E25,AW$6,$E25)+1)/($F25-$E25+1))))</f>
        <v>0</v>
      </c>
      <c r="AX25" s="104" t="n">
        <f aca="false">IF($E25="",0,IF(AX$6+6&lt;$E25,0,IF(AX$6&gt;$F25,0,$D25*(IF(AX$6+6&lt;$F25,AX$6+6,$F25)-IF(AX$6&gt;$E25,AX$6,$E25)+1)/($F25-$E25+1))))</f>
        <v>0</v>
      </c>
      <c r="AY25" s="104" t="n">
        <f aca="false">IF($E25="",0,IF(AY$6+6&lt;$E25,0,IF(AY$6&gt;$F25,0,$D25*(IF(AY$6+6&lt;$F25,AY$6+6,$F25)-IF(AY$6&gt;$E25,AY$6,$E25)+1)/($F25-$E25+1))))</f>
        <v>0</v>
      </c>
      <c r="AZ25" s="104" t="n">
        <f aca="false">IF($E25="",0,IF(AZ$6+6&lt;$E25,0,IF(AZ$6&gt;$F25,0,$D25*(IF(AZ$6+6&lt;$F25,AZ$6+6,$F25)-IF(AZ$6&gt;$E25,AZ$6,$E25)+1)/($F25-$E25+1))))</f>
        <v>0</v>
      </c>
      <c r="BA25" s="104" t="n">
        <f aca="false">IF($E25="",0,IF(BA$6+6&lt;$E25,0,IF(BA$6&gt;$F25,0,$D25*(IF(BA$6+6&lt;$F25,BA$6+6,$F25)-IF(BA$6&gt;$E25,BA$6,$E25)+1)/($F25-$E25+1))))</f>
        <v>0</v>
      </c>
      <c r="BB25" s="104" t="n">
        <f aca="false">IF($E25="",0,IF(BB$6+6&lt;$E25,0,IF(BB$6&gt;$F25,0,$D25*(IF(BB$6+6&lt;$F25,BB$6+6,$F25)-IF(BB$6&gt;$E25,BB$6,$E25)+1)/($F25-$E25+1))))</f>
        <v>0</v>
      </c>
      <c r="BC25" s="104" t="n">
        <f aca="false">IF($E25="",0,IF(BC$6+6&lt;$E25,0,IF(BC$6&gt;$F25,0,$D25*(IF(BC$6+6&lt;$F25,BC$6+6,$F25)-IF(BC$6&gt;$E25,BC$6,$E25)+1)/($F25-$E25+1))))</f>
        <v>0</v>
      </c>
      <c r="BD25" s="104" t="n">
        <f aca="false">IF($E25="",0,IF(BD$6+6&lt;$E25,0,IF(BD$6&gt;$F25,0,$D25*(IF(BD$6+6&lt;$F25,BD$6+6,$F25)-IF(BD$6&gt;$E25,BD$6,$E25)+1)/($F25-$E25+1))))</f>
        <v>0</v>
      </c>
      <c r="BE25" s="104" t="n">
        <f aca="false">IF($E25="",0,IF(BE$6+6&lt;$E25,0,IF(BE$6&gt;$F25,0,$D25*(IF(BE$6+6&lt;$F25,BE$6+6,$F25)-IF(BE$6&gt;$E25,BE$6,$E25)+1)/($F25-$E25+1))))</f>
        <v>0</v>
      </c>
      <c r="BF25" s="104" t="n">
        <f aca="false">IF($E25="",0,IF(BF$6+6&lt;$E25,0,IF(BF$6&gt;$F25,0,$D25*(IF(BF$6+6&lt;$F25,BF$6+6,$F25)-IF(BF$6&gt;$E25,BF$6,$E25)+1)/($F25-$E25+1))))</f>
        <v>0</v>
      </c>
      <c r="BG25" s="104" t="n">
        <f aca="false">IF($E25="",0,IF(BG$6+6&lt;$E25,0,IF(BG$6&gt;$F25,0,$D25*(IF(BG$6+6&lt;$F25,BG$6+6,$F25)-IF(BG$6&gt;$E25,BG$6,$E25)+1)/($F25-$E25+1))))</f>
        <v>0</v>
      </c>
      <c r="BH25" s="104" t="n">
        <f aca="false">IF($E25="",0,IF(BH$6+6&lt;$E25,0,IF(BH$6&gt;$F25,0,$D25*(IF(BH$6+6&lt;$F25,BH$6+6,$F25)-IF(BH$6&gt;$E25,BH$6,$E25)+1)/($F25-$E25+1))))</f>
        <v>0</v>
      </c>
      <c r="BI25" s="104" t="n">
        <f aca="false">IF($E25="",0,IF(BI$6+6&lt;$E25,0,IF(BI$6&gt;$F25,0,$D25*(IF(BI$6+6&lt;$F25,BI$6+6,$F25)-IF(BI$6&gt;$E25,BI$6,$E25)+1)/($F25-$E25+1))))</f>
        <v>0</v>
      </c>
      <c r="BJ25" s="104" t="n">
        <f aca="false">IF($E25="",0,IF(BJ$6+6&lt;$E25,0,IF(BJ$6&gt;$F25,0,$D25*(IF(BJ$6+6&lt;$F25,BJ$6+6,$F25)-IF(BJ$6&gt;$E25,BJ$6,$E25)+1)/($F25-$E25+1))))</f>
        <v>0</v>
      </c>
      <c r="BK25" s="104" t="n">
        <f aca="false">IF($E25="",0,IF(BK$6+6&lt;$E25,0,IF(BK$6&gt;$F25,0,$D25*(IF(BK$6+6&lt;$F25,BK$6+6,$F25)-IF(BK$6&gt;$E25,BK$6,$E25)+1)/($F25-$E25+1))))</f>
        <v>0</v>
      </c>
      <c r="BL25" s="104" t="n">
        <f aca="false">IF($E25="",0,IF(BL$6+6&lt;$E25,0,IF(BL$6&gt;$F25,0,$D25*(IF(BL$6+6&lt;$F25,BL$6+6,$F25)-IF(BL$6&gt;$E25,BL$6,$E25)+1)/($F25-$E25+1))))</f>
        <v>0</v>
      </c>
      <c r="BM25" s="104" t="n">
        <f aca="false">IF($E25="",0,IF(BM$6+6&lt;$E25,0,IF(BM$6&gt;$F25,0,$D25*(IF(BM$6+6&lt;$F25,BM$6+6,$F25)-IF(BM$6&gt;$E25,BM$6,$E25)+1)/($F25-$E25+1))))</f>
        <v>0</v>
      </c>
      <c r="BN25" s="104" t="n">
        <f aca="false">IF($E25="",0,IF(BN$6+6&lt;$E25,0,IF(BN$6&gt;$F25,0,$D25*(IF(BN$6+6&lt;$F25,BN$6+6,$F25)-IF(BN$6&gt;$E25,BN$6,$E25)+1)/($F25-$E25+1))))</f>
        <v>0</v>
      </c>
      <c r="BO25" s="104" t="n">
        <f aca="false">IF($E25="",0,IF(BO$6+6&lt;$E25,0,IF(BO$6&gt;$F25,0,$D25*(IF(BO$6+6&lt;$F25,BO$6+6,$F25)-IF(BO$6&gt;$E25,BO$6,$E25)+1)/($F25-$E25+1))))</f>
        <v>0</v>
      </c>
      <c r="BP25" s="104" t="n">
        <f aca="false">IF($E25="",0,IF(BP$6+6&lt;$E25,0,IF(BP$6&gt;$F25,0,$D25*(IF(BP$6+6&lt;$F25,BP$6+6,$F25)-IF(BP$6&gt;$E25,BP$6,$E25)+1)/($F25-$E25+1))))</f>
        <v>0</v>
      </c>
      <c r="BQ25" s="104" t="n">
        <f aca="false">IF($E25="",0,IF(BQ$6+6&lt;$E25,0,IF(BQ$6&gt;$F25,0,$D25*(IF(BQ$6+6&lt;$F25,BQ$6+6,$F25)-IF(BQ$6&gt;$E25,BQ$6,$E25)+1)/($F25-$E25+1))))</f>
        <v>0</v>
      </c>
      <c r="BR25" s="104" t="n">
        <f aca="false">IF($E25="",0,IF(BR$6+6&lt;$E25,0,IF(BR$6&gt;$F25,0,$D25*(IF(BR$6+6&lt;$F25,BR$6+6,$F25)-IF(BR$6&gt;$E25,BR$6,$E25)+1)/($F25-$E25+1))))</f>
        <v>0</v>
      </c>
      <c r="BS25" s="104" t="n">
        <f aca="false">IF($E25="",0,IF(BS$6+6&lt;$E25,0,IF(BS$6&gt;$F25,0,$D25*(IF(BS$6+6&lt;$F25,BS$6+6,$F25)-IF(BS$6&gt;$E25,BS$6,$E25)+1)/($F25-$E25+1))))</f>
        <v>0</v>
      </c>
      <c r="BT25" s="104" t="n">
        <f aca="false">IF($E25="",0,IF(BT$6+6&lt;$E25,0,IF(BT$6&gt;$F25,0,$D25*(IF(BT$6+6&lt;$F25,BT$6+6,$F25)-IF(BT$6&gt;$E25,BT$6,$E25)+1)/($F25-$E25+1))))</f>
        <v>0</v>
      </c>
      <c r="BU25" s="104" t="n">
        <f aca="false">IF($E25="",0,IF(BU$6+6&lt;$E25,0,IF(BU$6&gt;$F25,0,$D25*(IF(BU$6+6&lt;$F25,BU$6+6,$F25)-IF(BU$6&gt;$E25,BU$6,$E25)+1)/($F25-$E25+1))))</f>
        <v>0</v>
      </c>
      <c r="BV25" s="104" t="n">
        <f aca="false">IF($E25="",0,IF(BV$6+6&lt;$E25,0,IF(BV$6&gt;$F25,0,$D25*(IF(BV$6+6&lt;$F25,BV$6+6,$F25)-IF(BV$6&gt;$E25,BV$6,$E25)+1)/($F25-$E25+1))))</f>
        <v>0</v>
      </c>
      <c r="BW25" s="104" t="n">
        <f aca="false">IF($E25="",0,IF(BW$6+6&lt;$E25,0,IF(BW$6&gt;$F25,0,$D25*(IF(BW$6+6&lt;$F25,BW$6+6,$F25)-IF(BW$6&gt;$E25,BW$6,$E25)+1)/($F25-$E25+1))))</f>
        <v>0</v>
      </c>
      <c r="BX25" s="104" t="n">
        <f aca="false">IF($E25="",0,IF(BX$6+6&lt;$E25,0,IF(BX$6&gt;$F25,0,$D25*(IF(BX$6+6&lt;$F25,BX$6+6,$F25)-IF(BX$6&gt;$E25,BX$6,$E25)+1)/($F25-$E25+1))))</f>
        <v>0</v>
      </c>
      <c r="BY25" s="104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101"/>
      <c r="B26" s="101"/>
      <c r="C26" s="101" t="s">
        <v>695</v>
      </c>
      <c r="D26" s="102"/>
      <c r="E26" s="105" t="n">
        <v>46257</v>
      </c>
      <c r="F26" s="105" t="n">
        <v>46260</v>
      </c>
      <c r="G26" s="106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 t="n">
        <v>5</v>
      </c>
      <c r="V26" s="107" t="n">
        <v>5</v>
      </c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</row>
    <row r="27" customFormat="false" ht="15" hidden="false" customHeight="false" outlineLevel="0" collapsed="false">
      <c r="A27" s="101" t="s">
        <v>355</v>
      </c>
      <c r="B27" s="101" t="s">
        <v>705</v>
      </c>
      <c r="C27" s="101" t="s">
        <v>694</v>
      </c>
      <c r="D27" s="102" t="n">
        <v>20</v>
      </c>
      <c r="E27" s="103" t="n">
        <v>46259</v>
      </c>
      <c r="F27" s="103" t="n">
        <v>46268</v>
      </c>
      <c r="G27" s="101" t="n">
        <v>9</v>
      </c>
      <c r="H27" s="104" t="n">
        <f aca="false">IF($E27="",0,IF(H$6+6&lt;$E27,0,IF(H$6&gt;$F27,0,$D27*(IF(H$6+6&lt;$F27,H$6+6,$F27)-IF(H$6&gt;$E27,H$6,$E27)+1)/($F27-$E27+1))))</f>
        <v>0</v>
      </c>
      <c r="I27" s="104" t="n">
        <f aca="false">IF($E27="",0,IF(I$6+6&lt;$E27,0,IF(I$6&gt;$F27,0,$D27*(IF(I$6+6&lt;$F27,I$6+6,$F27)-IF(I$6&gt;$E27,I$6,$E27)+1)/($F27-$E27+1))))</f>
        <v>0</v>
      </c>
      <c r="J27" s="104" t="n">
        <f aca="false">IF($E27="",0,IF(J$6+6&lt;$E27,0,IF(J$6&gt;$F27,0,$D27*(IF(J$6+6&lt;$F27,J$6+6,$F27)-IF(J$6&gt;$E27,J$6,$E27)+1)/($F27-$E27+1))))</f>
        <v>0</v>
      </c>
      <c r="K27" s="104" t="n">
        <f aca="false">IF($E27="",0,IF(K$6+6&lt;$E27,0,IF(K$6&gt;$F27,0,$D27*(IF(K$6+6&lt;$F27,K$6+6,$F27)-IF(K$6&gt;$E27,K$6,$E27)+1)/($F27-$E27+1))))</f>
        <v>0</v>
      </c>
      <c r="L27" s="104" t="n">
        <f aca="false">IF($E27="",0,IF(L$6+6&lt;$E27,0,IF(L$6&gt;$F27,0,$D27*(IF(L$6+6&lt;$F27,L$6+6,$F27)-IF(L$6&gt;$E27,L$6,$E27)+1)/($F27-$E27+1))))</f>
        <v>0</v>
      </c>
      <c r="M27" s="104" t="n">
        <f aca="false">IF($E27="",0,IF(M$6+6&lt;$E27,0,IF(M$6&gt;$F27,0,$D27*(IF(M$6+6&lt;$F27,M$6+6,$F27)-IF(M$6&gt;$E27,M$6,$E27)+1)/($F27-$E27+1))))</f>
        <v>0</v>
      </c>
      <c r="N27" s="104" t="n">
        <f aca="false">IF($E27="",0,IF(N$6+6&lt;$E27,0,IF(N$6&gt;$F27,0,$D27*(IF(N$6+6&lt;$F27,N$6+6,$F27)-IF(N$6&gt;$E27,N$6,$E27)+1)/($F27-$E27+1))))</f>
        <v>0</v>
      </c>
      <c r="O27" s="104" t="n">
        <f aca="false">IF($E27="",0,IF(O$6+6&lt;$E27,0,IF(O$6&gt;$F27,0,$D27*(IF(O$6+6&lt;$F27,O$6+6,$F27)-IF(O$6&gt;$E27,O$6,$E27)+1)/($F27-$E27+1))))</f>
        <v>0</v>
      </c>
      <c r="P27" s="104" t="n">
        <f aca="false">IF($E27="",0,IF(P$6+6&lt;$E27,0,IF(P$6&gt;$F27,0,$D27*(IF(P$6+6&lt;$F27,P$6+6,$F27)-IF(P$6&gt;$E27,P$6,$E27)+1)/($F27-$E27+1))))</f>
        <v>0</v>
      </c>
      <c r="Q27" s="104" t="n">
        <f aca="false">IF($E27="",0,IF(Q$6+6&lt;$E27,0,IF(Q$6&gt;$F27,0,$D27*(IF(Q$6+6&lt;$F27,Q$6+6,$F27)-IF(Q$6&gt;$E27,Q$6,$E27)+1)/($F27-$E27+1))))</f>
        <v>0</v>
      </c>
      <c r="R27" s="104" t="n">
        <f aca="false">IF($E27="",0,IF(R$6+6&lt;$E27,0,IF(R$6&gt;$F27,0,$D27*(IF(R$6+6&lt;$F27,R$6+6,$F27)-IF(R$6&gt;$E27,R$6,$E27)+1)/($F27-$E27+1))))</f>
        <v>0</v>
      </c>
      <c r="S27" s="104" t="n">
        <f aca="false">IF($E27="",0,IF(S$6+6&lt;$E27,0,IF(S$6&gt;$F27,0,$D27*(IF(S$6+6&lt;$F27,S$6+6,$F27)-IF(S$6&gt;$E27,S$6,$E27)+1)/($F27-$E27+1))))</f>
        <v>0</v>
      </c>
      <c r="T27" s="104" t="n">
        <f aca="false">IF($E27="",0,IF(T$6+6&lt;$E27,0,IF(T$6&gt;$F27,0,$D27*(IF(T$6+6&lt;$F27,T$6+6,$F27)-IF(T$6&gt;$E27,T$6,$E27)+1)/($F27-$E27+1))))</f>
        <v>0</v>
      </c>
      <c r="U27" s="104" t="n">
        <f aca="false">IF($E27="",0,IF(U$6+6&lt;$E27,0,IF(U$6&gt;$F27,0,$D27*(IF(U$6+6&lt;$F27,U$6+6,$F27)-IF(U$6&gt;$E27,U$6,$E27)+1)/($F27-$E27+1))))</f>
        <v>0</v>
      </c>
      <c r="V27" s="104" t="n">
        <f aca="false">IF($E27="",0,IF(V$6+6&lt;$E27,0,IF(V$6&gt;$F27,0,$D27*(IF(V$6+6&lt;$F27,V$6+6,$F27)-IF(V$6&gt;$E27,V$6,$E27)+1)/($F27-$E27+1))))</f>
        <v>12</v>
      </c>
      <c r="W27" s="104" t="n">
        <f aca="false">IF($E27="",0,IF(W$6+6&lt;$E27,0,IF(W$6&gt;$F27,0,$D27*(IF(W$6+6&lt;$F27,W$6+6,$F27)-IF(W$6&gt;$E27,W$6,$E27)+1)/($F27-$E27+1))))</f>
        <v>8</v>
      </c>
      <c r="X27" s="104" t="n">
        <f aca="false">IF($E27="",0,IF(X$6+6&lt;$E27,0,IF(X$6&gt;$F27,0,$D27*(IF(X$6+6&lt;$F27,X$6+6,$F27)-IF(X$6&gt;$E27,X$6,$E27)+1)/($F27-$E27+1))))</f>
        <v>0</v>
      </c>
      <c r="Y27" s="104" t="n">
        <f aca="false">IF($E27="",0,IF(Y$6+6&lt;$E27,0,IF(Y$6&gt;$F27,0,$D27*(IF(Y$6+6&lt;$F27,Y$6+6,$F27)-IF(Y$6&gt;$E27,Y$6,$E27)+1)/($F27-$E27+1))))</f>
        <v>0</v>
      </c>
      <c r="Z27" s="104" t="n">
        <f aca="false">IF($E27="",0,IF(Z$6+6&lt;$E27,0,IF(Z$6&gt;$F27,0,$D27*(IF(Z$6+6&lt;$F27,Z$6+6,$F27)-IF(Z$6&gt;$E27,Z$6,$E27)+1)/($F27-$E27+1))))</f>
        <v>0</v>
      </c>
      <c r="AA27" s="104" t="n">
        <f aca="false">IF($E27="",0,IF(AA$6+6&lt;$E27,0,IF(AA$6&gt;$F27,0,$D27*(IF(AA$6+6&lt;$F27,AA$6+6,$F27)-IF(AA$6&gt;$E27,AA$6,$E27)+1)/($F27-$E27+1))))</f>
        <v>0</v>
      </c>
      <c r="AB27" s="104" t="n">
        <f aca="false">IF($E27="",0,IF(AB$6+6&lt;$E27,0,IF(AB$6&gt;$F27,0,$D27*(IF(AB$6+6&lt;$F27,AB$6+6,$F27)-IF(AB$6&gt;$E27,AB$6,$E27)+1)/($F27-$E27+1))))</f>
        <v>0</v>
      </c>
      <c r="AC27" s="104" t="n">
        <f aca="false">IF($E27="",0,IF(AC$6+6&lt;$E27,0,IF(AC$6&gt;$F27,0,$D27*(IF(AC$6+6&lt;$F27,AC$6+6,$F27)-IF(AC$6&gt;$E27,AC$6,$E27)+1)/($F27-$E27+1))))</f>
        <v>0</v>
      </c>
      <c r="AD27" s="104" t="n">
        <f aca="false">IF($E27="",0,IF(AD$6+6&lt;$E27,0,IF(AD$6&gt;$F27,0,$D27*(IF(AD$6+6&lt;$F27,AD$6+6,$F27)-IF(AD$6&gt;$E27,AD$6,$E27)+1)/($F27-$E27+1))))</f>
        <v>0</v>
      </c>
      <c r="AE27" s="104" t="n">
        <f aca="false">IF($E27="",0,IF(AE$6+6&lt;$E27,0,IF(AE$6&gt;$F27,0,$D27*(IF(AE$6+6&lt;$F27,AE$6+6,$F27)-IF(AE$6&gt;$E27,AE$6,$E27)+1)/($F27-$E27+1))))</f>
        <v>0</v>
      </c>
      <c r="AF27" s="104" t="n">
        <f aca="false">IF($E27="",0,IF(AF$6+6&lt;$E27,0,IF(AF$6&gt;$F27,0,$D27*(IF(AF$6+6&lt;$F27,AF$6+6,$F27)-IF(AF$6&gt;$E27,AF$6,$E27)+1)/($F27-$E27+1))))</f>
        <v>0</v>
      </c>
      <c r="AG27" s="104" t="n">
        <f aca="false">IF($E27="",0,IF(AG$6+6&lt;$E27,0,IF(AG$6&gt;$F27,0,$D27*(IF(AG$6+6&lt;$F27,AG$6+6,$F27)-IF(AG$6&gt;$E27,AG$6,$E27)+1)/($F27-$E27+1))))</f>
        <v>0</v>
      </c>
      <c r="AH27" s="104" t="n">
        <f aca="false">IF($E27="",0,IF(AH$6+6&lt;$E27,0,IF(AH$6&gt;$F27,0,$D27*(IF(AH$6+6&lt;$F27,AH$6+6,$F27)-IF(AH$6&gt;$E27,AH$6,$E27)+1)/($F27-$E27+1))))</f>
        <v>0</v>
      </c>
      <c r="AI27" s="104" t="n">
        <f aca="false">IF($E27="",0,IF(AI$6+6&lt;$E27,0,IF(AI$6&gt;$F27,0,$D27*(IF(AI$6+6&lt;$F27,AI$6+6,$F27)-IF(AI$6&gt;$E27,AI$6,$E27)+1)/($F27-$E27+1))))</f>
        <v>0</v>
      </c>
      <c r="AJ27" s="104" t="n">
        <f aca="false">IF($E27="",0,IF(AJ$6+6&lt;$E27,0,IF(AJ$6&gt;$F27,0,$D27*(IF(AJ$6+6&lt;$F27,AJ$6+6,$F27)-IF(AJ$6&gt;$E27,AJ$6,$E27)+1)/($F27-$E27+1))))</f>
        <v>0</v>
      </c>
      <c r="AK27" s="104" t="n">
        <f aca="false">IF($E27="",0,IF(AK$6+6&lt;$E27,0,IF(AK$6&gt;$F27,0,$D27*(IF(AK$6+6&lt;$F27,AK$6+6,$F27)-IF(AK$6&gt;$E27,AK$6,$E27)+1)/($F27-$E27+1))))</f>
        <v>0</v>
      </c>
      <c r="AL27" s="104" t="n">
        <f aca="false">IF($E27="",0,IF(AL$6+6&lt;$E27,0,IF(AL$6&gt;$F27,0,$D27*(IF(AL$6+6&lt;$F27,AL$6+6,$F27)-IF(AL$6&gt;$E27,AL$6,$E27)+1)/($F27-$E27+1))))</f>
        <v>0</v>
      </c>
      <c r="AM27" s="104" t="n">
        <f aca="false">IF($E27="",0,IF(AM$6+6&lt;$E27,0,IF(AM$6&gt;$F27,0,$D27*(IF(AM$6+6&lt;$F27,AM$6+6,$F27)-IF(AM$6&gt;$E27,AM$6,$E27)+1)/($F27-$E27+1))))</f>
        <v>0</v>
      </c>
      <c r="AN27" s="104" t="n">
        <f aca="false">IF($E27="",0,IF(AN$6+6&lt;$E27,0,IF(AN$6&gt;$F27,0,$D27*(IF(AN$6+6&lt;$F27,AN$6+6,$F27)-IF(AN$6&gt;$E27,AN$6,$E27)+1)/($F27-$E27+1))))</f>
        <v>0</v>
      </c>
      <c r="AO27" s="104" t="n">
        <f aca="false">IF($E27="",0,IF(AO$6+6&lt;$E27,0,IF(AO$6&gt;$F27,0,$D27*(IF(AO$6+6&lt;$F27,AO$6+6,$F27)-IF(AO$6&gt;$E27,AO$6,$E27)+1)/($F27-$E27+1))))</f>
        <v>0</v>
      </c>
      <c r="AP27" s="104" t="n">
        <f aca="false">IF($E27="",0,IF(AP$6+6&lt;$E27,0,IF(AP$6&gt;$F27,0,$D27*(IF(AP$6+6&lt;$F27,AP$6+6,$F27)-IF(AP$6&gt;$E27,AP$6,$E27)+1)/($F27-$E27+1))))</f>
        <v>0</v>
      </c>
      <c r="AQ27" s="104" t="n">
        <f aca="false">IF($E27="",0,IF(AQ$6+6&lt;$E27,0,IF(AQ$6&gt;$F27,0,$D27*(IF(AQ$6+6&lt;$F27,AQ$6+6,$F27)-IF(AQ$6&gt;$E27,AQ$6,$E27)+1)/($F27-$E27+1))))</f>
        <v>0</v>
      </c>
      <c r="AR27" s="104" t="n">
        <f aca="false">IF($E27="",0,IF(AR$6+6&lt;$E27,0,IF(AR$6&gt;$F27,0,$D27*(IF(AR$6+6&lt;$F27,AR$6+6,$F27)-IF(AR$6&gt;$E27,AR$6,$E27)+1)/($F27-$E27+1))))</f>
        <v>0</v>
      </c>
      <c r="AS27" s="104" t="n">
        <f aca="false">IF($E27="",0,IF(AS$6+6&lt;$E27,0,IF(AS$6&gt;$F27,0,$D27*(IF(AS$6+6&lt;$F27,AS$6+6,$F27)-IF(AS$6&gt;$E27,AS$6,$E27)+1)/($F27-$E27+1))))</f>
        <v>0</v>
      </c>
      <c r="AT27" s="104" t="n">
        <f aca="false">IF($E27="",0,IF(AT$6+6&lt;$E27,0,IF(AT$6&gt;$F27,0,$D27*(IF(AT$6+6&lt;$F27,AT$6+6,$F27)-IF(AT$6&gt;$E27,AT$6,$E27)+1)/($F27-$E27+1))))</f>
        <v>0</v>
      </c>
      <c r="AU27" s="104" t="n">
        <f aca="false">IF($E27="",0,IF(AU$6+6&lt;$E27,0,IF(AU$6&gt;$F27,0,$D27*(IF(AU$6+6&lt;$F27,AU$6+6,$F27)-IF(AU$6&gt;$E27,AU$6,$E27)+1)/($F27-$E27+1))))</f>
        <v>0</v>
      </c>
      <c r="AV27" s="104" t="n">
        <f aca="false">IF($E27="",0,IF(AV$6+6&lt;$E27,0,IF(AV$6&gt;$F27,0,$D27*(IF(AV$6+6&lt;$F27,AV$6+6,$F27)-IF(AV$6&gt;$E27,AV$6,$E27)+1)/($F27-$E27+1))))</f>
        <v>0</v>
      </c>
      <c r="AW27" s="104" t="n">
        <f aca="false">IF($E27="",0,IF(AW$6+6&lt;$E27,0,IF(AW$6&gt;$F27,0,$D27*(IF(AW$6+6&lt;$F27,AW$6+6,$F27)-IF(AW$6&gt;$E27,AW$6,$E27)+1)/($F27-$E27+1))))</f>
        <v>0</v>
      </c>
      <c r="AX27" s="104" t="n">
        <f aca="false">IF($E27="",0,IF(AX$6+6&lt;$E27,0,IF(AX$6&gt;$F27,0,$D27*(IF(AX$6+6&lt;$F27,AX$6+6,$F27)-IF(AX$6&gt;$E27,AX$6,$E27)+1)/($F27-$E27+1))))</f>
        <v>0</v>
      </c>
      <c r="AY27" s="104" t="n">
        <f aca="false">IF($E27="",0,IF(AY$6+6&lt;$E27,0,IF(AY$6&gt;$F27,0,$D27*(IF(AY$6+6&lt;$F27,AY$6+6,$F27)-IF(AY$6&gt;$E27,AY$6,$E27)+1)/($F27-$E27+1))))</f>
        <v>0</v>
      </c>
      <c r="AZ27" s="104" t="n">
        <f aca="false">IF($E27="",0,IF(AZ$6+6&lt;$E27,0,IF(AZ$6&gt;$F27,0,$D27*(IF(AZ$6+6&lt;$F27,AZ$6+6,$F27)-IF(AZ$6&gt;$E27,AZ$6,$E27)+1)/($F27-$E27+1))))</f>
        <v>0</v>
      </c>
      <c r="BA27" s="104" t="n">
        <f aca="false">IF($E27="",0,IF(BA$6+6&lt;$E27,0,IF(BA$6&gt;$F27,0,$D27*(IF(BA$6+6&lt;$F27,BA$6+6,$F27)-IF(BA$6&gt;$E27,BA$6,$E27)+1)/($F27-$E27+1))))</f>
        <v>0</v>
      </c>
      <c r="BB27" s="104" t="n">
        <f aca="false">IF($E27="",0,IF(BB$6+6&lt;$E27,0,IF(BB$6&gt;$F27,0,$D27*(IF(BB$6+6&lt;$F27,BB$6+6,$F27)-IF(BB$6&gt;$E27,BB$6,$E27)+1)/($F27-$E27+1))))</f>
        <v>0</v>
      </c>
      <c r="BC27" s="104" t="n">
        <f aca="false">IF($E27="",0,IF(BC$6+6&lt;$E27,0,IF(BC$6&gt;$F27,0,$D27*(IF(BC$6+6&lt;$F27,BC$6+6,$F27)-IF(BC$6&gt;$E27,BC$6,$E27)+1)/($F27-$E27+1))))</f>
        <v>0</v>
      </c>
      <c r="BD27" s="104" t="n">
        <f aca="false">IF($E27="",0,IF(BD$6+6&lt;$E27,0,IF(BD$6&gt;$F27,0,$D27*(IF(BD$6+6&lt;$F27,BD$6+6,$F27)-IF(BD$6&gt;$E27,BD$6,$E27)+1)/($F27-$E27+1))))</f>
        <v>0</v>
      </c>
      <c r="BE27" s="104" t="n">
        <f aca="false">IF($E27="",0,IF(BE$6+6&lt;$E27,0,IF(BE$6&gt;$F27,0,$D27*(IF(BE$6+6&lt;$F27,BE$6+6,$F27)-IF(BE$6&gt;$E27,BE$6,$E27)+1)/($F27-$E27+1))))</f>
        <v>0</v>
      </c>
      <c r="BF27" s="104" t="n">
        <f aca="false">IF($E27="",0,IF(BF$6+6&lt;$E27,0,IF(BF$6&gt;$F27,0,$D27*(IF(BF$6+6&lt;$F27,BF$6+6,$F27)-IF(BF$6&gt;$E27,BF$6,$E27)+1)/($F27-$E27+1))))</f>
        <v>0</v>
      </c>
      <c r="BG27" s="104" t="n">
        <f aca="false">IF($E27="",0,IF(BG$6+6&lt;$E27,0,IF(BG$6&gt;$F27,0,$D27*(IF(BG$6+6&lt;$F27,BG$6+6,$F27)-IF(BG$6&gt;$E27,BG$6,$E27)+1)/($F27-$E27+1))))</f>
        <v>0</v>
      </c>
      <c r="BH27" s="104" t="n">
        <f aca="false">IF($E27="",0,IF(BH$6+6&lt;$E27,0,IF(BH$6&gt;$F27,0,$D27*(IF(BH$6+6&lt;$F27,BH$6+6,$F27)-IF(BH$6&gt;$E27,BH$6,$E27)+1)/($F27-$E27+1))))</f>
        <v>0</v>
      </c>
      <c r="BI27" s="104" t="n">
        <f aca="false">IF($E27="",0,IF(BI$6+6&lt;$E27,0,IF(BI$6&gt;$F27,0,$D27*(IF(BI$6+6&lt;$F27,BI$6+6,$F27)-IF(BI$6&gt;$E27,BI$6,$E27)+1)/($F27-$E27+1))))</f>
        <v>0</v>
      </c>
      <c r="BJ27" s="104" t="n">
        <f aca="false">IF($E27="",0,IF(BJ$6+6&lt;$E27,0,IF(BJ$6&gt;$F27,0,$D27*(IF(BJ$6+6&lt;$F27,BJ$6+6,$F27)-IF(BJ$6&gt;$E27,BJ$6,$E27)+1)/($F27-$E27+1))))</f>
        <v>0</v>
      </c>
      <c r="BK27" s="104" t="n">
        <f aca="false">IF($E27="",0,IF(BK$6+6&lt;$E27,0,IF(BK$6&gt;$F27,0,$D27*(IF(BK$6+6&lt;$F27,BK$6+6,$F27)-IF(BK$6&gt;$E27,BK$6,$E27)+1)/($F27-$E27+1))))</f>
        <v>0</v>
      </c>
      <c r="BL27" s="104" t="n">
        <f aca="false">IF($E27="",0,IF(BL$6+6&lt;$E27,0,IF(BL$6&gt;$F27,0,$D27*(IF(BL$6+6&lt;$F27,BL$6+6,$F27)-IF(BL$6&gt;$E27,BL$6,$E27)+1)/($F27-$E27+1))))</f>
        <v>0</v>
      </c>
      <c r="BM27" s="104" t="n">
        <f aca="false">IF($E27="",0,IF(BM$6+6&lt;$E27,0,IF(BM$6&gt;$F27,0,$D27*(IF(BM$6+6&lt;$F27,BM$6+6,$F27)-IF(BM$6&gt;$E27,BM$6,$E27)+1)/($F27-$E27+1))))</f>
        <v>0</v>
      </c>
      <c r="BN27" s="104" t="n">
        <f aca="false">IF($E27="",0,IF(BN$6+6&lt;$E27,0,IF(BN$6&gt;$F27,0,$D27*(IF(BN$6+6&lt;$F27,BN$6+6,$F27)-IF(BN$6&gt;$E27,BN$6,$E27)+1)/($F27-$E27+1))))</f>
        <v>0</v>
      </c>
      <c r="BO27" s="104" t="n">
        <f aca="false">IF($E27="",0,IF(BO$6+6&lt;$E27,0,IF(BO$6&gt;$F27,0,$D27*(IF(BO$6+6&lt;$F27,BO$6+6,$F27)-IF(BO$6&gt;$E27,BO$6,$E27)+1)/($F27-$E27+1))))</f>
        <v>0</v>
      </c>
      <c r="BP27" s="104" t="n">
        <f aca="false">IF($E27="",0,IF(BP$6+6&lt;$E27,0,IF(BP$6&gt;$F27,0,$D27*(IF(BP$6+6&lt;$F27,BP$6+6,$F27)-IF(BP$6&gt;$E27,BP$6,$E27)+1)/($F27-$E27+1))))</f>
        <v>0</v>
      </c>
      <c r="BQ27" s="104" t="n">
        <f aca="false">IF($E27="",0,IF(BQ$6+6&lt;$E27,0,IF(BQ$6&gt;$F27,0,$D27*(IF(BQ$6+6&lt;$F27,BQ$6+6,$F27)-IF(BQ$6&gt;$E27,BQ$6,$E27)+1)/($F27-$E27+1))))</f>
        <v>0</v>
      </c>
      <c r="BR27" s="104" t="n">
        <f aca="false">IF($E27="",0,IF(BR$6+6&lt;$E27,0,IF(BR$6&gt;$F27,0,$D27*(IF(BR$6+6&lt;$F27,BR$6+6,$F27)-IF(BR$6&gt;$E27,BR$6,$E27)+1)/($F27-$E27+1))))</f>
        <v>0</v>
      </c>
      <c r="BS27" s="104" t="n">
        <f aca="false">IF($E27="",0,IF(BS$6+6&lt;$E27,0,IF(BS$6&gt;$F27,0,$D27*(IF(BS$6+6&lt;$F27,BS$6+6,$F27)-IF(BS$6&gt;$E27,BS$6,$E27)+1)/($F27-$E27+1))))</f>
        <v>0</v>
      </c>
      <c r="BT27" s="104" t="n">
        <f aca="false">IF($E27="",0,IF(BT$6+6&lt;$E27,0,IF(BT$6&gt;$F27,0,$D27*(IF(BT$6+6&lt;$F27,BT$6+6,$F27)-IF(BT$6&gt;$E27,BT$6,$E27)+1)/($F27-$E27+1))))</f>
        <v>0</v>
      </c>
      <c r="BU27" s="104" t="n">
        <f aca="false">IF($E27="",0,IF(BU$6+6&lt;$E27,0,IF(BU$6&gt;$F27,0,$D27*(IF(BU$6+6&lt;$F27,BU$6+6,$F27)-IF(BU$6&gt;$E27,BU$6,$E27)+1)/($F27-$E27+1))))</f>
        <v>0</v>
      </c>
      <c r="BV27" s="104" t="n">
        <f aca="false">IF($E27="",0,IF(BV$6+6&lt;$E27,0,IF(BV$6&gt;$F27,0,$D27*(IF(BV$6+6&lt;$F27,BV$6+6,$F27)-IF(BV$6&gt;$E27,BV$6,$E27)+1)/($F27-$E27+1))))</f>
        <v>0</v>
      </c>
      <c r="BW27" s="104" t="n">
        <f aca="false">IF($E27="",0,IF(BW$6+6&lt;$E27,0,IF(BW$6&gt;$F27,0,$D27*(IF(BW$6+6&lt;$F27,BW$6+6,$F27)-IF(BW$6&gt;$E27,BW$6,$E27)+1)/($F27-$E27+1))))</f>
        <v>0</v>
      </c>
      <c r="BX27" s="104" t="n">
        <f aca="false">IF($E27="",0,IF(BX$6+6&lt;$E27,0,IF(BX$6&gt;$F27,0,$D27*(IF(BX$6+6&lt;$F27,BX$6+6,$F27)-IF(BX$6&gt;$E27,BX$6,$E27)+1)/($F27-$E27+1))))</f>
        <v>0</v>
      </c>
      <c r="BY27" s="104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101"/>
      <c r="B28" s="101"/>
      <c r="C28" s="101" t="s">
        <v>695</v>
      </c>
      <c r="D28" s="102"/>
      <c r="E28" s="105" t="n">
        <v>46257</v>
      </c>
      <c r="F28" s="105" t="n">
        <v>46261</v>
      </c>
      <c r="G28" s="106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 t="n">
        <v>10</v>
      </c>
      <c r="V28" s="107" t="n">
        <v>10</v>
      </c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</row>
    <row r="29" customFormat="false" ht="15" hidden="false" customHeight="false" outlineLevel="0" collapsed="false">
      <c r="A29" s="101" t="s">
        <v>379</v>
      </c>
      <c r="B29" s="101" t="s">
        <v>706</v>
      </c>
      <c r="C29" s="101" t="s">
        <v>694</v>
      </c>
      <c r="D29" s="102" t="n">
        <v>2.5</v>
      </c>
      <c r="E29" s="103" t="n">
        <v>46262</v>
      </c>
      <c r="F29" s="103" t="n">
        <v>46265</v>
      </c>
      <c r="G29" s="101" t="n">
        <v>3</v>
      </c>
      <c r="H29" s="104" t="n">
        <f aca="false">IF($E29="",0,IF(H$6+6&lt;$E29,0,IF(H$6&gt;$F29,0,$D29*(IF(H$6+6&lt;$F29,H$6+6,$F29)-IF(H$6&gt;$E29,H$6,$E29)+1)/($F29-$E29+1))))</f>
        <v>0</v>
      </c>
      <c r="I29" s="104" t="n">
        <f aca="false">IF($E29="",0,IF(I$6+6&lt;$E29,0,IF(I$6&gt;$F29,0,$D29*(IF(I$6+6&lt;$F29,I$6+6,$F29)-IF(I$6&gt;$E29,I$6,$E29)+1)/($F29-$E29+1))))</f>
        <v>0</v>
      </c>
      <c r="J29" s="104" t="n">
        <f aca="false">IF($E29="",0,IF(J$6+6&lt;$E29,0,IF(J$6&gt;$F29,0,$D29*(IF(J$6+6&lt;$F29,J$6+6,$F29)-IF(J$6&gt;$E29,J$6,$E29)+1)/($F29-$E29+1))))</f>
        <v>0</v>
      </c>
      <c r="K29" s="104" t="n">
        <f aca="false">IF($E29="",0,IF(K$6+6&lt;$E29,0,IF(K$6&gt;$F29,0,$D29*(IF(K$6+6&lt;$F29,K$6+6,$F29)-IF(K$6&gt;$E29,K$6,$E29)+1)/($F29-$E29+1))))</f>
        <v>0</v>
      </c>
      <c r="L29" s="104" t="n">
        <f aca="false">IF($E29="",0,IF(L$6+6&lt;$E29,0,IF(L$6&gt;$F29,0,$D29*(IF(L$6+6&lt;$F29,L$6+6,$F29)-IF(L$6&gt;$E29,L$6,$E29)+1)/($F29-$E29+1))))</f>
        <v>0</v>
      </c>
      <c r="M29" s="104" t="n">
        <f aca="false">IF($E29="",0,IF(M$6+6&lt;$E29,0,IF(M$6&gt;$F29,0,$D29*(IF(M$6+6&lt;$F29,M$6+6,$F29)-IF(M$6&gt;$E29,M$6,$E29)+1)/($F29-$E29+1))))</f>
        <v>0</v>
      </c>
      <c r="N29" s="104" t="n">
        <f aca="false">IF($E29="",0,IF(N$6+6&lt;$E29,0,IF(N$6&gt;$F29,0,$D29*(IF(N$6+6&lt;$F29,N$6+6,$F29)-IF(N$6&gt;$E29,N$6,$E29)+1)/($F29-$E29+1))))</f>
        <v>0</v>
      </c>
      <c r="O29" s="104" t="n">
        <f aca="false">IF($E29="",0,IF(O$6+6&lt;$E29,0,IF(O$6&gt;$F29,0,$D29*(IF(O$6+6&lt;$F29,O$6+6,$F29)-IF(O$6&gt;$E29,O$6,$E29)+1)/($F29-$E29+1))))</f>
        <v>0</v>
      </c>
      <c r="P29" s="104" t="n">
        <f aca="false">IF($E29="",0,IF(P$6+6&lt;$E29,0,IF(P$6&gt;$F29,0,$D29*(IF(P$6+6&lt;$F29,P$6+6,$F29)-IF(P$6&gt;$E29,P$6,$E29)+1)/($F29-$E29+1))))</f>
        <v>0</v>
      </c>
      <c r="Q29" s="104" t="n">
        <f aca="false">IF($E29="",0,IF(Q$6+6&lt;$E29,0,IF(Q$6&gt;$F29,0,$D29*(IF(Q$6+6&lt;$F29,Q$6+6,$F29)-IF(Q$6&gt;$E29,Q$6,$E29)+1)/($F29-$E29+1))))</f>
        <v>0</v>
      </c>
      <c r="R29" s="104" t="n">
        <f aca="false">IF($E29="",0,IF(R$6+6&lt;$E29,0,IF(R$6&gt;$F29,0,$D29*(IF(R$6+6&lt;$F29,R$6+6,$F29)-IF(R$6&gt;$E29,R$6,$E29)+1)/($F29-$E29+1))))</f>
        <v>0</v>
      </c>
      <c r="S29" s="104" t="n">
        <f aca="false">IF($E29="",0,IF(S$6+6&lt;$E29,0,IF(S$6&gt;$F29,0,$D29*(IF(S$6+6&lt;$F29,S$6+6,$F29)-IF(S$6&gt;$E29,S$6,$E29)+1)/($F29-$E29+1))))</f>
        <v>0</v>
      </c>
      <c r="T29" s="104" t="n">
        <f aca="false">IF($E29="",0,IF(T$6+6&lt;$E29,0,IF(T$6&gt;$F29,0,$D29*(IF(T$6+6&lt;$F29,T$6+6,$F29)-IF(T$6&gt;$E29,T$6,$E29)+1)/($F29-$E29+1))))</f>
        <v>0</v>
      </c>
      <c r="U29" s="104" t="n">
        <f aca="false">IF($E29="",0,IF(U$6+6&lt;$E29,0,IF(U$6&gt;$F29,0,$D29*(IF(U$6+6&lt;$F29,U$6+6,$F29)-IF(U$6&gt;$E29,U$6,$E29)+1)/($F29-$E29+1))))</f>
        <v>0</v>
      </c>
      <c r="V29" s="104" t="n">
        <f aca="false">IF($E29="",0,IF(V$6+6&lt;$E29,0,IF(V$6&gt;$F29,0,$D29*(IF(V$6+6&lt;$F29,V$6+6,$F29)-IF(V$6&gt;$E29,V$6,$E29)+1)/($F29-$E29+1))))</f>
        <v>1.875</v>
      </c>
      <c r="W29" s="104" t="n">
        <f aca="false">IF($E29="",0,IF(W$6+6&lt;$E29,0,IF(W$6&gt;$F29,0,$D29*(IF(W$6+6&lt;$F29,W$6+6,$F29)-IF(W$6&gt;$E29,W$6,$E29)+1)/($F29-$E29+1))))</f>
        <v>0.625</v>
      </c>
      <c r="X29" s="104" t="n">
        <f aca="false">IF($E29="",0,IF(X$6+6&lt;$E29,0,IF(X$6&gt;$F29,0,$D29*(IF(X$6+6&lt;$F29,X$6+6,$F29)-IF(X$6&gt;$E29,X$6,$E29)+1)/($F29-$E29+1))))</f>
        <v>0</v>
      </c>
      <c r="Y29" s="104" t="n">
        <f aca="false">IF($E29="",0,IF(Y$6+6&lt;$E29,0,IF(Y$6&gt;$F29,0,$D29*(IF(Y$6+6&lt;$F29,Y$6+6,$F29)-IF(Y$6&gt;$E29,Y$6,$E29)+1)/($F29-$E29+1))))</f>
        <v>0</v>
      </c>
      <c r="Z29" s="104" t="n">
        <f aca="false">IF($E29="",0,IF(Z$6+6&lt;$E29,0,IF(Z$6&gt;$F29,0,$D29*(IF(Z$6+6&lt;$F29,Z$6+6,$F29)-IF(Z$6&gt;$E29,Z$6,$E29)+1)/($F29-$E29+1))))</f>
        <v>0</v>
      </c>
      <c r="AA29" s="104" t="n">
        <f aca="false">IF($E29="",0,IF(AA$6+6&lt;$E29,0,IF(AA$6&gt;$F29,0,$D29*(IF(AA$6+6&lt;$F29,AA$6+6,$F29)-IF(AA$6&gt;$E29,AA$6,$E29)+1)/($F29-$E29+1))))</f>
        <v>0</v>
      </c>
      <c r="AB29" s="104" t="n">
        <f aca="false">IF($E29="",0,IF(AB$6+6&lt;$E29,0,IF(AB$6&gt;$F29,0,$D29*(IF(AB$6+6&lt;$F29,AB$6+6,$F29)-IF(AB$6&gt;$E29,AB$6,$E29)+1)/($F29-$E29+1))))</f>
        <v>0</v>
      </c>
      <c r="AC29" s="104" t="n">
        <f aca="false">IF($E29="",0,IF(AC$6+6&lt;$E29,0,IF(AC$6&gt;$F29,0,$D29*(IF(AC$6+6&lt;$F29,AC$6+6,$F29)-IF(AC$6&gt;$E29,AC$6,$E29)+1)/($F29-$E29+1))))</f>
        <v>0</v>
      </c>
      <c r="AD29" s="104" t="n">
        <f aca="false">IF($E29="",0,IF(AD$6+6&lt;$E29,0,IF(AD$6&gt;$F29,0,$D29*(IF(AD$6+6&lt;$F29,AD$6+6,$F29)-IF(AD$6&gt;$E29,AD$6,$E29)+1)/($F29-$E29+1))))</f>
        <v>0</v>
      </c>
      <c r="AE29" s="104" t="n">
        <f aca="false">IF($E29="",0,IF(AE$6+6&lt;$E29,0,IF(AE$6&gt;$F29,0,$D29*(IF(AE$6+6&lt;$F29,AE$6+6,$F29)-IF(AE$6&gt;$E29,AE$6,$E29)+1)/($F29-$E29+1))))</f>
        <v>0</v>
      </c>
      <c r="AF29" s="104" t="n">
        <f aca="false">IF($E29="",0,IF(AF$6+6&lt;$E29,0,IF(AF$6&gt;$F29,0,$D29*(IF(AF$6+6&lt;$F29,AF$6+6,$F29)-IF(AF$6&gt;$E29,AF$6,$E29)+1)/($F29-$E29+1))))</f>
        <v>0</v>
      </c>
      <c r="AG29" s="104" t="n">
        <f aca="false">IF($E29="",0,IF(AG$6+6&lt;$E29,0,IF(AG$6&gt;$F29,0,$D29*(IF(AG$6+6&lt;$F29,AG$6+6,$F29)-IF(AG$6&gt;$E29,AG$6,$E29)+1)/($F29-$E29+1))))</f>
        <v>0</v>
      </c>
      <c r="AH29" s="104" t="n">
        <f aca="false">IF($E29="",0,IF(AH$6+6&lt;$E29,0,IF(AH$6&gt;$F29,0,$D29*(IF(AH$6+6&lt;$F29,AH$6+6,$F29)-IF(AH$6&gt;$E29,AH$6,$E29)+1)/($F29-$E29+1))))</f>
        <v>0</v>
      </c>
      <c r="AI29" s="104" t="n">
        <f aca="false">IF($E29="",0,IF(AI$6+6&lt;$E29,0,IF(AI$6&gt;$F29,0,$D29*(IF(AI$6+6&lt;$F29,AI$6+6,$F29)-IF(AI$6&gt;$E29,AI$6,$E29)+1)/($F29-$E29+1))))</f>
        <v>0</v>
      </c>
      <c r="AJ29" s="104" t="n">
        <f aca="false">IF($E29="",0,IF(AJ$6+6&lt;$E29,0,IF(AJ$6&gt;$F29,0,$D29*(IF(AJ$6+6&lt;$F29,AJ$6+6,$F29)-IF(AJ$6&gt;$E29,AJ$6,$E29)+1)/($F29-$E29+1))))</f>
        <v>0</v>
      </c>
      <c r="AK29" s="104" t="n">
        <f aca="false">IF($E29="",0,IF(AK$6+6&lt;$E29,0,IF(AK$6&gt;$F29,0,$D29*(IF(AK$6+6&lt;$F29,AK$6+6,$F29)-IF(AK$6&gt;$E29,AK$6,$E29)+1)/($F29-$E29+1))))</f>
        <v>0</v>
      </c>
      <c r="AL29" s="104" t="n">
        <f aca="false">IF($E29="",0,IF(AL$6+6&lt;$E29,0,IF(AL$6&gt;$F29,0,$D29*(IF(AL$6+6&lt;$F29,AL$6+6,$F29)-IF(AL$6&gt;$E29,AL$6,$E29)+1)/($F29-$E29+1))))</f>
        <v>0</v>
      </c>
      <c r="AM29" s="104" t="n">
        <f aca="false">IF($E29="",0,IF(AM$6+6&lt;$E29,0,IF(AM$6&gt;$F29,0,$D29*(IF(AM$6+6&lt;$F29,AM$6+6,$F29)-IF(AM$6&gt;$E29,AM$6,$E29)+1)/($F29-$E29+1))))</f>
        <v>0</v>
      </c>
      <c r="AN29" s="104" t="n">
        <f aca="false">IF($E29="",0,IF(AN$6+6&lt;$E29,0,IF(AN$6&gt;$F29,0,$D29*(IF(AN$6+6&lt;$F29,AN$6+6,$F29)-IF(AN$6&gt;$E29,AN$6,$E29)+1)/($F29-$E29+1))))</f>
        <v>0</v>
      </c>
      <c r="AO29" s="104" t="n">
        <f aca="false">IF($E29="",0,IF(AO$6+6&lt;$E29,0,IF(AO$6&gt;$F29,0,$D29*(IF(AO$6+6&lt;$F29,AO$6+6,$F29)-IF(AO$6&gt;$E29,AO$6,$E29)+1)/($F29-$E29+1))))</f>
        <v>0</v>
      </c>
      <c r="AP29" s="104" t="n">
        <f aca="false">IF($E29="",0,IF(AP$6+6&lt;$E29,0,IF(AP$6&gt;$F29,0,$D29*(IF(AP$6+6&lt;$F29,AP$6+6,$F29)-IF(AP$6&gt;$E29,AP$6,$E29)+1)/($F29-$E29+1))))</f>
        <v>0</v>
      </c>
      <c r="AQ29" s="104" t="n">
        <f aca="false">IF($E29="",0,IF(AQ$6+6&lt;$E29,0,IF(AQ$6&gt;$F29,0,$D29*(IF(AQ$6+6&lt;$F29,AQ$6+6,$F29)-IF(AQ$6&gt;$E29,AQ$6,$E29)+1)/($F29-$E29+1))))</f>
        <v>0</v>
      </c>
      <c r="AR29" s="104" t="n">
        <f aca="false">IF($E29="",0,IF(AR$6+6&lt;$E29,0,IF(AR$6&gt;$F29,0,$D29*(IF(AR$6+6&lt;$F29,AR$6+6,$F29)-IF(AR$6&gt;$E29,AR$6,$E29)+1)/($F29-$E29+1))))</f>
        <v>0</v>
      </c>
      <c r="AS29" s="104" t="n">
        <f aca="false">IF($E29="",0,IF(AS$6+6&lt;$E29,0,IF(AS$6&gt;$F29,0,$D29*(IF(AS$6+6&lt;$F29,AS$6+6,$F29)-IF(AS$6&gt;$E29,AS$6,$E29)+1)/($F29-$E29+1))))</f>
        <v>0</v>
      </c>
      <c r="AT29" s="104" t="n">
        <f aca="false">IF($E29="",0,IF(AT$6+6&lt;$E29,0,IF(AT$6&gt;$F29,0,$D29*(IF(AT$6+6&lt;$F29,AT$6+6,$F29)-IF(AT$6&gt;$E29,AT$6,$E29)+1)/($F29-$E29+1))))</f>
        <v>0</v>
      </c>
      <c r="AU29" s="104" t="n">
        <f aca="false">IF($E29="",0,IF(AU$6+6&lt;$E29,0,IF(AU$6&gt;$F29,0,$D29*(IF(AU$6+6&lt;$F29,AU$6+6,$F29)-IF(AU$6&gt;$E29,AU$6,$E29)+1)/($F29-$E29+1))))</f>
        <v>0</v>
      </c>
      <c r="AV29" s="104" t="n">
        <f aca="false">IF($E29="",0,IF(AV$6+6&lt;$E29,0,IF(AV$6&gt;$F29,0,$D29*(IF(AV$6+6&lt;$F29,AV$6+6,$F29)-IF(AV$6&gt;$E29,AV$6,$E29)+1)/($F29-$E29+1))))</f>
        <v>0</v>
      </c>
      <c r="AW29" s="104" t="n">
        <f aca="false">IF($E29="",0,IF(AW$6+6&lt;$E29,0,IF(AW$6&gt;$F29,0,$D29*(IF(AW$6+6&lt;$F29,AW$6+6,$F29)-IF(AW$6&gt;$E29,AW$6,$E29)+1)/($F29-$E29+1))))</f>
        <v>0</v>
      </c>
      <c r="AX29" s="104" t="n">
        <f aca="false">IF($E29="",0,IF(AX$6+6&lt;$E29,0,IF(AX$6&gt;$F29,0,$D29*(IF(AX$6+6&lt;$F29,AX$6+6,$F29)-IF(AX$6&gt;$E29,AX$6,$E29)+1)/($F29-$E29+1))))</f>
        <v>0</v>
      </c>
      <c r="AY29" s="104" t="n">
        <f aca="false">IF($E29="",0,IF(AY$6+6&lt;$E29,0,IF(AY$6&gt;$F29,0,$D29*(IF(AY$6+6&lt;$F29,AY$6+6,$F29)-IF(AY$6&gt;$E29,AY$6,$E29)+1)/($F29-$E29+1))))</f>
        <v>0</v>
      </c>
      <c r="AZ29" s="104" t="n">
        <f aca="false">IF($E29="",0,IF(AZ$6+6&lt;$E29,0,IF(AZ$6&gt;$F29,0,$D29*(IF(AZ$6+6&lt;$F29,AZ$6+6,$F29)-IF(AZ$6&gt;$E29,AZ$6,$E29)+1)/($F29-$E29+1))))</f>
        <v>0</v>
      </c>
      <c r="BA29" s="104" t="n">
        <f aca="false">IF($E29="",0,IF(BA$6+6&lt;$E29,0,IF(BA$6&gt;$F29,0,$D29*(IF(BA$6+6&lt;$F29,BA$6+6,$F29)-IF(BA$6&gt;$E29,BA$6,$E29)+1)/($F29-$E29+1))))</f>
        <v>0</v>
      </c>
      <c r="BB29" s="104" t="n">
        <f aca="false">IF($E29="",0,IF(BB$6+6&lt;$E29,0,IF(BB$6&gt;$F29,0,$D29*(IF(BB$6+6&lt;$F29,BB$6+6,$F29)-IF(BB$6&gt;$E29,BB$6,$E29)+1)/($F29-$E29+1))))</f>
        <v>0</v>
      </c>
      <c r="BC29" s="104" t="n">
        <f aca="false">IF($E29="",0,IF(BC$6+6&lt;$E29,0,IF(BC$6&gt;$F29,0,$D29*(IF(BC$6+6&lt;$F29,BC$6+6,$F29)-IF(BC$6&gt;$E29,BC$6,$E29)+1)/($F29-$E29+1))))</f>
        <v>0</v>
      </c>
      <c r="BD29" s="104" t="n">
        <f aca="false">IF($E29="",0,IF(BD$6+6&lt;$E29,0,IF(BD$6&gt;$F29,0,$D29*(IF(BD$6+6&lt;$F29,BD$6+6,$F29)-IF(BD$6&gt;$E29,BD$6,$E29)+1)/($F29-$E29+1))))</f>
        <v>0</v>
      </c>
      <c r="BE29" s="104" t="n">
        <f aca="false">IF($E29="",0,IF(BE$6+6&lt;$E29,0,IF(BE$6&gt;$F29,0,$D29*(IF(BE$6+6&lt;$F29,BE$6+6,$F29)-IF(BE$6&gt;$E29,BE$6,$E29)+1)/($F29-$E29+1))))</f>
        <v>0</v>
      </c>
      <c r="BF29" s="104" t="n">
        <f aca="false">IF($E29="",0,IF(BF$6+6&lt;$E29,0,IF(BF$6&gt;$F29,0,$D29*(IF(BF$6+6&lt;$F29,BF$6+6,$F29)-IF(BF$6&gt;$E29,BF$6,$E29)+1)/($F29-$E29+1))))</f>
        <v>0</v>
      </c>
      <c r="BG29" s="104" t="n">
        <f aca="false">IF($E29="",0,IF(BG$6+6&lt;$E29,0,IF(BG$6&gt;$F29,0,$D29*(IF(BG$6+6&lt;$F29,BG$6+6,$F29)-IF(BG$6&gt;$E29,BG$6,$E29)+1)/($F29-$E29+1))))</f>
        <v>0</v>
      </c>
      <c r="BH29" s="104" t="n">
        <f aca="false">IF($E29="",0,IF(BH$6+6&lt;$E29,0,IF(BH$6&gt;$F29,0,$D29*(IF(BH$6+6&lt;$F29,BH$6+6,$F29)-IF(BH$6&gt;$E29,BH$6,$E29)+1)/($F29-$E29+1))))</f>
        <v>0</v>
      </c>
      <c r="BI29" s="104" t="n">
        <f aca="false">IF($E29="",0,IF(BI$6+6&lt;$E29,0,IF(BI$6&gt;$F29,0,$D29*(IF(BI$6+6&lt;$F29,BI$6+6,$F29)-IF(BI$6&gt;$E29,BI$6,$E29)+1)/($F29-$E29+1))))</f>
        <v>0</v>
      </c>
      <c r="BJ29" s="104" t="n">
        <f aca="false">IF($E29="",0,IF(BJ$6+6&lt;$E29,0,IF(BJ$6&gt;$F29,0,$D29*(IF(BJ$6+6&lt;$F29,BJ$6+6,$F29)-IF(BJ$6&gt;$E29,BJ$6,$E29)+1)/($F29-$E29+1))))</f>
        <v>0</v>
      </c>
      <c r="BK29" s="104" t="n">
        <f aca="false">IF($E29="",0,IF(BK$6+6&lt;$E29,0,IF(BK$6&gt;$F29,0,$D29*(IF(BK$6+6&lt;$F29,BK$6+6,$F29)-IF(BK$6&gt;$E29,BK$6,$E29)+1)/($F29-$E29+1))))</f>
        <v>0</v>
      </c>
      <c r="BL29" s="104" t="n">
        <f aca="false">IF($E29="",0,IF(BL$6+6&lt;$E29,0,IF(BL$6&gt;$F29,0,$D29*(IF(BL$6+6&lt;$F29,BL$6+6,$F29)-IF(BL$6&gt;$E29,BL$6,$E29)+1)/($F29-$E29+1))))</f>
        <v>0</v>
      </c>
      <c r="BM29" s="104" t="n">
        <f aca="false">IF($E29="",0,IF(BM$6+6&lt;$E29,0,IF(BM$6&gt;$F29,0,$D29*(IF(BM$6+6&lt;$F29,BM$6+6,$F29)-IF(BM$6&gt;$E29,BM$6,$E29)+1)/($F29-$E29+1))))</f>
        <v>0</v>
      </c>
      <c r="BN29" s="104" t="n">
        <f aca="false">IF($E29="",0,IF(BN$6+6&lt;$E29,0,IF(BN$6&gt;$F29,0,$D29*(IF(BN$6+6&lt;$F29,BN$6+6,$F29)-IF(BN$6&gt;$E29,BN$6,$E29)+1)/($F29-$E29+1))))</f>
        <v>0</v>
      </c>
      <c r="BO29" s="104" t="n">
        <f aca="false">IF($E29="",0,IF(BO$6+6&lt;$E29,0,IF(BO$6&gt;$F29,0,$D29*(IF(BO$6+6&lt;$F29,BO$6+6,$F29)-IF(BO$6&gt;$E29,BO$6,$E29)+1)/($F29-$E29+1))))</f>
        <v>0</v>
      </c>
      <c r="BP29" s="104" t="n">
        <f aca="false">IF($E29="",0,IF(BP$6+6&lt;$E29,0,IF(BP$6&gt;$F29,0,$D29*(IF(BP$6+6&lt;$F29,BP$6+6,$F29)-IF(BP$6&gt;$E29,BP$6,$E29)+1)/($F29-$E29+1))))</f>
        <v>0</v>
      </c>
      <c r="BQ29" s="104" t="n">
        <f aca="false">IF($E29="",0,IF(BQ$6+6&lt;$E29,0,IF(BQ$6&gt;$F29,0,$D29*(IF(BQ$6+6&lt;$F29,BQ$6+6,$F29)-IF(BQ$6&gt;$E29,BQ$6,$E29)+1)/($F29-$E29+1))))</f>
        <v>0</v>
      </c>
      <c r="BR29" s="104" t="n">
        <f aca="false">IF($E29="",0,IF(BR$6+6&lt;$E29,0,IF(BR$6&gt;$F29,0,$D29*(IF(BR$6+6&lt;$F29,BR$6+6,$F29)-IF(BR$6&gt;$E29,BR$6,$E29)+1)/($F29-$E29+1))))</f>
        <v>0</v>
      </c>
      <c r="BS29" s="104" t="n">
        <f aca="false">IF($E29="",0,IF(BS$6+6&lt;$E29,0,IF(BS$6&gt;$F29,0,$D29*(IF(BS$6+6&lt;$F29,BS$6+6,$F29)-IF(BS$6&gt;$E29,BS$6,$E29)+1)/($F29-$E29+1))))</f>
        <v>0</v>
      </c>
      <c r="BT29" s="104" t="n">
        <f aca="false">IF($E29="",0,IF(BT$6+6&lt;$E29,0,IF(BT$6&gt;$F29,0,$D29*(IF(BT$6+6&lt;$F29,BT$6+6,$F29)-IF(BT$6&gt;$E29,BT$6,$E29)+1)/($F29-$E29+1))))</f>
        <v>0</v>
      </c>
      <c r="BU29" s="104" t="n">
        <f aca="false">IF($E29="",0,IF(BU$6+6&lt;$E29,0,IF(BU$6&gt;$F29,0,$D29*(IF(BU$6+6&lt;$F29,BU$6+6,$F29)-IF(BU$6&gt;$E29,BU$6,$E29)+1)/($F29-$E29+1))))</f>
        <v>0</v>
      </c>
      <c r="BV29" s="104" t="n">
        <f aca="false">IF($E29="",0,IF(BV$6+6&lt;$E29,0,IF(BV$6&gt;$F29,0,$D29*(IF(BV$6+6&lt;$F29,BV$6+6,$F29)-IF(BV$6&gt;$E29,BV$6,$E29)+1)/($F29-$E29+1))))</f>
        <v>0</v>
      </c>
      <c r="BW29" s="104" t="n">
        <f aca="false">IF($E29="",0,IF(BW$6+6&lt;$E29,0,IF(BW$6&gt;$F29,0,$D29*(IF(BW$6+6&lt;$F29,BW$6+6,$F29)-IF(BW$6&gt;$E29,BW$6,$E29)+1)/($F29-$E29+1))))</f>
        <v>0</v>
      </c>
      <c r="BX29" s="104" t="n">
        <f aca="false">IF($E29="",0,IF(BX$6+6&lt;$E29,0,IF(BX$6&gt;$F29,0,$D29*(IF(BX$6+6&lt;$F29,BX$6+6,$F29)-IF(BX$6&gt;$E29,BX$6,$E29)+1)/($F29-$E29+1))))</f>
        <v>0</v>
      </c>
      <c r="BY29" s="104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101"/>
      <c r="B30" s="101"/>
      <c r="C30" s="101" t="s">
        <v>695</v>
      </c>
      <c r="D30" s="102"/>
      <c r="E30" s="105" t="n">
        <v>46259</v>
      </c>
      <c r="F30" s="105" t="n">
        <v>46261</v>
      </c>
      <c r="G30" s="106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 t="n">
        <v>2.5</v>
      </c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</row>
    <row r="31" customFormat="false" ht="15" hidden="false" customHeight="false" outlineLevel="0" collapsed="false">
      <c r="A31" s="101" t="s">
        <v>391</v>
      </c>
      <c r="B31" s="101" t="s">
        <v>707</v>
      </c>
      <c r="C31" s="101" t="s">
        <v>694</v>
      </c>
      <c r="D31" s="102" t="n">
        <v>15</v>
      </c>
      <c r="E31" s="103" t="n">
        <v>46258</v>
      </c>
      <c r="F31" s="103" t="n">
        <v>46266</v>
      </c>
      <c r="G31" s="101" t="n">
        <v>8</v>
      </c>
      <c r="H31" s="104" t="n">
        <f aca="false">IF($E31="",0,IF(H$6+6&lt;$E31,0,IF(H$6&gt;$F31,0,$D31*(IF(H$6+6&lt;$F31,H$6+6,$F31)-IF(H$6&gt;$E31,H$6,$E31)+1)/($F31-$E31+1))))</f>
        <v>0</v>
      </c>
      <c r="I31" s="104" t="n">
        <f aca="false">IF($E31="",0,IF(I$6+6&lt;$E31,0,IF(I$6&gt;$F31,0,$D31*(IF(I$6+6&lt;$F31,I$6+6,$F31)-IF(I$6&gt;$E31,I$6,$E31)+1)/($F31-$E31+1))))</f>
        <v>0</v>
      </c>
      <c r="J31" s="104" t="n">
        <f aca="false">IF($E31="",0,IF(J$6+6&lt;$E31,0,IF(J$6&gt;$F31,0,$D31*(IF(J$6+6&lt;$F31,J$6+6,$F31)-IF(J$6&gt;$E31,J$6,$E31)+1)/($F31-$E31+1))))</f>
        <v>0</v>
      </c>
      <c r="K31" s="104" t="n">
        <f aca="false">IF($E31="",0,IF(K$6+6&lt;$E31,0,IF(K$6&gt;$F31,0,$D31*(IF(K$6+6&lt;$F31,K$6+6,$F31)-IF(K$6&gt;$E31,K$6,$E31)+1)/($F31-$E31+1))))</f>
        <v>0</v>
      </c>
      <c r="L31" s="104" t="n">
        <f aca="false">IF($E31="",0,IF(L$6+6&lt;$E31,0,IF(L$6&gt;$F31,0,$D31*(IF(L$6+6&lt;$F31,L$6+6,$F31)-IF(L$6&gt;$E31,L$6,$E31)+1)/($F31-$E31+1))))</f>
        <v>0</v>
      </c>
      <c r="M31" s="104" t="n">
        <f aca="false">IF($E31="",0,IF(M$6+6&lt;$E31,0,IF(M$6&gt;$F31,0,$D31*(IF(M$6+6&lt;$F31,M$6+6,$F31)-IF(M$6&gt;$E31,M$6,$E31)+1)/($F31-$E31+1))))</f>
        <v>0</v>
      </c>
      <c r="N31" s="104" t="n">
        <f aca="false">IF($E31="",0,IF(N$6+6&lt;$E31,0,IF(N$6&gt;$F31,0,$D31*(IF(N$6+6&lt;$F31,N$6+6,$F31)-IF(N$6&gt;$E31,N$6,$E31)+1)/($F31-$E31+1))))</f>
        <v>0</v>
      </c>
      <c r="O31" s="104" t="n">
        <f aca="false">IF($E31="",0,IF(O$6+6&lt;$E31,0,IF(O$6&gt;$F31,0,$D31*(IF(O$6+6&lt;$F31,O$6+6,$F31)-IF(O$6&gt;$E31,O$6,$E31)+1)/($F31-$E31+1))))</f>
        <v>0</v>
      </c>
      <c r="P31" s="104" t="n">
        <f aca="false">IF($E31="",0,IF(P$6+6&lt;$E31,0,IF(P$6&gt;$F31,0,$D31*(IF(P$6+6&lt;$F31,P$6+6,$F31)-IF(P$6&gt;$E31,P$6,$E31)+1)/($F31-$E31+1))))</f>
        <v>0</v>
      </c>
      <c r="Q31" s="104" t="n">
        <f aca="false">IF($E31="",0,IF(Q$6+6&lt;$E31,0,IF(Q$6&gt;$F31,0,$D31*(IF(Q$6+6&lt;$F31,Q$6+6,$F31)-IF(Q$6&gt;$E31,Q$6,$E31)+1)/($F31-$E31+1))))</f>
        <v>0</v>
      </c>
      <c r="R31" s="104" t="n">
        <f aca="false">IF($E31="",0,IF(R$6+6&lt;$E31,0,IF(R$6&gt;$F31,0,$D31*(IF(R$6+6&lt;$F31,R$6+6,$F31)-IF(R$6&gt;$E31,R$6,$E31)+1)/($F31-$E31+1))))</f>
        <v>0</v>
      </c>
      <c r="S31" s="104" t="n">
        <f aca="false">IF($E31="",0,IF(S$6+6&lt;$E31,0,IF(S$6&gt;$F31,0,$D31*(IF(S$6+6&lt;$F31,S$6+6,$F31)-IF(S$6&gt;$E31,S$6,$E31)+1)/($F31-$E31+1))))</f>
        <v>0</v>
      </c>
      <c r="T31" s="104" t="n">
        <f aca="false">IF($E31="",0,IF(T$6+6&lt;$E31,0,IF(T$6&gt;$F31,0,$D31*(IF(T$6+6&lt;$F31,T$6+6,$F31)-IF(T$6&gt;$E31,T$6,$E31)+1)/($F31-$E31+1))))</f>
        <v>0</v>
      </c>
      <c r="U31" s="104" t="n">
        <f aca="false">IF($E31="",0,IF(U$6+6&lt;$E31,0,IF(U$6&gt;$F31,0,$D31*(IF(U$6+6&lt;$F31,U$6+6,$F31)-IF(U$6&gt;$E31,U$6,$E31)+1)/($F31-$E31+1))))</f>
        <v>0</v>
      </c>
      <c r="V31" s="104" t="n">
        <f aca="false">IF($E31="",0,IF(V$6+6&lt;$E31,0,IF(V$6&gt;$F31,0,$D31*(IF(V$6+6&lt;$F31,V$6+6,$F31)-IF(V$6&gt;$E31,V$6,$E31)+1)/($F31-$E31+1))))</f>
        <v>11.6666666666667</v>
      </c>
      <c r="W31" s="104" t="n">
        <f aca="false">IF($E31="",0,IF(W$6+6&lt;$E31,0,IF(W$6&gt;$F31,0,$D31*(IF(W$6+6&lt;$F31,W$6+6,$F31)-IF(W$6&gt;$E31,W$6,$E31)+1)/($F31-$E31+1))))</f>
        <v>3.33333333333333</v>
      </c>
      <c r="X31" s="104" t="n">
        <f aca="false">IF($E31="",0,IF(X$6+6&lt;$E31,0,IF(X$6&gt;$F31,0,$D31*(IF(X$6+6&lt;$F31,X$6+6,$F31)-IF(X$6&gt;$E31,X$6,$E31)+1)/($F31-$E31+1))))</f>
        <v>0</v>
      </c>
      <c r="Y31" s="104" t="n">
        <f aca="false">IF($E31="",0,IF(Y$6+6&lt;$E31,0,IF(Y$6&gt;$F31,0,$D31*(IF(Y$6+6&lt;$F31,Y$6+6,$F31)-IF(Y$6&gt;$E31,Y$6,$E31)+1)/($F31-$E31+1))))</f>
        <v>0</v>
      </c>
      <c r="Z31" s="104" t="n">
        <f aca="false">IF($E31="",0,IF(Z$6+6&lt;$E31,0,IF(Z$6&gt;$F31,0,$D31*(IF(Z$6+6&lt;$F31,Z$6+6,$F31)-IF(Z$6&gt;$E31,Z$6,$E31)+1)/($F31-$E31+1))))</f>
        <v>0</v>
      </c>
      <c r="AA31" s="104" t="n">
        <f aca="false">IF($E31="",0,IF(AA$6+6&lt;$E31,0,IF(AA$6&gt;$F31,0,$D31*(IF(AA$6+6&lt;$F31,AA$6+6,$F31)-IF(AA$6&gt;$E31,AA$6,$E31)+1)/($F31-$E31+1))))</f>
        <v>0</v>
      </c>
      <c r="AB31" s="104" t="n">
        <f aca="false">IF($E31="",0,IF(AB$6+6&lt;$E31,0,IF(AB$6&gt;$F31,0,$D31*(IF(AB$6+6&lt;$F31,AB$6+6,$F31)-IF(AB$6&gt;$E31,AB$6,$E31)+1)/($F31-$E31+1))))</f>
        <v>0</v>
      </c>
      <c r="AC31" s="104" t="n">
        <f aca="false">IF($E31="",0,IF(AC$6+6&lt;$E31,0,IF(AC$6&gt;$F31,0,$D31*(IF(AC$6+6&lt;$F31,AC$6+6,$F31)-IF(AC$6&gt;$E31,AC$6,$E31)+1)/($F31-$E31+1))))</f>
        <v>0</v>
      </c>
      <c r="AD31" s="104" t="n">
        <f aca="false">IF($E31="",0,IF(AD$6+6&lt;$E31,0,IF(AD$6&gt;$F31,0,$D31*(IF(AD$6+6&lt;$F31,AD$6+6,$F31)-IF(AD$6&gt;$E31,AD$6,$E31)+1)/($F31-$E31+1))))</f>
        <v>0</v>
      </c>
      <c r="AE31" s="104" t="n">
        <f aca="false">IF($E31="",0,IF(AE$6+6&lt;$E31,0,IF(AE$6&gt;$F31,0,$D31*(IF(AE$6+6&lt;$F31,AE$6+6,$F31)-IF(AE$6&gt;$E31,AE$6,$E31)+1)/($F31-$E31+1))))</f>
        <v>0</v>
      </c>
      <c r="AF31" s="104" t="n">
        <f aca="false">IF($E31="",0,IF(AF$6+6&lt;$E31,0,IF(AF$6&gt;$F31,0,$D31*(IF(AF$6+6&lt;$F31,AF$6+6,$F31)-IF(AF$6&gt;$E31,AF$6,$E31)+1)/($F31-$E31+1))))</f>
        <v>0</v>
      </c>
      <c r="AG31" s="104" t="n">
        <f aca="false">IF($E31="",0,IF(AG$6+6&lt;$E31,0,IF(AG$6&gt;$F31,0,$D31*(IF(AG$6+6&lt;$F31,AG$6+6,$F31)-IF(AG$6&gt;$E31,AG$6,$E31)+1)/($F31-$E31+1))))</f>
        <v>0</v>
      </c>
      <c r="AH31" s="104" t="n">
        <f aca="false">IF($E31="",0,IF(AH$6+6&lt;$E31,0,IF(AH$6&gt;$F31,0,$D31*(IF(AH$6+6&lt;$F31,AH$6+6,$F31)-IF(AH$6&gt;$E31,AH$6,$E31)+1)/($F31-$E31+1))))</f>
        <v>0</v>
      </c>
      <c r="AI31" s="104" t="n">
        <f aca="false">IF($E31="",0,IF(AI$6+6&lt;$E31,0,IF(AI$6&gt;$F31,0,$D31*(IF(AI$6+6&lt;$F31,AI$6+6,$F31)-IF(AI$6&gt;$E31,AI$6,$E31)+1)/($F31-$E31+1))))</f>
        <v>0</v>
      </c>
      <c r="AJ31" s="104" t="n">
        <f aca="false">IF($E31="",0,IF(AJ$6+6&lt;$E31,0,IF(AJ$6&gt;$F31,0,$D31*(IF(AJ$6+6&lt;$F31,AJ$6+6,$F31)-IF(AJ$6&gt;$E31,AJ$6,$E31)+1)/($F31-$E31+1))))</f>
        <v>0</v>
      </c>
      <c r="AK31" s="104" t="n">
        <f aca="false">IF($E31="",0,IF(AK$6+6&lt;$E31,0,IF(AK$6&gt;$F31,0,$D31*(IF(AK$6+6&lt;$F31,AK$6+6,$F31)-IF(AK$6&gt;$E31,AK$6,$E31)+1)/($F31-$E31+1))))</f>
        <v>0</v>
      </c>
      <c r="AL31" s="104" t="n">
        <f aca="false">IF($E31="",0,IF(AL$6+6&lt;$E31,0,IF(AL$6&gt;$F31,0,$D31*(IF(AL$6+6&lt;$F31,AL$6+6,$F31)-IF(AL$6&gt;$E31,AL$6,$E31)+1)/($F31-$E31+1))))</f>
        <v>0</v>
      </c>
      <c r="AM31" s="104" t="n">
        <f aca="false">IF($E31="",0,IF(AM$6+6&lt;$E31,0,IF(AM$6&gt;$F31,0,$D31*(IF(AM$6+6&lt;$F31,AM$6+6,$F31)-IF(AM$6&gt;$E31,AM$6,$E31)+1)/($F31-$E31+1))))</f>
        <v>0</v>
      </c>
      <c r="AN31" s="104" t="n">
        <f aca="false">IF($E31="",0,IF(AN$6+6&lt;$E31,0,IF(AN$6&gt;$F31,0,$D31*(IF(AN$6+6&lt;$F31,AN$6+6,$F31)-IF(AN$6&gt;$E31,AN$6,$E31)+1)/($F31-$E31+1))))</f>
        <v>0</v>
      </c>
      <c r="AO31" s="104" t="n">
        <f aca="false">IF($E31="",0,IF(AO$6+6&lt;$E31,0,IF(AO$6&gt;$F31,0,$D31*(IF(AO$6+6&lt;$F31,AO$6+6,$F31)-IF(AO$6&gt;$E31,AO$6,$E31)+1)/($F31-$E31+1))))</f>
        <v>0</v>
      </c>
      <c r="AP31" s="104" t="n">
        <f aca="false">IF($E31="",0,IF(AP$6+6&lt;$E31,0,IF(AP$6&gt;$F31,0,$D31*(IF(AP$6+6&lt;$F31,AP$6+6,$F31)-IF(AP$6&gt;$E31,AP$6,$E31)+1)/($F31-$E31+1))))</f>
        <v>0</v>
      </c>
      <c r="AQ31" s="104" t="n">
        <f aca="false">IF($E31="",0,IF(AQ$6+6&lt;$E31,0,IF(AQ$6&gt;$F31,0,$D31*(IF(AQ$6+6&lt;$F31,AQ$6+6,$F31)-IF(AQ$6&gt;$E31,AQ$6,$E31)+1)/($F31-$E31+1))))</f>
        <v>0</v>
      </c>
      <c r="AR31" s="104" t="n">
        <f aca="false">IF($E31="",0,IF(AR$6+6&lt;$E31,0,IF(AR$6&gt;$F31,0,$D31*(IF(AR$6+6&lt;$F31,AR$6+6,$F31)-IF(AR$6&gt;$E31,AR$6,$E31)+1)/($F31-$E31+1))))</f>
        <v>0</v>
      </c>
      <c r="AS31" s="104" t="n">
        <f aca="false">IF($E31="",0,IF(AS$6+6&lt;$E31,0,IF(AS$6&gt;$F31,0,$D31*(IF(AS$6+6&lt;$F31,AS$6+6,$F31)-IF(AS$6&gt;$E31,AS$6,$E31)+1)/($F31-$E31+1))))</f>
        <v>0</v>
      </c>
      <c r="AT31" s="104" t="n">
        <f aca="false">IF($E31="",0,IF(AT$6+6&lt;$E31,0,IF(AT$6&gt;$F31,0,$D31*(IF(AT$6+6&lt;$F31,AT$6+6,$F31)-IF(AT$6&gt;$E31,AT$6,$E31)+1)/($F31-$E31+1))))</f>
        <v>0</v>
      </c>
      <c r="AU31" s="104" t="n">
        <f aca="false">IF($E31="",0,IF(AU$6+6&lt;$E31,0,IF(AU$6&gt;$F31,0,$D31*(IF(AU$6+6&lt;$F31,AU$6+6,$F31)-IF(AU$6&gt;$E31,AU$6,$E31)+1)/($F31-$E31+1))))</f>
        <v>0</v>
      </c>
      <c r="AV31" s="104" t="n">
        <f aca="false">IF($E31="",0,IF(AV$6+6&lt;$E31,0,IF(AV$6&gt;$F31,0,$D31*(IF(AV$6+6&lt;$F31,AV$6+6,$F31)-IF(AV$6&gt;$E31,AV$6,$E31)+1)/($F31-$E31+1))))</f>
        <v>0</v>
      </c>
      <c r="AW31" s="104" t="n">
        <f aca="false">IF($E31="",0,IF(AW$6+6&lt;$E31,0,IF(AW$6&gt;$F31,0,$D31*(IF(AW$6+6&lt;$F31,AW$6+6,$F31)-IF(AW$6&gt;$E31,AW$6,$E31)+1)/($F31-$E31+1))))</f>
        <v>0</v>
      </c>
      <c r="AX31" s="104" t="n">
        <f aca="false">IF($E31="",0,IF(AX$6+6&lt;$E31,0,IF(AX$6&gt;$F31,0,$D31*(IF(AX$6+6&lt;$F31,AX$6+6,$F31)-IF(AX$6&gt;$E31,AX$6,$E31)+1)/($F31-$E31+1))))</f>
        <v>0</v>
      </c>
      <c r="AY31" s="104" t="n">
        <f aca="false">IF($E31="",0,IF(AY$6+6&lt;$E31,0,IF(AY$6&gt;$F31,0,$D31*(IF(AY$6+6&lt;$F31,AY$6+6,$F31)-IF(AY$6&gt;$E31,AY$6,$E31)+1)/($F31-$E31+1))))</f>
        <v>0</v>
      </c>
      <c r="AZ31" s="104" t="n">
        <f aca="false">IF($E31="",0,IF(AZ$6+6&lt;$E31,0,IF(AZ$6&gt;$F31,0,$D31*(IF(AZ$6+6&lt;$F31,AZ$6+6,$F31)-IF(AZ$6&gt;$E31,AZ$6,$E31)+1)/($F31-$E31+1))))</f>
        <v>0</v>
      </c>
      <c r="BA31" s="104" t="n">
        <f aca="false">IF($E31="",0,IF(BA$6+6&lt;$E31,0,IF(BA$6&gt;$F31,0,$D31*(IF(BA$6+6&lt;$F31,BA$6+6,$F31)-IF(BA$6&gt;$E31,BA$6,$E31)+1)/($F31-$E31+1))))</f>
        <v>0</v>
      </c>
      <c r="BB31" s="104" t="n">
        <f aca="false">IF($E31="",0,IF(BB$6+6&lt;$E31,0,IF(BB$6&gt;$F31,0,$D31*(IF(BB$6+6&lt;$F31,BB$6+6,$F31)-IF(BB$6&gt;$E31,BB$6,$E31)+1)/($F31-$E31+1))))</f>
        <v>0</v>
      </c>
      <c r="BC31" s="104" t="n">
        <f aca="false">IF($E31="",0,IF(BC$6+6&lt;$E31,0,IF(BC$6&gt;$F31,0,$D31*(IF(BC$6+6&lt;$F31,BC$6+6,$F31)-IF(BC$6&gt;$E31,BC$6,$E31)+1)/($F31-$E31+1))))</f>
        <v>0</v>
      </c>
      <c r="BD31" s="104" t="n">
        <f aca="false">IF($E31="",0,IF(BD$6+6&lt;$E31,0,IF(BD$6&gt;$F31,0,$D31*(IF(BD$6+6&lt;$F31,BD$6+6,$F31)-IF(BD$6&gt;$E31,BD$6,$E31)+1)/($F31-$E31+1))))</f>
        <v>0</v>
      </c>
      <c r="BE31" s="104" t="n">
        <f aca="false">IF($E31="",0,IF(BE$6+6&lt;$E31,0,IF(BE$6&gt;$F31,0,$D31*(IF(BE$6+6&lt;$F31,BE$6+6,$F31)-IF(BE$6&gt;$E31,BE$6,$E31)+1)/($F31-$E31+1))))</f>
        <v>0</v>
      </c>
      <c r="BF31" s="104" t="n">
        <f aca="false">IF($E31="",0,IF(BF$6+6&lt;$E31,0,IF(BF$6&gt;$F31,0,$D31*(IF(BF$6+6&lt;$F31,BF$6+6,$F31)-IF(BF$6&gt;$E31,BF$6,$E31)+1)/($F31-$E31+1))))</f>
        <v>0</v>
      </c>
      <c r="BG31" s="104" t="n">
        <f aca="false">IF($E31="",0,IF(BG$6+6&lt;$E31,0,IF(BG$6&gt;$F31,0,$D31*(IF(BG$6+6&lt;$F31,BG$6+6,$F31)-IF(BG$6&gt;$E31,BG$6,$E31)+1)/($F31-$E31+1))))</f>
        <v>0</v>
      </c>
      <c r="BH31" s="104" t="n">
        <f aca="false">IF($E31="",0,IF(BH$6+6&lt;$E31,0,IF(BH$6&gt;$F31,0,$D31*(IF(BH$6+6&lt;$F31,BH$6+6,$F31)-IF(BH$6&gt;$E31,BH$6,$E31)+1)/($F31-$E31+1))))</f>
        <v>0</v>
      </c>
      <c r="BI31" s="104" t="n">
        <f aca="false">IF($E31="",0,IF(BI$6+6&lt;$E31,0,IF(BI$6&gt;$F31,0,$D31*(IF(BI$6+6&lt;$F31,BI$6+6,$F31)-IF(BI$6&gt;$E31,BI$6,$E31)+1)/($F31-$E31+1))))</f>
        <v>0</v>
      </c>
      <c r="BJ31" s="104" t="n">
        <f aca="false">IF($E31="",0,IF(BJ$6+6&lt;$E31,0,IF(BJ$6&gt;$F31,0,$D31*(IF(BJ$6+6&lt;$F31,BJ$6+6,$F31)-IF(BJ$6&gt;$E31,BJ$6,$E31)+1)/($F31-$E31+1))))</f>
        <v>0</v>
      </c>
      <c r="BK31" s="104" t="n">
        <f aca="false">IF($E31="",0,IF(BK$6+6&lt;$E31,0,IF(BK$6&gt;$F31,0,$D31*(IF(BK$6+6&lt;$F31,BK$6+6,$F31)-IF(BK$6&gt;$E31,BK$6,$E31)+1)/($F31-$E31+1))))</f>
        <v>0</v>
      </c>
      <c r="BL31" s="104" t="n">
        <f aca="false">IF($E31="",0,IF(BL$6+6&lt;$E31,0,IF(BL$6&gt;$F31,0,$D31*(IF(BL$6+6&lt;$F31,BL$6+6,$F31)-IF(BL$6&gt;$E31,BL$6,$E31)+1)/($F31-$E31+1))))</f>
        <v>0</v>
      </c>
      <c r="BM31" s="104" t="n">
        <f aca="false">IF($E31="",0,IF(BM$6+6&lt;$E31,0,IF(BM$6&gt;$F31,0,$D31*(IF(BM$6+6&lt;$F31,BM$6+6,$F31)-IF(BM$6&gt;$E31,BM$6,$E31)+1)/($F31-$E31+1))))</f>
        <v>0</v>
      </c>
      <c r="BN31" s="104" t="n">
        <f aca="false">IF($E31="",0,IF(BN$6+6&lt;$E31,0,IF(BN$6&gt;$F31,0,$D31*(IF(BN$6+6&lt;$F31,BN$6+6,$F31)-IF(BN$6&gt;$E31,BN$6,$E31)+1)/($F31-$E31+1))))</f>
        <v>0</v>
      </c>
      <c r="BO31" s="104" t="n">
        <f aca="false">IF($E31="",0,IF(BO$6+6&lt;$E31,0,IF(BO$6&gt;$F31,0,$D31*(IF(BO$6+6&lt;$F31,BO$6+6,$F31)-IF(BO$6&gt;$E31,BO$6,$E31)+1)/($F31-$E31+1))))</f>
        <v>0</v>
      </c>
      <c r="BP31" s="104" t="n">
        <f aca="false">IF($E31="",0,IF(BP$6+6&lt;$E31,0,IF(BP$6&gt;$F31,0,$D31*(IF(BP$6+6&lt;$F31,BP$6+6,$F31)-IF(BP$6&gt;$E31,BP$6,$E31)+1)/($F31-$E31+1))))</f>
        <v>0</v>
      </c>
      <c r="BQ31" s="104" t="n">
        <f aca="false">IF($E31="",0,IF(BQ$6+6&lt;$E31,0,IF(BQ$6&gt;$F31,0,$D31*(IF(BQ$6+6&lt;$F31,BQ$6+6,$F31)-IF(BQ$6&gt;$E31,BQ$6,$E31)+1)/($F31-$E31+1))))</f>
        <v>0</v>
      </c>
      <c r="BR31" s="104" t="n">
        <f aca="false">IF($E31="",0,IF(BR$6+6&lt;$E31,0,IF(BR$6&gt;$F31,0,$D31*(IF(BR$6+6&lt;$F31,BR$6+6,$F31)-IF(BR$6&gt;$E31,BR$6,$E31)+1)/($F31-$E31+1))))</f>
        <v>0</v>
      </c>
      <c r="BS31" s="104" t="n">
        <f aca="false">IF($E31="",0,IF(BS$6+6&lt;$E31,0,IF(BS$6&gt;$F31,0,$D31*(IF(BS$6+6&lt;$F31,BS$6+6,$F31)-IF(BS$6&gt;$E31,BS$6,$E31)+1)/($F31-$E31+1))))</f>
        <v>0</v>
      </c>
      <c r="BT31" s="104" t="n">
        <f aca="false">IF($E31="",0,IF(BT$6+6&lt;$E31,0,IF(BT$6&gt;$F31,0,$D31*(IF(BT$6+6&lt;$F31,BT$6+6,$F31)-IF(BT$6&gt;$E31,BT$6,$E31)+1)/($F31-$E31+1))))</f>
        <v>0</v>
      </c>
      <c r="BU31" s="104" t="n">
        <f aca="false">IF($E31="",0,IF(BU$6+6&lt;$E31,0,IF(BU$6&gt;$F31,0,$D31*(IF(BU$6+6&lt;$F31,BU$6+6,$F31)-IF(BU$6&gt;$E31,BU$6,$E31)+1)/($F31-$E31+1))))</f>
        <v>0</v>
      </c>
      <c r="BV31" s="104" t="n">
        <f aca="false">IF($E31="",0,IF(BV$6+6&lt;$E31,0,IF(BV$6&gt;$F31,0,$D31*(IF(BV$6+6&lt;$F31,BV$6+6,$F31)-IF(BV$6&gt;$E31,BV$6,$E31)+1)/($F31-$E31+1))))</f>
        <v>0</v>
      </c>
      <c r="BW31" s="104" t="n">
        <f aca="false">IF($E31="",0,IF(BW$6+6&lt;$E31,0,IF(BW$6&gt;$F31,0,$D31*(IF(BW$6+6&lt;$F31,BW$6+6,$F31)-IF(BW$6&gt;$E31,BW$6,$E31)+1)/($F31-$E31+1))))</f>
        <v>0</v>
      </c>
      <c r="BX31" s="104" t="n">
        <f aca="false">IF($E31="",0,IF(BX$6+6&lt;$E31,0,IF(BX$6&gt;$F31,0,$D31*(IF(BX$6+6&lt;$F31,BX$6+6,$F31)-IF(BX$6&gt;$E31,BX$6,$E31)+1)/($F31-$E31+1))))</f>
        <v>0</v>
      </c>
      <c r="BY31" s="104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101"/>
      <c r="B32" s="101"/>
      <c r="C32" s="101" t="s">
        <v>695</v>
      </c>
      <c r="D32" s="102"/>
      <c r="E32" s="105" t="n">
        <v>46257</v>
      </c>
      <c r="F32" s="105" t="n">
        <v>46260</v>
      </c>
      <c r="G32" s="106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 t="n">
        <v>7.5</v>
      </c>
      <c r="V32" s="107" t="n">
        <v>7.5</v>
      </c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</row>
    <row r="33" customFormat="false" ht="15" hidden="false" customHeight="false" outlineLevel="0" collapsed="false">
      <c r="A33" s="101" t="s">
        <v>411</v>
      </c>
      <c r="B33" s="101" t="s">
        <v>708</v>
      </c>
      <c r="C33" s="101" t="s">
        <v>694</v>
      </c>
      <c r="D33" s="102" t="n">
        <v>10</v>
      </c>
      <c r="E33" s="103" t="n">
        <v>46258</v>
      </c>
      <c r="F33" s="103" t="n">
        <v>46267</v>
      </c>
      <c r="G33" s="101" t="n">
        <v>9</v>
      </c>
      <c r="H33" s="104" t="n">
        <f aca="false">IF($E33="",0,IF(H$6+6&lt;$E33,0,IF(H$6&gt;$F33,0,$D33*(IF(H$6+6&lt;$F33,H$6+6,$F33)-IF(H$6&gt;$E33,H$6,$E33)+1)/($F33-$E33+1))))</f>
        <v>0</v>
      </c>
      <c r="I33" s="104" t="n">
        <f aca="false">IF($E33="",0,IF(I$6+6&lt;$E33,0,IF(I$6&gt;$F33,0,$D33*(IF(I$6+6&lt;$F33,I$6+6,$F33)-IF(I$6&gt;$E33,I$6,$E33)+1)/($F33-$E33+1))))</f>
        <v>0</v>
      </c>
      <c r="J33" s="104" t="n">
        <f aca="false">IF($E33="",0,IF(J$6+6&lt;$E33,0,IF(J$6&gt;$F33,0,$D33*(IF(J$6+6&lt;$F33,J$6+6,$F33)-IF(J$6&gt;$E33,J$6,$E33)+1)/($F33-$E33+1))))</f>
        <v>0</v>
      </c>
      <c r="K33" s="104" t="n">
        <f aca="false">IF($E33="",0,IF(K$6+6&lt;$E33,0,IF(K$6&gt;$F33,0,$D33*(IF(K$6+6&lt;$F33,K$6+6,$F33)-IF(K$6&gt;$E33,K$6,$E33)+1)/($F33-$E33+1))))</f>
        <v>0</v>
      </c>
      <c r="L33" s="104" t="n">
        <f aca="false">IF($E33="",0,IF(L$6+6&lt;$E33,0,IF(L$6&gt;$F33,0,$D33*(IF(L$6+6&lt;$F33,L$6+6,$F33)-IF(L$6&gt;$E33,L$6,$E33)+1)/($F33-$E33+1))))</f>
        <v>0</v>
      </c>
      <c r="M33" s="104" t="n">
        <f aca="false">IF($E33="",0,IF(M$6+6&lt;$E33,0,IF(M$6&gt;$F33,0,$D33*(IF(M$6+6&lt;$F33,M$6+6,$F33)-IF(M$6&gt;$E33,M$6,$E33)+1)/($F33-$E33+1))))</f>
        <v>0</v>
      </c>
      <c r="N33" s="104" t="n">
        <f aca="false">IF($E33="",0,IF(N$6+6&lt;$E33,0,IF(N$6&gt;$F33,0,$D33*(IF(N$6+6&lt;$F33,N$6+6,$F33)-IF(N$6&gt;$E33,N$6,$E33)+1)/($F33-$E33+1))))</f>
        <v>0</v>
      </c>
      <c r="O33" s="104" t="n">
        <f aca="false">IF($E33="",0,IF(O$6+6&lt;$E33,0,IF(O$6&gt;$F33,0,$D33*(IF(O$6+6&lt;$F33,O$6+6,$F33)-IF(O$6&gt;$E33,O$6,$E33)+1)/($F33-$E33+1))))</f>
        <v>0</v>
      </c>
      <c r="P33" s="104" t="n">
        <f aca="false">IF($E33="",0,IF(P$6+6&lt;$E33,0,IF(P$6&gt;$F33,0,$D33*(IF(P$6+6&lt;$F33,P$6+6,$F33)-IF(P$6&gt;$E33,P$6,$E33)+1)/($F33-$E33+1))))</f>
        <v>0</v>
      </c>
      <c r="Q33" s="104" t="n">
        <f aca="false">IF($E33="",0,IF(Q$6+6&lt;$E33,0,IF(Q$6&gt;$F33,0,$D33*(IF(Q$6+6&lt;$F33,Q$6+6,$F33)-IF(Q$6&gt;$E33,Q$6,$E33)+1)/($F33-$E33+1))))</f>
        <v>0</v>
      </c>
      <c r="R33" s="104" t="n">
        <f aca="false">IF($E33="",0,IF(R$6+6&lt;$E33,0,IF(R$6&gt;$F33,0,$D33*(IF(R$6+6&lt;$F33,R$6+6,$F33)-IF(R$6&gt;$E33,R$6,$E33)+1)/($F33-$E33+1))))</f>
        <v>0</v>
      </c>
      <c r="S33" s="104" t="n">
        <f aca="false">IF($E33="",0,IF(S$6+6&lt;$E33,0,IF(S$6&gt;$F33,0,$D33*(IF(S$6+6&lt;$F33,S$6+6,$F33)-IF(S$6&gt;$E33,S$6,$E33)+1)/($F33-$E33+1))))</f>
        <v>0</v>
      </c>
      <c r="T33" s="104" t="n">
        <f aca="false">IF($E33="",0,IF(T$6+6&lt;$E33,0,IF(T$6&gt;$F33,0,$D33*(IF(T$6+6&lt;$F33,T$6+6,$F33)-IF(T$6&gt;$E33,T$6,$E33)+1)/($F33-$E33+1))))</f>
        <v>0</v>
      </c>
      <c r="U33" s="104" t="n">
        <f aca="false">IF($E33="",0,IF(U$6+6&lt;$E33,0,IF(U$6&gt;$F33,0,$D33*(IF(U$6+6&lt;$F33,U$6+6,$F33)-IF(U$6&gt;$E33,U$6,$E33)+1)/($F33-$E33+1))))</f>
        <v>0</v>
      </c>
      <c r="V33" s="104" t="n">
        <f aca="false">IF($E33="",0,IF(V$6+6&lt;$E33,0,IF(V$6&gt;$F33,0,$D33*(IF(V$6+6&lt;$F33,V$6+6,$F33)-IF(V$6&gt;$E33,V$6,$E33)+1)/($F33-$E33+1))))</f>
        <v>7</v>
      </c>
      <c r="W33" s="104" t="n">
        <f aca="false">IF($E33="",0,IF(W$6+6&lt;$E33,0,IF(W$6&gt;$F33,0,$D33*(IF(W$6+6&lt;$F33,W$6+6,$F33)-IF(W$6&gt;$E33,W$6,$E33)+1)/($F33-$E33+1))))</f>
        <v>3</v>
      </c>
      <c r="X33" s="104" t="n">
        <f aca="false">IF($E33="",0,IF(X$6+6&lt;$E33,0,IF(X$6&gt;$F33,0,$D33*(IF(X$6+6&lt;$F33,X$6+6,$F33)-IF(X$6&gt;$E33,X$6,$E33)+1)/($F33-$E33+1))))</f>
        <v>0</v>
      </c>
      <c r="Y33" s="104" t="n">
        <f aca="false">IF($E33="",0,IF(Y$6+6&lt;$E33,0,IF(Y$6&gt;$F33,0,$D33*(IF(Y$6+6&lt;$F33,Y$6+6,$F33)-IF(Y$6&gt;$E33,Y$6,$E33)+1)/($F33-$E33+1))))</f>
        <v>0</v>
      </c>
      <c r="Z33" s="104" t="n">
        <f aca="false">IF($E33="",0,IF(Z$6+6&lt;$E33,0,IF(Z$6&gt;$F33,0,$D33*(IF(Z$6+6&lt;$F33,Z$6+6,$F33)-IF(Z$6&gt;$E33,Z$6,$E33)+1)/($F33-$E33+1))))</f>
        <v>0</v>
      </c>
      <c r="AA33" s="104" t="n">
        <f aca="false">IF($E33="",0,IF(AA$6+6&lt;$E33,0,IF(AA$6&gt;$F33,0,$D33*(IF(AA$6+6&lt;$F33,AA$6+6,$F33)-IF(AA$6&gt;$E33,AA$6,$E33)+1)/($F33-$E33+1))))</f>
        <v>0</v>
      </c>
      <c r="AB33" s="104" t="n">
        <f aca="false">IF($E33="",0,IF(AB$6+6&lt;$E33,0,IF(AB$6&gt;$F33,0,$D33*(IF(AB$6+6&lt;$F33,AB$6+6,$F33)-IF(AB$6&gt;$E33,AB$6,$E33)+1)/($F33-$E33+1))))</f>
        <v>0</v>
      </c>
      <c r="AC33" s="104" t="n">
        <f aca="false">IF($E33="",0,IF(AC$6+6&lt;$E33,0,IF(AC$6&gt;$F33,0,$D33*(IF(AC$6+6&lt;$F33,AC$6+6,$F33)-IF(AC$6&gt;$E33,AC$6,$E33)+1)/($F33-$E33+1))))</f>
        <v>0</v>
      </c>
      <c r="AD33" s="104" t="n">
        <f aca="false">IF($E33="",0,IF(AD$6+6&lt;$E33,0,IF(AD$6&gt;$F33,0,$D33*(IF(AD$6+6&lt;$F33,AD$6+6,$F33)-IF(AD$6&gt;$E33,AD$6,$E33)+1)/($F33-$E33+1))))</f>
        <v>0</v>
      </c>
      <c r="AE33" s="104" t="n">
        <f aca="false">IF($E33="",0,IF(AE$6+6&lt;$E33,0,IF(AE$6&gt;$F33,0,$D33*(IF(AE$6+6&lt;$F33,AE$6+6,$F33)-IF(AE$6&gt;$E33,AE$6,$E33)+1)/($F33-$E33+1))))</f>
        <v>0</v>
      </c>
      <c r="AF33" s="104" t="n">
        <f aca="false">IF($E33="",0,IF(AF$6+6&lt;$E33,0,IF(AF$6&gt;$F33,0,$D33*(IF(AF$6+6&lt;$F33,AF$6+6,$F33)-IF(AF$6&gt;$E33,AF$6,$E33)+1)/($F33-$E33+1))))</f>
        <v>0</v>
      </c>
      <c r="AG33" s="104" t="n">
        <f aca="false">IF($E33="",0,IF(AG$6+6&lt;$E33,0,IF(AG$6&gt;$F33,0,$D33*(IF(AG$6+6&lt;$F33,AG$6+6,$F33)-IF(AG$6&gt;$E33,AG$6,$E33)+1)/($F33-$E33+1))))</f>
        <v>0</v>
      </c>
      <c r="AH33" s="104" t="n">
        <f aca="false">IF($E33="",0,IF(AH$6+6&lt;$E33,0,IF(AH$6&gt;$F33,0,$D33*(IF(AH$6+6&lt;$F33,AH$6+6,$F33)-IF(AH$6&gt;$E33,AH$6,$E33)+1)/($F33-$E33+1))))</f>
        <v>0</v>
      </c>
      <c r="AI33" s="104" t="n">
        <f aca="false">IF($E33="",0,IF(AI$6+6&lt;$E33,0,IF(AI$6&gt;$F33,0,$D33*(IF(AI$6+6&lt;$F33,AI$6+6,$F33)-IF(AI$6&gt;$E33,AI$6,$E33)+1)/($F33-$E33+1))))</f>
        <v>0</v>
      </c>
      <c r="AJ33" s="104" t="n">
        <f aca="false">IF($E33="",0,IF(AJ$6+6&lt;$E33,0,IF(AJ$6&gt;$F33,0,$D33*(IF(AJ$6+6&lt;$F33,AJ$6+6,$F33)-IF(AJ$6&gt;$E33,AJ$6,$E33)+1)/($F33-$E33+1))))</f>
        <v>0</v>
      </c>
      <c r="AK33" s="104" t="n">
        <f aca="false">IF($E33="",0,IF(AK$6+6&lt;$E33,0,IF(AK$6&gt;$F33,0,$D33*(IF(AK$6+6&lt;$F33,AK$6+6,$F33)-IF(AK$6&gt;$E33,AK$6,$E33)+1)/($F33-$E33+1))))</f>
        <v>0</v>
      </c>
      <c r="AL33" s="104" t="n">
        <f aca="false">IF($E33="",0,IF(AL$6+6&lt;$E33,0,IF(AL$6&gt;$F33,0,$D33*(IF(AL$6+6&lt;$F33,AL$6+6,$F33)-IF(AL$6&gt;$E33,AL$6,$E33)+1)/($F33-$E33+1))))</f>
        <v>0</v>
      </c>
      <c r="AM33" s="104" t="n">
        <f aca="false">IF($E33="",0,IF(AM$6+6&lt;$E33,0,IF(AM$6&gt;$F33,0,$D33*(IF(AM$6+6&lt;$F33,AM$6+6,$F33)-IF(AM$6&gt;$E33,AM$6,$E33)+1)/($F33-$E33+1))))</f>
        <v>0</v>
      </c>
      <c r="AN33" s="104" t="n">
        <f aca="false">IF($E33="",0,IF(AN$6+6&lt;$E33,0,IF(AN$6&gt;$F33,0,$D33*(IF(AN$6+6&lt;$F33,AN$6+6,$F33)-IF(AN$6&gt;$E33,AN$6,$E33)+1)/($F33-$E33+1))))</f>
        <v>0</v>
      </c>
      <c r="AO33" s="104" t="n">
        <f aca="false">IF($E33="",0,IF(AO$6+6&lt;$E33,0,IF(AO$6&gt;$F33,0,$D33*(IF(AO$6+6&lt;$F33,AO$6+6,$F33)-IF(AO$6&gt;$E33,AO$6,$E33)+1)/($F33-$E33+1))))</f>
        <v>0</v>
      </c>
      <c r="AP33" s="104" t="n">
        <f aca="false">IF($E33="",0,IF(AP$6+6&lt;$E33,0,IF(AP$6&gt;$F33,0,$D33*(IF(AP$6+6&lt;$F33,AP$6+6,$F33)-IF(AP$6&gt;$E33,AP$6,$E33)+1)/($F33-$E33+1))))</f>
        <v>0</v>
      </c>
      <c r="AQ33" s="104" t="n">
        <f aca="false">IF($E33="",0,IF(AQ$6+6&lt;$E33,0,IF(AQ$6&gt;$F33,0,$D33*(IF(AQ$6+6&lt;$F33,AQ$6+6,$F33)-IF(AQ$6&gt;$E33,AQ$6,$E33)+1)/($F33-$E33+1))))</f>
        <v>0</v>
      </c>
      <c r="AR33" s="104" t="n">
        <f aca="false">IF($E33="",0,IF(AR$6+6&lt;$E33,0,IF(AR$6&gt;$F33,0,$D33*(IF(AR$6+6&lt;$F33,AR$6+6,$F33)-IF(AR$6&gt;$E33,AR$6,$E33)+1)/($F33-$E33+1))))</f>
        <v>0</v>
      </c>
      <c r="AS33" s="104" t="n">
        <f aca="false">IF($E33="",0,IF(AS$6+6&lt;$E33,0,IF(AS$6&gt;$F33,0,$D33*(IF(AS$6+6&lt;$F33,AS$6+6,$F33)-IF(AS$6&gt;$E33,AS$6,$E33)+1)/($F33-$E33+1))))</f>
        <v>0</v>
      </c>
      <c r="AT33" s="104" t="n">
        <f aca="false">IF($E33="",0,IF(AT$6+6&lt;$E33,0,IF(AT$6&gt;$F33,0,$D33*(IF(AT$6+6&lt;$F33,AT$6+6,$F33)-IF(AT$6&gt;$E33,AT$6,$E33)+1)/($F33-$E33+1))))</f>
        <v>0</v>
      </c>
      <c r="AU33" s="104" t="n">
        <f aca="false">IF($E33="",0,IF(AU$6+6&lt;$E33,0,IF(AU$6&gt;$F33,0,$D33*(IF(AU$6+6&lt;$F33,AU$6+6,$F33)-IF(AU$6&gt;$E33,AU$6,$E33)+1)/($F33-$E33+1))))</f>
        <v>0</v>
      </c>
      <c r="AV33" s="104" t="n">
        <f aca="false">IF($E33="",0,IF(AV$6+6&lt;$E33,0,IF(AV$6&gt;$F33,0,$D33*(IF(AV$6+6&lt;$F33,AV$6+6,$F33)-IF(AV$6&gt;$E33,AV$6,$E33)+1)/($F33-$E33+1))))</f>
        <v>0</v>
      </c>
      <c r="AW33" s="104" t="n">
        <f aca="false">IF($E33="",0,IF(AW$6+6&lt;$E33,0,IF(AW$6&gt;$F33,0,$D33*(IF(AW$6+6&lt;$F33,AW$6+6,$F33)-IF(AW$6&gt;$E33,AW$6,$E33)+1)/($F33-$E33+1))))</f>
        <v>0</v>
      </c>
      <c r="AX33" s="104" t="n">
        <f aca="false">IF($E33="",0,IF(AX$6+6&lt;$E33,0,IF(AX$6&gt;$F33,0,$D33*(IF(AX$6+6&lt;$F33,AX$6+6,$F33)-IF(AX$6&gt;$E33,AX$6,$E33)+1)/($F33-$E33+1))))</f>
        <v>0</v>
      </c>
      <c r="AY33" s="104" t="n">
        <f aca="false">IF($E33="",0,IF(AY$6+6&lt;$E33,0,IF(AY$6&gt;$F33,0,$D33*(IF(AY$6+6&lt;$F33,AY$6+6,$F33)-IF(AY$6&gt;$E33,AY$6,$E33)+1)/($F33-$E33+1))))</f>
        <v>0</v>
      </c>
      <c r="AZ33" s="104" t="n">
        <f aca="false">IF($E33="",0,IF(AZ$6+6&lt;$E33,0,IF(AZ$6&gt;$F33,0,$D33*(IF(AZ$6+6&lt;$F33,AZ$6+6,$F33)-IF(AZ$6&gt;$E33,AZ$6,$E33)+1)/($F33-$E33+1))))</f>
        <v>0</v>
      </c>
      <c r="BA33" s="104" t="n">
        <f aca="false">IF($E33="",0,IF(BA$6+6&lt;$E33,0,IF(BA$6&gt;$F33,0,$D33*(IF(BA$6+6&lt;$F33,BA$6+6,$F33)-IF(BA$6&gt;$E33,BA$6,$E33)+1)/($F33-$E33+1))))</f>
        <v>0</v>
      </c>
      <c r="BB33" s="104" t="n">
        <f aca="false">IF($E33="",0,IF(BB$6+6&lt;$E33,0,IF(BB$6&gt;$F33,0,$D33*(IF(BB$6+6&lt;$F33,BB$6+6,$F33)-IF(BB$6&gt;$E33,BB$6,$E33)+1)/($F33-$E33+1))))</f>
        <v>0</v>
      </c>
      <c r="BC33" s="104" t="n">
        <f aca="false">IF($E33="",0,IF(BC$6+6&lt;$E33,0,IF(BC$6&gt;$F33,0,$D33*(IF(BC$6+6&lt;$F33,BC$6+6,$F33)-IF(BC$6&gt;$E33,BC$6,$E33)+1)/($F33-$E33+1))))</f>
        <v>0</v>
      </c>
      <c r="BD33" s="104" t="n">
        <f aca="false">IF($E33="",0,IF(BD$6+6&lt;$E33,0,IF(BD$6&gt;$F33,0,$D33*(IF(BD$6+6&lt;$F33,BD$6+6,$F33)-IF(BD$6&gt;$E33,BD$6,$E33)+1)/($F33-$E33+1))))</f>
        <v>0</v>
      </c>
      <c r="BE33" s="104" t="n">
        <f aca="false">IF($E33="",0,IF(BE$6+6&lt;$E33,0,IF(BE$6&gt;$F33,0,$D33*(IF(BE$6+6&lt;$F33,BE$6+6,$F33)-IF(BE$6&gt;$E33,BE$6,$E33)+1)/($F33-$E33+1))))</f>
        <v>0</v>
      </c>
      <c r="BF33" s="104" t="n">
        <f aca="false">IF($E33="",0,IF(BF$6+6&lt;$E33,0,IF(BF$6&gt;$F33,0,$D33*(IF(BF$6+6&lt;$F33,BF$6+6,$F33)-IF(BF$6&gt;$E33,BF$6,$E33)+1)/($F33-$E33+1))))</f>
        <v>0</v>
      </c>
      <c r="BG33" s="104" t="n">
        <f aca="false">IF($E33="",0,IF(BG$6+6&lt;$E33,0,IF(BG$6&gt;$F33,0,$D33*(IF(BG$6+6&lt;$F33,BG$6+6,$F33)-IF(BG$6&gt;$E33,BG$6,$E33)+1)/($F33-$E33+1))))</f>
        <v>0</v>
      </c>
      <c r="BH33" s="104" t="n">
        <f aca="false">IF($E33="",0,IF(BH$6+6&lt;$E33,0,IF(BH$6&gt;$F33,0,$D33*(IF(BH$6+6&lt;$F33,BH$6+6,$F33)-IF(BH$6&gt;$E33,BH$6,$E33)+1)/($F33-$E33+1))))</f>
        <v>0</v>
      </c>
      <c r="BI33" s="104" t="n">
        <f aca="false">IF($E33="",0,IF(BI$6+6&lt;$E33,0,IF(BI$6&gt;$F33,0,$D33*(IF(BI$6+6&lt;$F33,BI$6+6,$F33)-IF(BI$6&gt;$E33,BI$6,$E33)+1)/($F33-$E33+1))))</f>
        <v>0</v>
      </c>
      <c r="BJ33" s="104" t="n">
        <f aca="false">IF($E33="",0,IF(BJ$6+6&lt;$E33,0,IF(BJ$6&gt;$F33,0,$D33*(IF(BJ$6+6&lt;$F33,BJ$6+6,$F33)-IF(BJ$6&gt;$E33,BJ$6,$E33)+1)/($F33-$E33+1))))</f>
        <v>0</v>
      </c>
      <c r="BK33" s="104" t="n">
        <f aca="false">IF($E33="",0,IF(BK$6+6&lt;$E33,0,IF(BK$6&gt;$F33,0,$D33*(IF(BK$6+6&lt;$F33,BK$6+6,$F33)-IF(BK$6&gt;$E33,BK$6,$E33)+1)/($F33-$E33+1))))</f>
        <v>0</v>
      </c>
      <c r="BL33" s="104" t="n">
        <f aca="false">IF($E33="",0,IF(BL$6+6&lt;$E33,0,IF(BL$6&gt;$F33,0,$D33*(IF(BL$6+6&lt;$F33,BL$6+6,$F33)-IF(BL$6&gt;$E33,BL$6,$E33)+1)/($F33-$E33+1))))</f>
        <v>0</v>
      </c>
      <c r="BM33" s="104" t="n">
        <f aca="false">IF($E33="",0,IF(BM$6+6&lt;$E33,0,IF(BM$6&gt;$F33,0,$D33*(IF(BM$6+6&lt;$F33,BM$6+6,$F33)-IF(BM$6&gt;$E33,BM$6,$E33)+1)/($F33-$E33+1))))</f>
        <v>0</v>
      </c>
      <c r="BN33" s="104" t="n">
        <f aca="false">IF($E33="",0,IF(BN$6+6&lt;$E33,0,IF(BN$6&gt;$F33,0,$D33*(IF(BN$6+6&lt;$F33,BN$6+6,$F33)-IF(BN$6&gt;$E33,BN$6,$E33)+1)/($F33-$E33+1))))</f>
        <v>0</v>
      </c>
      <c r="BO33" s="104" t="n">
        <f aca="false">IF($E33="",0,IF(BO$6+6&lt;$E33,0,IF(BO$6&gt;$F33,0,$D33*(IF(BO$6+6&lt;$F33,BO$6+6,$F33)-IF(BO$6&gt;$E33,BO$6,$E33)+1)/($F33-$E33+1))))</f>
        <v>0</v>
      </c>
      <c r="BP33" s="104" t="n">
        <f aca="false">IF($E33="",0,IF(BP$6+6&lt;$E33,0,IF(BP$6&gt;$F33,0,$D33*(IF(BP$6+6&lt;$F33,BP$6+6,$F33)-IF(BP$6&gt;$E33,BP$6,$E33)+1)/($F33-$E33+1))))</f>
        <v>0</v>
      </c>
      <c r="BQ33" s="104" t="n">
        <f aca="false">IF($E33="",0,IF(BQ$6+6&lt;$E33,0,IF(BQ$6&gt;$F33,0,$D33*(IF(BQ$6+6&lt;$F33,BQ$6+6,$F33)-IF(BQ$6&gt;$E33,BQ$6,$E33)+1)/($F33-$E33+1))))</f>
        <v>0</v>
      </c>
      <c r="BR33" s="104" t="n">
        <f aca="false">IF($E33="",0,IF(BR$6+6&lt;$E33,0,IF(BR$6&gt;$F33,0,$D33*(IF(BR$6+6&lt;$F33,BR$6+6,$F33)-IF(BR$6&gt;$E33,BR$6,$E33)+1)/($F33-$E33+1))))</f>
        <v>0</v>
      </c>
      <c r="BS33" s="104" t="n">
        <f aca="false">IF($E33="",0,IF(BS$6+6&lt;$E33,0,IF(BS$6&gt;$F33,0,$D33*(IF(BS$6+6&lt;$F33,BS$6+6,$F33)-IF(BS$6&gt;$E33,BS$6,$E33)+1)/($F33-$E33+1))))</f>
        <v>0</v>
      </c>
      <c r="BT33" s="104" t="n">
        <f aca="false">IF($E33="",0,IF(BT$6+6&lt;$E33,0,IF(BT$6&gt;$F33,0,$D33*(IF(BT$6+6&lt;$F33,BT$6+6,$F33)-IF(BT$6&gt;$E33,BT$6,$E33)+1)/($F33-$E33+1))))</f>
        <v>0</v>
      </c>
      <c r="BU33" s="104" t="n">
        <f aca="false">IF($E33="",0,IF(BU$6+6&lt;$E33,0,IF(BU$6&gt;$F33,0,$D33*(IF(BU$6+6&lt;$F33,BU$6+6,$F33)-IF(BU$6&gt;$E33,BU$6,$E33)+1)/($F33-$E33+1))))</f>
        <v>0</v>
      </c>
      <c r="BV33" s="104" t="n">
        <f aca="false">IF($E33="",0,IF(BV$6+6&lt;$E33,0,IF(BV$6&gt;$F33,0,$D33*(IF(BV$6+6&lt;$F33,BV$6+6,$F33)-IF(BV$6&gt;$E33,BV$6,$E33)+1)/($F33-$E33+1))))</f>
        <v>0</v>
      </c>
      <c r="BW33" s="104" t="n">
        <f aca="false">IF($E33="",0,IF(BW$6+6&lt;$E33,0,IF(BW$6&gt;$F33,0,$D33*(IF(BW$6+6&lt;$F33,BW$6+6,$F33)-IF(BW$6&gt;$E33,BW$6,$E33)+1)/($F33-$E33+1))))</f>
        <v>0</v>
      </c>
      <c r="BX33" s="104" t="n">
        <f aca="false">IF($E33="",0,IF(BX$6+6&lt;$E33,0,IF(BX$6&gt;$F33,0,$D33*(IF(BX$6+6&lt;$F33,BX$6+6,$F33)-IF(BX$6&gt;$E33,BX$6,$E33)+1)/($F33-$E33+1))))</f>
        <v>0</v>
      </c>
      <c r="BY33" s="104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101"/>
      <c r="B34" s="101"/>
      <c r="C34" s="101" t="s">
        <v>695</v>
      </c>
      <c r="D34" s="102"/>
      <c r="E34" s="105" t="n">
        <v>46258</v>
      </c>
      <c r="F34" s="105" t="n">
        <v>46261</v>
      </c>
      <c r="G34" s="106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 t="n">
        <v>10</v>
      </c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</row>
    <row r="35" customFormat="false" ht="15" hidden="false" customHeight="false" outlineLevel="0" collapsed="false">
      <c r="A35" s="101" t="s">
        <v>436</v>
      </c>
      <c r="B35" s="101" t="s">
        <v>709</v>
      </c>
      <c r="C35" s="101" t="s">
        <v>694</v>
      </c>
      <c r="D35" s="102" t="n">
        <v>5</v>
      </c>
      <c r="E35" s="103" t="n">
        <v>46261</v>
      </c>
      <c r="F35" s="103" t="n">
        <v>46267</v>
      </c>
      <c r="G35" s="101" t="n">
        <v>6</v>
      </c>
      <c r="H35" s="104" t="n">
        <f aca="false">IF($E35="",0,IF(H$6+6&lt;$E35,0,IF(H$6&gt;$F35,0,$D35*(IF(H$6+6&lt;$F35,H$6+6,$F35)-IF(H$6&gt;$E35,H$6,$E35)+1)/($F35-$E35+1))))</f>
        <v>0</v>
      </c>
      <c r="I35" s="104" t="n">
        <f aca="false">IF($E35="",0,IF(I$6+6&lt;$E35,0,IF(I$6&gt;$F35,0,$D35*(IF(I$6+6&lt;$F35,I$6+6,$F35)-IF(I$6&gt;$E35,I$6,$E35)+1)/($F35-$E35+1))))</f>
        <v>0</v>
      </c>
      <c r="J35" s="104" t="n">
        <f aca="false">IF($E35="",0,IF(J$6+6&lt;$E35,0,IF(J$6&gt;$F35,0,$D35*(IF(J$6+6&lt;$F35,J$6+6,$F35)-IF(J$6&gt;$E35,J$6,$E35)+1)/($F35-$E35+1))))</f>
        <v>0</v>
      </c>
      <c r="K35" s="104" t="n">
        <f aca="false">IF($E35="",0,IF(K$6+6&lt;$E35,0,IF(K$6&gt;$F35,0,$D35*(IF(K$6+6&lt;$F35,K$6+6,$F35)-IF(K$6&gt;$E35,K$6,$E35)+1)/($F35-$E35+1))))</f>
        <v>0</v>
      </c>
      <c r="L35" s="104" t="n">
        <f aca="false">IF($E35="",0,IF(L$6+6&lt;$E35,0,IF(L$6&gt;$F35,0,$D35*(IF(L$6+6&lt;$F35,L$6+6,$F35)-IF(L$6&gt;$E35,L$6,$E35)+1)/($F35-$E35+1))))</f>
        <v>0</v>
      </c>
      <c r="M35" s="104" t="n">
        <f aca="false">IF($E35="",0,IF(M$6+6&lt;$E35,0,IF(M$6&gt;$F35,0,$D35*(IF(M$6+6&lt;$F35,M$6+6,$F35)-IF(M$6&gt;$E35,M$6,$E35)+1)/($F35-$E35+1))))</f>
        <v>0</v>
      </c>
      <c r="N35" s="104" t="n">
        <f aca="false">IF($E35="",0,IF(N$6+6&lt;$E35,0,IF(N$6&gt;$F35,0,$D35*(IF(N$6+6&lt;$F35,N$6+6,$F35)-IF(N$6&gt;$E35,N$6,$E35)+1)/($F35-$E35+1))))</f>
        <v>0</v>
      </c>
      <c r="O35" s="104" t="n">
        <f aca="false">IF($E35="",0,IF(O$6+6&lt;$E35,0,IF(O$6&gt;$F35,0,$D35*(IF(O$6+6&lt;$F35,O$6+6,$F35)-IF(O$6&gt;$E35,O$6,$E35)+1)/($F35-$E35+1))))</f>
        <v>0</v>
      </c>
      <c r="P35" s="104" t="n">
        <f aca="false">IF($E35="",0,IF(P$6+6&lt;$E35,0,IF(P$6&gt;$F35,0,$D35*(IF(P$6+6&lt;$F35,P$6+6,$F35)-IF(P$6&gt;$E35,P$6,$E35)+1)/($F35-$E35+1))))</f>
        <v>0</v>
      </c>
      <c r="Q35" s="104" t="n">
        <f aca="false">IF($E35="",0,IF(Q$6+6&lt;$E35,0,IF(Q$6&gt;$F35,0,$D35*(IF(Q$6+6&lt;$F35,Q$6+6,$F35)-IF(Q$6&gt;$E35,Q$6,$E35)+1)/($F35-$E35+1))))</f>
        <v>0</v>
      </c>
      <c r="R35" s="104" t="n">
        <f aca="false">IF($E35="",0,IF(R$6+6&lt;$E35,0,IF(R$6&gt;$F35,0,$D35*(IF(R$6+6&lt;$F35,R$6+6,$F35)-IF(R$6&gt;$E35,R$6,$E35)+1)/($F35-$E35+1))))</f>
        <v>0</v>
      </c>
      <c r="S35" s="104" t="n">
        <f aca="false">IF($E35="",0,IF(S$6+6&lt;$E35,0,IF(S$6&gt;$F35,0,$D35*(IF(S$6+6&lt;$F35,S$6+6,$F35)-IF(S$6&gt;$E35,S$6,$E35)+1)/($F35-$E35+1))))</f>
        <v>0</v>
      </c>
      <c r="T35" s="104" t="n">
        <f aca="false">IF($E35="",0,IF(T$6+6&lt;$E35,0,IF(T$6&gt;$F35,0,$D35*(IF(T$6+6&lt;$F35,T$6+6,$F35)-IF(T$6&gt;$E35,T$6,$E35)+1)/($F35-$E35+1))))</f>
        <v>0</v>
      </c>
      <c r="U35" s="104" t="n">
        <f aca="false">IF($E35="",0,IF(U$6+6&lt;$E35,0,IF(U$6&gt;$F35,0,$D35*(IF(U$6+6&lt;$F35,U$6+6,$F35)-IF(U$6&gt;$E35,U$6,$E35)+1)/($F35-$E35+1))))</f>
        <v>0</v>
      </c>
      <c r="V35" s="104" t="n">
        <f aca="false">IF($E35="",0,IF(V$6+6&lt;$E35,0,IF(V$6&gt;$F35,0,$D35*(IF(V$6+6&lt;$F35,V$6+6,$F35)-IF(V$6&gt;$E35,V$6,$E35)+1)/($F35-$E35+1))))</f>
        <v>2.85714285714286</v>
      </c>
      <c r="W35" s="104" t="n">
        <f aca="false">IF($E35="",0,IF(W$6+6&lt;$E35,0,IF(W$6&gt;$F35,0,$D35*(IF(W$6+6&lt;$F35,W$6+6,$F35)-IF(W$6&gt;$E35,W$6,$E35)+1)/($F35-$E35+1))))</f>
        <v>2.14285714285714</v>
      </c>
      <c r="X35" s="104" t="n">
        <f aca="false">IF($E35="",0,IF(X$6+6&lt;$E35,0,IF(X$6&gt;$F35,0,$D35*(IF(X$6+6&lt;$F35,X$6+6,$F35)-IF(X$6&gt;$E35,X$6,$E35)+1)/($F35-$E35+1))))</f>
        <v>0</v>
      </c>
      <c r="Y35" s="104" t="n">
        <f aca="false">IF($E35="",0,IF(Y$6+6&lt;$E35,0,IF(Y$6&gt;$F35,0,$D35*(IF(Y$6+6&lt;$F35,Y$6+6,$F35)-IF(Y$6&gt;$E35,Y$6,$E35)+1)/($F35-$E35+1))))</f>
        <v>0</v>
      </c>
      <c r="Z35" s="104" t="n">
        <f aca="false">IF($E35="",0,IF(Z$6+6&lt;$E35,0,IF(Z$6&gt;$F35,0,$D35*(IF(Z$6+6&lt;$F35,Z$6+6,$F35)-IF(Z$6&gt;$E35,Z$6,$E35)+1)/($F35-$E35+1))))</f>
        <v>0</v>
      </c>
      <c r="AA35" s="104" t="n">
        <f aca="false">IF($E35="",0,IF(AA$6+6&lt;$E35,0,IF(AA$6&gt;$F35,0,$D35*(IF(AA$6+6&lt;$F35,AA$6+6,$F35)-IF(AA$6&gt;$E35,AA$6,$E35)+1)/($F35-$E35+1))))</f>
        <v>0</v>
      </c>
      <c r="AB35" s="104" t="n">
        <f aca="false">IF($E35="",0,IF(AB$6+6&lt;$E35,0,IF(AB$6&gt;$F35,0,$D35*(IF(AB$6+6&lt;$F35,AB$6+6,$F35)-IF(AB$6&gt;$E35,AB$6,$E35)+1)/($F35-$E35+1))))</f>
        <v>0</v>
      </c>
      <c r="AC35" s="104" t="n">
        <f aca="false">IF($E35="",0,IF(AC$6+6&lt;$E35,0,IF(AC$6&gt;$F35,0,$D35*(IF(AC$6+6&lt;$F35,AC$6+6,$F35)-IF(AC$6&gt;$E35,AC$6,$E35)+1)/($F35-$E35+1))))</f>
        <v>0</v>
      </c>
      <c r="AD35" s="104" t="n">
        <f aca="false">IF($E35="",0,IF(AD$6+6&lt;$E35,0,IF(AD$6&gt;$F35,0,$D35*(IF(AD$6+6&lt;$F35,AD$6+6,$F35)-IF(AD$6&gt;$E35,AD$6,$E35)+1)/($F35-$E35+1))))</f>
        <v>0</v>
      </c>
      <c r="AE35" s="104" t="n">
        <f aca="false">IF($E35="",0,IF(AE$6+6&lt;$E35,0,IF(AE$6&gt;$F35,0,$D35*(IF(AE$6+6&lt;$F35,AE$6+6,$F35)-IF(AE$6&gt;$E35,AE$6,$E35)+1)/($F35-$E35+1))))</f>
        <v>0</v>
      </c>
      <c r="AF35" s="104" t="n">
        <f aca="false">IF($E35="",0,IF(AF$6+6&lt;$E35,0,IF(AF$6&gt;$F35,0,$D35*(IF(AF$6+6&lt;$F35,AF$6+6,$F35)-IF(AF$6&gt;$E35,AF$6,$E35)+1)/($F35-$E35+1))))</f>
        <v>0</v>
      </c>
      <c r="AG35" s="104" t="n">
        <f aca="false">IF($E35="",0,IF(AG$6+6&lt;$E35,0,IF(AG$6&gt;$F35,0,$D35*(IF(AG$6+6&lt;$F35,AG$6+6,$F35)-IF(AG$6&gt;$E35,AG$6,$E35)+1)/($F35-$E35+1))))</f>
        <v>0</v>
      </c>
      <c r="AH35" s="104" t="n">
        <f aca="false">IF($E35="",0,IF(AH$6+6&lt;$E35,0,IF(AH$6&gt;$F35,0,$D35*(IF(AH$6+6&lt;$F35,AH$6+6,$F35)-IF(AH$6&gt;$E35,AH$6,$E35)+1)/($F35-$E35+1))))</f>
        <v>0</v>
      </c>
      <c r="AI35" s="104" t="n">
        <f aca="false">IF($E35="",0,IF(AI$6+6&lt;$E35,0,IF(AI$6&gt;$F35,0,$D35*(IF(AI$6+6&lt;$F35,AI$6+6,$F35)-IF(AI$6&gt;$E35,AI$6,$E35)+1)/($F35-$E35+1))))</f>
        <v>0</v>
      </c>
      <c r="AJ35" s="104" t="n">
        <f aca="false">IF($E35="",0,IF(AJ$6+6&lt;$E35,0,IF(AJ$6&gt;$F35,0,$D35*(IF(AJ$6+6&lt;$F35,AJ$6+6,$F35)-IF(AJ$6&gt;$E35,AJ$6,$E35)+1)/($F35-$E35+1))))</f>
        <v>0</v>
      </c>
      <c r="AK35" s="104" t="n">
        <f aca="false">IF($E35="",0,IF(AK$6+6&lt;$E35,0,IF(AK$6&gt;$F35,0,$D35*(IF(AK$6+6&lt;$F35,AK$6+6,$F35)-IF(AK$6&gt;$E35,AK$6,$E35)+1)/($F35-$E35+1))))</f>
        <v>0</v>
      </c>
      <c r="AL35" s="104" t="n">
        <f aca="false">IF($E35="",0,IF(AL$6+6&lt;$E35,0,IF(AL$6&gt;$F35,0,$D35*(IF(AL$6+6&lt;$F35,AL$6+6,$F35)-IF(AL$6&gt;$E35,AL$6,$E35)+1)/($F35-$E35+1))))</f>
        <v>0</v>
      </c>
      <c r="AM35" s="104" t="n">
        <f aca="false">IF($E35="",0,IF(AM$6+6&lt;$E35,0,IF(AM$6&gt;$F35,0,$D35*(IF(AM$6+6&lt;$F35,AM$6+6,$F35)-IF(AM$6&gt;$E35,AM$6,$E35)+1)/($F35-$E35+1))))</f>
        <v>0</v>
      </c>
      <c r="AN35" s="104" t="n">
        <f aca="false">IF($E35="",0,IF(AN$6+6&lt;$E35,0,IF(AN$6&gt;$F35,0,$D35*(IF(AN$6+6&lt;$F35,AN$6+6,$F35)-IF(AN$6&gt;$E35,AN$6,$E35)+1)/($F35-$E35+1))))</f>
        <v>0</v>
      </c>
      <c r="AO35" s="104" t="n">
        <f aca="false">IF($E35="",0,IF(AO$6+6&lt;$E35,0,IF(AO$6&gt;$F35,0,$D35*(IF(AO$6+6&lt;$F35,AO$6+6,$F35)-IF(AO$6&gt;$E35,AO$6,$E35)+1)/($F35-$E35+1))))</f>
        <v>0</v>
      </c>
      <c r="AP35" s="104" t="n">
        <f aca="false">IF($E35="",0,IF(AP$6+6&lt;$E35,0,IF(AP$6&gt;$F35,0,$D35*(IF(AP$6+6&lt;$F35,AP$6+6,$F35)-IF(AP$6&gt;$E35,AP$6,$E35)+1)/($F35-$E35+1))))</f>
        <v>0</v>
      </c>
      <c r="AQ35" s="104" t="n">
        <f aca="false">IF($E35="",0,IF(AQ$6+6&lt;$E35,0,IF(AQ$6&gt;$F35,0,$D35*(IF(AQ$6+6&lt;$F35,AQ$6+6,$F35)-IF(AQ$6&gt;$E35,AQ$6,$E35)+1)/($F35-$E35+1))))</f>
        <v>0</v>
      </c>
      <c r="AR35" s="104" t="n">
        <f aca="false">IF($E35="",0,IF(AR$6+6&lt;$E35,0,IF(AR$6&gt;$F35,0,$D35*(IF(AR$6+6&lt;$F35,AR$6+6,$F35)-IF(AR$6&gt;$E35,AR$6,$E35)+1)/($F35-$E35+1))))</f>
        <v>0</v>
      </c>
      <c r="AS35" s="104" t="n">
        <f aca="false">IF($E35="",0,IF(AS$6+6&lt;$E35,0,IF(AS$6&gt;$F35,0,$D35*(IF(AS$6+6&lt;$F35,AS$6+6,$F35)-IF(AS$6&gt;$E35,AS$6,$E35)+1)/($F35-$E35+1))))</f>
        <v>0</v>
      </c>
      <c r="AT35" s="104" t="n">
        <f aca="false">IF($E35="",0,IF(AT$6+6&lt;$E35,0,IF(AT$6&gt;$F35,0,$D35*(IF(AT$6+6&lt;$F35,AT$6+6,$F35)-IF(AT$6&gt;$E35,AT$6,$E35)+1)/($F35-$E35+1))))</f>
        <v>0</v>
      </c>
      <c r="AU35" s="104" t="n">
        <f aca="false">IF($E35="",0,IF(AU$6+6&lt;$E35,0,IF(AU$6&gt;$F35,0,$D35*(IF(AU$6+6&lt;$F35,AU$6+6,$F35)-IF(AU$6&gt;$E35,AU$6,$E35)+1)/($F35-$E35+1))))</f>
        <v>0</v>
      </c>
      <c r="AV35" s="104" t="n">
        <f aca="false">IF($E35="",0,IF(AV$6+6&lt;$E35,0,IF(AV$6&gt;$F35,0,$D35*(IF(AV$6+6&lt;$F35,AV$6+6,$F35)-IF(AV$6&gt;$E35,AV$6,$E35)+1)/($F35-$E35+1))))</f>
        <v>0</v>
      </c>
      <c r="AW35" s="104" t="n">
        <f aca="false">IF($E35="",0,IF(AW$6+6&lt;$E35,0,IF(AW$6&gt;$F35,0,$D35*(IF(AW$6+6&lt;$F35,AW$6+6,$F35)-IF(AW$6&gt;$E35,AW$6,$E35)+1)/($F35-$E35+1))))</f>
        <v>0</v>
      </c>
      <c r="AX35" s="104" t="n">
        <f aca="false">IF($E35="",0,IF(AX$6+6&lt;$E35,0,IF(AX$6&gt;$F35,0,$D35*(IF(AX$6+6&lt;$F35,AX$6+6,$F35)-IF(AX$6&gt;$E35,AX$6,$E35)+1)/($F35-$E35+1))))</f>
        <v>0</v>
      </c>
      <c r="AY35" s="104" t="n">
        <f aca="false">IF($E35="",0,IF(AY$6+6&lt;$E35,0,IF(AY$6&gt;$F35,0,$D35*(IF(AY$6+6&lt;$F35,AY$6+6,$F35)-IF(AY$6&gt;$E35,AY$6,$E35)+1)/($F35-$E35+1))))</f>
        <v>0</v>
      </c>
      <c r="AZ35" s="104" t="n">
        <f aca="false">IF($E35="",0,IF(AZ$6+6&lt;$E35,0,IF(AZ$6&gt;$F35,0,$D35*(IF(AZ$6+6&lt;$F35,AZ$6+6,$F35)-IF(AZ$6&gt;$E35,AZ$6,$E35)+1)/($F35-$E35+1))))</f>
        <v>0</v>
      </c>
      <c r="BA35" s="104" t="n">
        <f aca="false">IF($E35="",0,IF(BA$6+6&lt;$E35,0,IF(BA$6&gt;$F35,0,$D35*(IF(BA$6+6&lt;$F35,BA$6+6,$F35)-IF(BA$6&gt;$E35,BA$6,$E35)+1)/($F35-$E35+1))))</f>
        <v>0</v>
      </c>
      <c r="BB35" s="104" t="n">
        <f aca="false">IF($E35="",0,IF(BB$6+6&lt;$E35,0,IF(BB$6&gt;$F35,0,$D35*(IF(BB$6+6&lt;$F35,BB$6+6,$F35)-IF(BB$6&gt;$E35,BB$6,$E35)+1)/($F35-$E35+1))))</f>
        <v>0</v>
      </c>
      <c r="BC35" s="104" t="n">
        <f aca="false">IF($E35="",0,IF(BC$6+6&lt;$E35,0,IF(BC$6&gt;$F35,0,$D35*(IF(BC$6+6&lt;$F35,BC$6+6,$F35)-IF(BC$6&gt;$E35,BC$6,$E35)+1)/($F35-$E35+1))))</f>
        <v>0</v>
      </c>
      <c r="BD35" s="104" t="n">
        <f aca="false">IF($E35="",0,IF(BD$6+6&lt;$E35,0,IF(BD$6&gt;$F35,0,$D35*(IF(BD$6+6&lt;$F35,BD$6+6,$F35)-IF(BD$6&gt;$E35,BD$6,$E35)+1)/($F35-$E35+1))))</f>
        <v>0</v>
      </c>
      <c r="BE35" s="104" t="n">
        <f aca="false">IF($E35="",0,IF(BE$6+6&lt;$E35,0,IF(BE$6&gt;$F35,0,$D35*(IF(BE$6+6&lt;$F35,BE$6+6,$F35)-IF(BE$6&gt;$E35,BE$6,$E35)+1)/($F35-$E35+1))))</f>
        <v>0</v>
      </c>
      <c r="BF35" s="104" t="n">
        <f aca="false">IF($E35="",0,IF(BF$6+6&lt;$E35,0,IF(BF$6&gt;$F35,0,$D35*(IF(BF$6+6&lt;$F35,BF$6+6,$F35)-IF(BF$6&gt;$E35,BF$6,$E35)+1)/($F35-$E35+1))))</f>
        <v>0</v>
      </c>
      <c r="BG35" s="104" t="n">
        <f aca="false">IF($E35="",0,IF(BG$6+6&lt;$E35,0,IF(BG$6&gt;$F35,0,$D35*(IF(BG$6+6&lt;$F35,BG$6+6,$F35)-IF(BG$6&gt;$E35,BG$6,$E35)+1)/($F35-$E35+1))))</f>
        <v>0</v>
      </c>
      <c r="BH35" s="104" t="n">
        <f aca="false">IF($E35="",0,IF(BH$6+6&lt;$E35,0,IF(BH$6&gt;$F35,0,$D35*(IF(BH$6+6&lt;$F35,BH$6+6,$F35)-IF(BH$6&gt;$E35,BH$6,$E35)+1)/($F35-$E35+1))))</f>
        <v>0</v>
      </c>
      <c r="BI35" s="104" t="n">
        <f aca="false">IF($E35="",0,IF(BI$6+6&lt;$E35,0,IF(BI$6&gt;$F35,0,$D35*(IF(BI$6+6&lt;$F35,BI$6+6,$F35)-IF(BI$6&gt;$E35,BI$6,$E35)+1)/($F35-$E35+1))))</f>
        <v>0</v>
      </c>
      <c r="BJ35" s="104" t="n">
        <f aca="false">IF($E35="",0,IF(BJ$6+6&lt;$E35,0,IF(BJ$6&gt;$F35,0,$D35*(IF(BJ$6+6&lt;$F35,BJ$6+6,$F35)-IF(BJ$6&gt;$E35,BJ$6,$E35)+1)/($F35-$E35+1))))</f>
        <v>0</v>
      </c>
      <c r="BK35" s="104" t="n">
        <f aca="false">IF($E35="",0,IF(BK$6+6&lt;$E35,0,IF(BK$6&gt;$F35,0,$D35*(IF(BK$6+6&lt;$F35,BK$6+6,$F35)-IF(BK$6&gt;$E35,BK$6,$E35)+1)/($F35-$E35+1))))</f>
        <v>0</v>
      </c>
      <c r="BL35" s="104" t="n">
        <f aca="false">IF($E35="",0,IF(BL$6+6&lt;$E35,0,IF(BL$6&gt;$F35,0,$D35*(IF(BL$6+6&lt;$F35,BL$6+6,$F35)-IF(BL$6&gt;$E35,BL$6,$E35)+1)/($F35-$E35+1))))</f>
        <v>0</v>
      </c>
      <c r="BM35" s="104" t="n">
        <f aca="false">IF($E35="",0,IF(BM$6+6&lt;$E35,0,IF(BM$6&gt;$F35,0,$D35*(IF(BM$6+6&lt;$F35,BM$6+6,$F35)-IF(BM$6&gt;$E35,BM$6,$E35)+1)/($F35-$E35+1))))</f>
        <v>0</v>
      </c>
      <c r="BN35" s="104" t="n">
        <f aca="false">IF($E35="",0,IF(BN$6+6&lt;$E35,0,IF(BN$6&gt;$F35,0,$D35*(IF(BN$6+6&lt;$F35,BN$6+6,$F35)-IF(BN$6&gt;$E35,BN$6,$E35)+1)/($F35-$E35+1))))</f>
        <v>0</v>
      </c>
      <c r="BO35" s="104" t="n">
        <f aca="false">IF($E35="",0,IF(BO$6+6&lt;$E35,0,IF(BO$6&gt;$F35,0,$D35*(IF(BO$6+6&lt;$F35,BO$6+6,$F35)-IF(BO$6&gt;$E35,BO$6,$E35)+1)/($F35-$E35+1))))</f>
        <v>0</v>
      </c>
      <c r="BP35" s="104" t="n">
        <f aca="false">IF($E35="",0,IF(BP$6+6&lt;$E35,0,IF(BP$6&gt;$F35,0,$D35*(IF(BP$6+6&lt;$F35,BP$6+6,$F35)-IF(BP$6&gt;$E35,BP$6,$E35)+1)/($F35-$E35+1))))</f>
        <v>0</v>
      </c>
      <c r="BQ35" s="104" t="n">
        <f aca="false">IF($E35="",0,IF(BQ$6+6&lt;$E35,0,IF(BQ$6&gt;$F35,0,$D35*(IF(BQ$6+6&lt;$F35,BQ$6+6,$F35)-IF(BQ$6&gt;$E35,BQ$6,$E35)+1)/($F35-$E35+1))))</f>
        <v>0</v>
      </c>
      <c r="BR35" s="104" t="n">
        <f aca="false">IF($E35="",0,IF(BR$6+6&lt;$E35,0,IF(BR$6&gt;$F35,0,$D35*(IF(BR$6+6&lt;$F35,BR$6+6,$F35)-IF(BR$6&gt;$E35,BR$6,$E35)+1)/($F35-$E35+1))))</f>
        <v>0</v>
      </c>
      <c r="BS35" s="104" t="n">
        <f aca="false">IF($E35="",0,IF(BS$6+6&lt;$E35,0,IF(BS$6&gt;$F35,0,$D35*(IF(BS$6+6&lt;$F35,BS$6+6,$F35)-IF(BS$6&gt;$E35,BS$6,$E35)+1)/($F35-$E35+1))))</f>
        <v>0</v>
      </c>
      <c r="BT35" s="104" t="n">
        <f aca="false">IF($E35="",0,IF(BT$6+6&lt;$E35,0,IF(BT$6&gt;$F35,0,$D35*(IF(BT$6+6&lt;$F35,BT$6+6,$F35)-IF(BT$6&gt;$E35,BT$6,$E35)+1)/($F35-$E35+1))))</f>
        <v>0</v>
      </c>
      <c r="BU35" s="104" t="n">
        <f aca="false">IF($E35="",0,IF(BU$6+6&lt;$E35,0,IF(BU$6&gt;$F35,0,$D35*(IF(BU$6+6&lt;$F35,BU$6+6,$F35)-IF(BU$6&gt;$E35,BU$6,$E35)+1)/($F35-$E35+1))))</f>
        <v>0</v>
      </c>
      <c r="BV35" s="104" t="n">
        <f aca="false">IF($E35="",0,IF(BV$6+6&lt;$E35,0,IF(BV$6&gt;$F35,0,$D35*(IF(BV$6+6&lt;$F35,BV$6+6,$F35)-IF(BV$6&gt;$E35,BV$6,$E35)+1)/($F35-$E35+1))))</f>
        <v>0</v>
      </c>
      <c r="BW35" s="104" t="n">
        <f aca="false">IF($E35="",0,IF(BW$6+6&lt;$E35,0,IF(BW$6&gt;$F35,0,$D35*(IF(BW$6+6&lt;$F35,BW$6+6,$F35)-IF(BW$6&gt;$E35,BW$6,$E35)+1)/($F35-$E35+1))))</f>
        <v>0</v>
      </c>
      <c r="BX35" s="104" t="n">
        <f aca="false">IF($E35="",0,IF(BX$6+6&lt;$E35,0,IF(BX$6&gt;$F35,0,$D35*(IF(BX$6+6&lt;$F35,BX$6+6,$F35)-IF(BX$6&gt;$E35,BX$6,$E35)+1)/($F35-$E35+1))))</f>
        <v>0</v>
      </c>
      <c r="BY35" s="104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101"/>
      <c r="B36" s="101"/>
      <c r="C36" s="101" t="s">
        <v>695</v>
      </c>
      <c r="D36" s="102"/>
      <c r="E36" s="105" t="n">
        <v>46259</v>
      </c>
      <c r="F36" s="105" t="n">
        <v>46261</v>
      </c>
      <c r="G36" s="106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 t="n">
        <v>5</v>
      </c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</row>
    <row r="37" customFormat="false" ht="15" hidden="false" customHeight="false" outlineLevel="0" collapsed="false">
      <c r="A37" s="101" t="s">
        <v>451</v>
      </c>
      <c r="B37" s="101" t="s">
        <v>710</v>
      </c>
      <c r="C37" s="101" t="s">
        <v>694</v>
      </c>
      <c r="D37" s="102" t="n">
        <v>5</v>
      </c>
      <c r="E37" s="103" t="n">
        <v>46263</v>
      </c>
      <c r="F37" s="103" t="n">
        <v>46268</v>
      </c>
      <c r="G37" s="101" t="n">
        <v>5</v>
      </c>
      <c r="H37" s="104" t="n">
        <f aca="false">IF($E37="",0,IF(H$6+6&lt;$E37,0,IF(H$6&gt;$F37,0,$D37*(IF(H$6+6&lt;$F37,H$6+6,$F37)-IF(H$6&gt;$E37,H$6,$E37)+1)/($F37-$E37+1))))</f>
        <v>0</v>
      </c>
      <c r="I37" s="104" t="n">
        <f aca="false">IF($E37="",0,IF(I$6+6&lt;$E37,0,IF(I$6&gt;$F37,0,$D37*(IF(I$6+6&lt;$F37,I$6+6,$F37)-IF(I$6&gt;$E37,I$6,$E37)+1)/($F37-$E37+1))))</f>
        <v>0</v>
      </c>
      <c r="J37" s="104" t="n">
        <f aca="false">IF($E37="",0,IF(J$6+6&lt;$E37,0,IF(J$6&gt;$F37,0,$D37*(IF(J$6+6&lt;$F37,J$6+6,$F37)-IF(J$6&gt;$E37,J$6,$E37)+1)/($F37-$E37+1))))</f>
        <v>0</v>
      </c>
      <c r="K37" s="104" t="n">
        <f aca="false">IF($E37="",0,IF(K$6+6&lt;$E37,0,IF(K$6&gt;$F37,0,$D37*(IF(K$6+6&lt;$F37,K$6+6,$F37)-IF(K$6&gt;$E37,K$6,$E37)+1)/($F37-$E37+1))))</f>
        <v>0</v>
      </c>
      <c r="L37" s="104" t="n">
        <f aca="false">IF($E37="",0,IF(L$6+6&lt;$E37,0,IF(L$6&gt;$F37,0,$D37*(IF(L$6+6&lt;$F37,L$6+6,$F37)-IF(L$6&gt;$E37,L$6,$E37)+1)/($F37-$E37+1))))</f>
        <v>0</v>
      </c>
      <c r="M37" s="104" t="n">
        <f aca="false">IF($E37="",0,IF(M$6+6&lt;$E37,0,IF(M$6&gt;$F37,0,$D37*(IF(M$6+6&lt;$F37,M$6+6,$F37)-IF(M$6&gt;$E37,M$6,$E37)+1)/($F37-$E37+1))))</f>
        <v>0</v>
      </c>
      <c r="N37" s="104" t="n">
        <f aca="false">IF($E37="",0,IF(N$6+6&lt;$E37,0,IF(N$6&gt;$F37,0,$D37*(IF(N$6+6&lt;$F37,N$6+6,$F37)-IF(N$6&gt;$E37,N$6,$E37)+1)/($F37-$E37+1))))</f>
        <v>0</v>
      </c>
      <c r="O37" s="104" t="n">
        <f aca="false">IF($E37="",0,IF(O$6+6&lt;$E37,0,IF(O$6&gt;$F37,0,$D37*(IF(O$6+6&lt;$F37,O$6+6,$F37)-IF(O$6&gt;$E37,O$6,$E37)+1)/($F37-$E37+1))))</f>
        <v>0</v>
      </c>
      <c r="P37" s="104" t="n">
        <f aca="false">IF($E37="",0,IF(P$6+6&lt;$E37,0,IF(P$6&gt;$F37,0,$D37*(IF(P$6+6&lt;$F37,P$6+6,$F37)-IF(P$6&gt;$E37,P$6,$E37)+1)/($F37-$E37+1))))</f>
        <v>0</v>
      </c>
      <c r="Q37" s="104" t="n">
        <f aca="false">IF($E37="",0,IF(Q$6+6&lt;$E37,0,IF(Q$6&gt;$F37,0,$D37*(IF(Q$6+6&lt;$F37,Q$6+6,$F37)-IF(Q$6&gt;$E37,Q$6,$E37)+1)/($F37-$E37+1))))</f>
        <v>0</v>
      </c>
      <c r="R37" s="104" t="n">
        <f aca="false">IF($E37="",0,IF(R$6+6&lt;$E37,0,IF(R$6&gt;$F37,0,$D37*(IF(R$6+6&lt;$F37,R$6+6,$F37)-IF(R$6&gt;$E37,R$6,$E37)+1)/($F37-$E37+1))))</f>
        <v>0</v>
      </c>
      <c r="S37" s="104" t="n">
        <f aca="false">IF($E37="",0,IF(S$6+6&lt;$E37,0,IF(S$6&gt;$F37,0,$D37*(IF(S$6+6&lt;$F37,S$6+6,$F37)-IF(S$6&gt;$E37,S$6,$E37)+1)/($F37-$E37+1))))</f>
        <v>0</v>
      </c>
      <c r="T37" s="104" t="n">
        <f aca="false">IF($E37="",0,IF(T$6+6&lt;$E37,0,IF(T$6&gt;$F37,0,$D37*(IF(T$6+6&lt;$F37,T$6+6,$F37)-IF(T$6&gt;$E37,T$6,$E37)+1)/($F37-$E37+1))))</f>
        <v>0</v>
      </c>
      <c r="U37" s="104" t="n">
        <f aca="false">IF($E37="",0,IF(U$6+6&lt;$E37,0,IF(U$6&gt;$F37,0,$D37*(IF(U$6+6&lt;$F37,U$6+6,$F37)-IF(U$6&gt;$E37,U$6,$E37)+1)/($F37-$E37+1))))</f>
        <v>0</v>
      </c>
      <c r="V37" s="104" t="n">
        <f aca="false">IF($E37="",0,IF(V$6+6&lt;$E37,0,IF(V$6&gt;$F37,0,$D37*(IF(V$6+6&lt;$F37,V$6+6,$F37)-IF(V$6&gt;$E37,V$6,$E37)+1)/($F37-$E37+1))))</f>
        <v>1.66666666666667</v>
      </c>
      <c r="W37" s="104" t="n">
        <f aca="false">IF($E37="",0,IF(W$6+6&lt;$E37,0,IF(W$6&gt;$F37,0,$D37*(IF(W$6+6&lt;$F37,W$6+6,$F37)-IF(W$6&gt;$E37,W$6,$E37)+1)/($F37-$E37+1))))</f>
        <v>3.33333333333333</v>
      </c>
      <c r="X37" s="104" t="n">
        <f aca="false">IF($E37="",0,IF(X$6+6&lt;$E37,0,IF(X$6&gt;$F37,0,$D37*(IF(X$6+6&lt;$F37,X$6+6,$F37)-IF(X$6&gt;$E37,X$6,$E37)+1)/($F37-$E37+1))))</f>
        <v>0</v>
      </c>
      <c r="Y37" s="104" t="n">
        <f aca="false">IF($E37="",0,IF(Y$6+6&lt;$E37,0,IF(Y$6&gt;$F37,0,$D37*(IF(Y$6+6&lt;$F37,Y$6+6,$F37)-IF(Y$6&gt;$E37,Y$6,$E37)+1)/($F37-$E37+1))))</f>
        <v>0</v>
      </c>
      <c r="Z37" s="104" t="n">
        <f aca="false">IF($E37="",0,IF(Z$6+6&lt;$E37,0,IF(Z$6&gt;$F37,0,$D37*(IF(Z$6+6&lt;$F37,Z$6+6,$F37)-IF(Z$6&gt;$E37,Z$6,$E37)+1)/($F37-$E37+1))))</f>
        <v>0</v>
      </c>
      <c r="AA37" s="104" t="n">
        <f aca="false">IF($E37="",0,IF(AA$6+6&lt;$E37,0,IF(AA$6&gt;$F37,0,$D37*(IF(AA$6+6&lt;$F37,AA$6+6,$F37)-IF(AA$6&gt;$E37,AA$6,$E37)+1)/($F37-$E37+1))))</f>
        <v>0</v>
      </c>
      <c r="AB37" s="104" t="n">
        <f aca="false">IF($E37="",0,IF(AB$6+6&lt;$E37,0,IF(AB$6&gt;$F37,0,$D37*(IF(AB$6+6&lt;$F37,AB$6+6,$F37)-IF(AB$6&gt;$E37,AB$6,$E37)+1)/($F37-$E37+1))))</f>
        <v>0</v>
      </c>
      <c r="AC37" s="104" t="n">
        <f aca="false">IF($E37="",0,IF(AC$6+6&lt;$E37,0,IF(AC$6&gt;$F37,0,$D37*(IF(AC$6+6&lt;$F37,AC$6+6,$F37)-IF(AC$6&gt;$E37,AC$6,$E37)+1)/($F37-$E37+1))))</f>
        <v>0</v>
      </c>
      <c r="AD37" s="104" t="n">
        <f aca="false">IF($E37="",0,IF(AD$6+6&lt;$E37,0,IF(AD$6&gt;$F37,0,$D37*(IF(AD$6+6&lt;$F37,AD$6+6,$F37)-IF(AD$6&gt;$E37,AD$6,$E37)+1)/($F37-$E37+1))))</f>
        <v>0</v>
      </c>
      <c r="AE37" s="104" t="n">
        <f aca="false">IF($E37="",0,IF(AE$6+6&lt;$E37,0,IF(AE$6&gt;$F37,0,$D37*(IF(AE$6+6&lt;$F37,AE$6+6,$F37)-IF(AE$6&gt;$E37,AE$6,$E37)+1)/($F37-$E37+1))))</f>
        <v>0</v>
      </c>
      <c r="AF37" s="104" t="n">
        <f aca="false">IF($E37="",0,IF(AF$6+6&lt;$E37,0,IF(AF$6&gt;$F37,0,$D37*(IF(AF$6+6&lt;$F37,AF$6+6,$F37)-IF(AF$6&gt;$E37,AF$6,$E37)+1)/($F37-$E37+1))))</f>
        <v>0</v>
      </c>
      <c r="AG37" s="104" t="n">
        <f aca="false">IF($E37="",0,IF(AG$6+6&lt;$E37,0,IF(AG$6&gt;$F37,0,$D37*(IF(AG$6+6&lt;$F37,AG$6+6,$F37)-IF(AG$6&gt;$E37,AG$6,$E37)+1)/($F37-$E37+1))))</f>
        <v>0</v>
      </c>
      <c r="AH37" s="104" t="n">
        <f aca="false">IF($E37="",0,IF(AH$6+6&lt;$E37,0,IF(AH$6&gt;$F37,0,$D37*(IF(AH$6+6&lt;$F37,AH$6+6,$F37)-IF(AH$6&gt;$E37,AH$6,$E37)+1)/($F37-$E37+1))))</f>
        <v>0</v>
      </c>
      <c r="AI37" s="104" t="n">
        <f aca="false">IF($E37="",0,IF(AI$6+6&lt;$E37,0,IF(AI$6&gt;$F37,0,$D37*(IF(AI$6+6&lt;$F37,AI$6+6,$F37)-IF(AI$6&gt;$E37,AI$6,$E37)+1)/($F37-$E37+1))))</f>
        <v>0</v>
      </c>
      <c r="AJ37" s="104" t="n">
        <f aca="false">IF($E37="",0,IF(AJ$6+6&lt;$E37,0,IF(AJ$6&gt;$F37,0,$D37*(IF(AJ$6+6&lt;$F37,AJ$6+6,$F37)-IF(AJ$6&gt;$E37,AJ$6,$E37)+1)/($F37-$E37+1))))</f>
        <v>0</v>
      </c>
      <c r="AK37" s="104" t="n">
        <f aca="false">IF($E37="",0,IF(AK$6+6&lt;$E37,0,IF(AK$6&gt;$F37,0,$D37*(IF(AK$6+6&lt;$F37,AK$6+6,$F37)-IF(AK$6&gt;$E37,AK$6,$E37)+1)/($F37-$E37+1))))</f>
        <v>0</v>
      </c>
      <c r="AL37" s="104" t="n">
        <f aca="false">IF($E37="",0,IF(AL$6+6&lt;$E37,0,IF(AL$6&gt;$F37,0,$D37*(IF(AL$6+6&lt;$F37,AL$6+6,$F37)-IF(AL$6&gt;$E37,AL$6,$E37)+1)/($F37-$E37+1))))</f>
        <v>0</v>
      </c>
      <c r="AM37" s="104" t="n">
        <f aca="false">IF($E37="",0,IF(AM$6+6&lt;$E37,0,IF(AM$6&gt;$F37,0,$D37*(IF(AM$6+6&lt;$F37,AM$6+6,$F37)-IF(AM$6&gt;$E37,AM$6,$E37)+1)/($F37-$E37+1))))</f>
        <v>0</v>
      </c>
      <c r="AN37" s="104" t="n">
        <f aca="false">IF($E37="",0,IF(AN$6+6&lt;$E37,0,IF(AN$6&gt;$F37,0,$D37*(IF(AN$6+6&lt;$F37,AN$6+6,$F37)-IF(AN$6&gt;$E37,AN$6,$E37)+1)/($F37-$E37+1))))</f>
        <v>0</v>
      </c>
      <c r="AO37" s="104" t="n">
        <f aca="false">IF($E37="",0,IF(AO$6+6&lt;$E37,0,IF(AO$6&gt;$F37,0,$D37*(IF(AO$6+6&lt;$F37,AO$6+6,$F37)-IF(AO$6&gt;$E37,AO$6,$E37)+1)/($F37-$E37+1))))</f>
        <v>0</v>
      </c>
      <c r="AP37" s="104" t="n">
        <f aca="false">IF($E37="",0,IF(AP$6+6&lt;$E37,0,IF(AP$6&gt;$F37,0,$D37*(IF(AP$6+6&lt;$F37,AP$6+6,$F37)-IF(AP$6&gt;$E37,AP$6,$E37)+1)/($F37-$E37+1))))</f>
        <v>0</v>
      </c>
      <c r="AQ37" s="104" t="n">
        <f aca="false">IF($E37="",0,IF(AQ$6+6&lt;$E37,0,IF(AQ$6&gt;$F37,0,$D37*(IF(AQ$6+6&lt;$F37,AQ$6+6,$F37)-IF(AQ$6&gt;$E37,AQ$6,$E37)+1)/($F37-$E37+1))))</f>
        <v>0</v>
      </c>
      <c r="AR37" s="104" t="n">
        <f aca="false">IF($E37="",0,IF(AR$6+6&lt;$E37,0,IF(AR$6&gt;$F37,0,$D37*(IF(AR$6+6&lt;$F37,AR$6+6,$F37)-IF(AR$6&gt;$E37,AR$6,$E37)+1)/($F37-$E37+1))))</f>
        <v>0</v>
      </c>
      <c r="AS37" s="104" t="n">
        <f aca="false">IF($E37="",0,IF(AS$6+6&lt;$E37,0,IF(AS$6&gt;$F37,0,$D37*(IF(AS$6+6&lt;$F37,AS$6+6,$F37)-IF(AS$6&gt;$E37,AS$6,$E37)+1)/($F37-$E37+1))))</f>
        <v>0</v>
      </c>
      <c r="AT37" s="104" t="n">
        <f aca="false">IF($E37="",0,IF(AT$6+6&lt;$E37,0,IF(AT$6&gt;$F37,0,$D37*(IF(AT$6+6&lt;$F37,AT$6+6,$F37)-IF(AT$6&gt;$E37,AT$6,$E37)+1)/($F37-$E37+1))))</f>
        <v>0</v>
      </c>
      <c r="AU37" s="104" t="n">
        <f aca="false">IF($E37="",0,IF(AU$6+6&lt;$E37,0,IF(AU$6&gt;$F37,0,$D37*(IF(AU$6+6&lt;$F37,AU$6+6,$F37)-IF(AU$6&gt;$E37,AU$6,$E37)+1)/($F37-$E37+1))))</f>
        <v>0</v>
      </c>
      <c r="AV37" s="104" t="n">
        <f aca="false">IF($E37="",0,IF(AV$6+6&lt;$E37,0,IF(AV$6&gt;$F37,0,$D37*(IF(AV$6+6&lt;$F37,AV$6+6,$F37)-IF(AV$6&gt;$E37,AV$6,$E37)+1)/($F37-$E37+1))))</f>
        <v>0</v>
      </c>
      <c r="AW37" s="104" t="n">
        <f aca="false">IF($E37="",0,IF(AW$6+6&lt;$E37,0,IF(AW$6&gt;$F37,0,$D37*(IF(AW$6+6&lt;$F37,AW$6+6,$F37)-IF(AW$6&gt;$E37,AW$6,$E37)+1)/($F37-$E37+1))))</f>
        <v>0</v>
      </c>
      <c r="AX37" s="104" t="n">
        <f aca="false">IF($E37="",0,IF(AX$6+6&lt;$E37,0,IF(AX$6&gt;$F37,0,$D37*(IF(AX$6+6&lt;$F37,AX$6+6,$F37)-IF(AX$6&gt;$E37,AX$6,$E37)+1)/($F37-$E37+1))))</f>
        <v>0</v>
      </c>
      <c r="AY37" s="104" t="n">
        <f aca="false">IF($E37="",0,IF(AY$6+6&lt;$E37,0,IF(AY$6&gt;$F37,0,$D37*(IF(AY$6+6&lt;$F37,AY$6+6,$F37)-IF(AY$6&gt;$E37,AY$6,$E37)+1)/($F37-$E37+1))))</f>
        <v>0</v>
      </c>
      <c r="AZ37" s="104" t="n">
        <f aca="false">IF($E37="",0,IF(AZ$6+6&lt;$E37,0,IF(AZ$6&gt;$F37,0,$D37*(IF(AZ$6+6&lt;$F37,AZ$6+6,$F37)-IF(AZ$6&gt;$E37,AZ$6,$E37)+1)/($F37-$E37+1))))</f>
        <v>0</v>
      </c>
      <c r="BA37" s="104" t="n">
        <f aca="false">IF($E37="",0,IF(BA$6+6&lt;$E37,0,IF(BA$6&gt;$F37,0,$D37*(IF(BA$6+6&lt;$F37,BA$6+6,$F37)-IF(BA$6&gt;$E37,BA$6,$E37)+1)/($F37-$E37+1))))</f>
        <v>0</v>
      </c>
      <c r="BB37" s="104" t="n">
        <f aca="false">IF($E37="",0,IF(BB$6+6&lt;$E37,0,IF(BB$6&gt;$F37,0,$D37*(IF(BB$6+6&lt;$F37,BB$6+6,$F37)-IF(BB$6&gt;$E37,BB$6,$E37)+1)/($F37-$E37+1))))</f>
        <v>0</v>
      </c>
      <c r="BC37" s="104" t="n">
        <f aca="false">IF($E37="",0,IF(BC$6+6&lt;$E37,0,IF(BC$6&gt;$F37,0,$D37*(IF(BC$6+6&lt;$F37,BC$6+6,$F37)-IF(BC$6&gt;$E37,BC$6,$E37)+1)/($F37-$E37+1))))</f>
        <v>0</v>
      </c>
      <c r="BD37" s="104" t="n">
        <f aca="false">IF($E37="",0,IF(BD$6+6&lt;$E37,0,IF(BD$6&gt;$F37,0,$D37*(IF(BD$6+6&lt;$F37,BD$6+6,$F37)-IF(BD$6&gt;$E37,BD$6,$E37)+1)/($F37-$E37+1))))</f>
        <v>0</v>
      </c>
      <c r="BE37" s="104" t="n">
        <f aca="false">IF($E37="",0,IF(BE$6+6&lt;$E37,0,IF(BE$6&gt;$F37,0,$D37*(IF(BE$6+6&lt;$F37,BE$6+6,$F37)-IF(BE$6&gt;$E37,BE$6,$E37)+1)/($F37-$E37+1))))</f>
        <v>0</v>
      </c>
      <c r="BF37" s="104" t="n">
        <f aca="false">IF($E37="",0,IF(BF$6+6&lt;$E37,0,IF(BF$6&gt;$F37,0,$D37*(IF(BF$6+6&lt;$F37,BF$6+6,$F37)-IF(BF$6&gt;$E37,BF$6,$E37)+1)/($F37-$E37+1))))</f>
        <v>0</v>
      </c>
      <c r="BG37" s="104" t="n">
        <f aca="false">IF($E37="",0,IF(BG$6+6&lt;$E37,0,IF(BG$6&gt;$F37,0,$D37*(IF(BG$6+6&lt;$F37,BG$6+6,$F37)-IF(BG$6&gt;$E37,BG$6,$E37)+1)/($F37-$E37+1))))</f>
        <v>0</v>
      </c>
      <c r="BH37" s="104" t="n">
        <f aca="false">IF($E37="",0,IF(BH$6+6&lt;$E37,0,IF(BH$6&gt;$F37,0,$D37*(IF(BH$6+6&lt;$F37,BH$6+6,$F37)-IF(BH$6&gt;$E37,BH$6,$E37)+1)/($F37-$E37+1))))</f>
        <v>0</v>
      </c>
      <c r="BI37" s="104" t="n">
        <f aca="false">IF($E37="",0,IF(BI$6+6&lt;$E37,0,IF(BI$6&gt;$F37,0,$D37*(IF(BI$6+6&lt;$F37,BI$6+6,$F37)-IF(BI$6&gt;$E37,BI$6,$E37)+1)/($F37-$E37+1))))</f>
        <v>0</v>
      </c>
      <c r="BJ37" s="104" t="n">
        <f aca="false">IF($E37="",0,IF(BJ$6+6&lt;$E37,0,IF(BJ$6&gt;$F37,0,$D37*(IF(BJ$6+6&lt;$F37,BJ$6+6,$F37)-IF(BJ$6&gt;$E37,BJ$6,$E37)+1)/($F37-$E37+1))))</f>
        <v>0</v>
      </c>
      <c r="BK37" s="104" t="n">
        <f aca="false">IF($E37="",0,IF(BK$6+6&lt;$E37,0,IF(BK$6&gt;$F37,0,$D37*(IF(BK$6+6&lt;$F37,BK$6+6,$F37)-IF(BK$6&gt;$E37,BK$6,$E37)+1)/($F37-$E37+1))))</f>
        <v>0</v>
      </c>
      <c r="BL37" s="104" t="n">
        <f aca="false">IF($E37="",0,IF(BL$6+6&lt;$E37,0,IF(BL$6&gt;$F37,0,$D37*(IF(BL$6+6&lt;$F37,BL$6+6,$F37)-IF(BL$6&gt;$E37,BL$6,$E37)+1)/($F37-$E37+1))))</f>
        <v>0</v>
      </c>
      <c r="BM37" s="104" t="n">
        <f aca="false">IF($E37="",0,IF(BM$6+6&lt;$E37,0,IF(BM$6&gt;$F37,0,$D37*(IF(BM$6+6&lt;$F37,BM$6+6,$F37)-IF(BM$6&gt;$E37,BM$6,$E37)+1)/($F37-$E37+1))))</f>
        <v>0</v>
      </c>
      <c r="BN37" s="104" t="n">
        <f aca="false">IF($E37="",0,IF(BN$6+6&lt;$E37,0,IF(BN$6&gt;$F37,0,$D37*(IF(BN$6+6&lt;$F37,BN$6+6,$F37)-IF(BN$6&gt;$E37,BN$6,$E37)+1)/($F37-$E37+1))))</f>
        <v>0</v>
      </c>
      <c r="BO37" s="104" t="n">
        <f aca="false">IF($E37="",0,IF(BO$6+6&lt;$E37,0,IF(BO$6&gt;$F37,0,$D37*(IF(BO$6+6&lt;$F37,BO$6+6,$F37)-IF(BO$6&gt;$E37,BO$6,$E37)+1)/($F37-$E37+1))))</f>
        <v>0</v>
      </c>
      <c r="BP37" s="104" t="n">
        <f aca="false">IF($E37="",0,IF(BP$6+6&lt;$E37,0,IF(BP$6&gt;$F37,0,$D37*(IF(BP$6+6&lt;$F37,BP$6+6,$F37)-IF(BP$6&gt;$E37,BP$6,$E37)+1)/($F37-$E37+1))))</f>
        <v>0</v>
      </c>
      <c r="BQ37" s="104" t="n">
        <f aca="false">IF($E37="",0,IF(BQ$6+6&lt;$E37,0,IF(BQ$6&gt;$F37,0,$D37*(IF(BQ$6+6&lt;$F37,BQ$6+6,$F37)-IF(BQ$6&gt;$E37,BQ$6,$E37)+1)/($F37-$E37+1))))</f>
        <v>0</v>
      </c>
      <c r="BR37" s="104" t="n">
        <f aca="false">IF($E37="",0,IF(BR$6+6&lt;$E37,0,IF(BR$6&gt;$F37,0,$D37*(IF(BR$6+6&lt;$F37,BR$6+6,$F37)-IF(BR$6&gt;$E37,BR$6,$E37)+1)/($F37-$E37+1))))</f>
        <v>0</v>
      </c>
      <c r="BS37" s="104" t="n">
        <f aca="false">IF($E37="",0,IF(BS$6+6&lt;$E37,0,IF(BS$6&gt;$F37,0,$D37*(IF(BS$6+6&lt;$F37,BS$6+6,$F37)-IF(BS$6&gt;$E37,BS$6,$E37)+1)/($F37-$E37+1))))</f>
        <v>0</v>
      </c>
      <c r="BT37" s="104" t="n">
        <f aca="false">IF($E37="",0,IF(BT$6+6&lt;$E37,0,IF(BT$6&gt;$F37,0,$D37*(IF(BT$6+6&lt;$F37,BT$6+6,$F37)-IF(BT$6&gt;$E37,BT$6,$E37)+1)/($F37-$E37+1))))</f>
        <v>0</v>
      </c>
      <c r="BU37" s="104" t="n">
        <f aca="false">IF($E37="",0,IF(BU$6+6&lt;$E37,0,IF(BU$6&gt;$F37,0,$D37*(IF(BU$6+6&lt;$F37,BU$6+6,$F37)-IF(BU$6&gt;$E37,BU$6,$E37)+1)/($F37-$E37+1))))</f>
        <v>0</v>
      </c>
      <c r="BV37" s="104" t="n">
        <f aca="false">IF($E37="",0,IF(BV$6+6&lt;$E37,0,IF(BV$6&gt;$F37,0,$D37*(IF(BV$6+6&lt;$F37,BV$6+6,$F37)-IF(BV$6&gt;$E37,BV$6,$E37)+1)/($F37-$E37+1))))</f>
        <v>0</v>
      </c>
      <c r="BW37" s="104" t="n">
        <f aca="false">IF($E37="",0,IF(BW$6+6&lt;$E37,0,IF(BW$6&gt;$F37,0,$D37*(IF(BW$6+6&lt;$F37,BW$6+6,$F37)-IF(BW$6&gt;$E37,BW$6,$E37)+1)/($F37-$E37+1))))</f>
        <v>0</v>
      </c>
      <c r="BX37" s="104" t="n">
        <f aca="false">IF($E37="",0,IF(BX$6+6&lt;$E37,0,IF(BX$6&gt;$F37,0,$D37*(IF(BX$6+6&lt;$F37,BX$6+6,$F37)-IF(BX$6&gt;$E37,BX$6,$E37)+1)/($F37-$E37+1))))</f>
        <v>0</v>
      </c>
      <c r="BY37" s="104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101"/>
      <c r="B38" s="101"/>
      <c r="C38" s="101" t="s">
        <v>695</v>
      </c>
      <c r="D38" s="102"/>
      <c r="E38" s="105" t="n">
        <v>46260</v>
      </c>
      <c r="F38" s="105" t="n">
        <v>46262</v>
      </c>
      <c r="G38" s="106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 t="n">
        <v>5</v>
      </c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</row>
    <row r="39" customFormat="false" ht="15" hidden="false" customHeight="false" outlineLevel="0" collapsed="false">
      <c r="A39" s="101" t="s">
        <v>477</v>
      </c>
      <c r="B39" s="101" t="s">
        <v>711</v>
      </c>
      <c r="C39" s="101" t="s">
        <v>694</v>
      </c>
      <c r="D39" s="102" t="n">
        <v>2.5</v>
      </c>
      <c r="E39" s="103" t="n">
        <v>46265</v>
      </c>
      <c r="F39" s="103" t="n">
        <v>46269</v>
      </c>
      <c r="G39" s="101" t="n">
        <v>4</v>
      </c>
      <c r="H39" s="104" t="n">
        <f aca="false">IF($E39="",0,IF(H$6+6&lt;$E39,0,IF(H$6&gt;$F39,0,$D39*(IF(H$6+6&lt;$F39,H$6+6,$F39)-IF(H$6&gt;$E39,H$6,$E39)+1)/($F39-$E39+1))))</f>
        <v>0</v>
      </c>
      <c r="I39" s="104" t="n">
        <f aca="false">IF($E39="",0,IF(I$6+6&lt;$E39,0,IF(I$6&gt;$F39,0,$D39*(IF(I$6+6&lt;$F39,I$6+6,$F39)-IF(I$6&gt;$E39,I$6,$E39)+1)/($F39-$E39+1))))</f>
        <v>0</v>
      </c>
      <c r="J39" s="104" t="n">
        <f aca="false">IF($E39="",0,IF(J$6+6&lt;$E39,0,IF(J$6&gt;$F39,0,$D39*(IF(J$6+6&lt;$F39,J$6+6,$F39)-IF(J$6&gt;$E39,J$6,$E39)+1)/($F39-$E39+1))))</f>
        <v>0</v>
      </c>
      <c r="K39" s="104" t="n">
        <f aca="false">IF($E39="",0,IF(K$6+6&lt;$E39,0,IF(K$6&gt;$F39,0,$D39*(IF(K$6+6&lt;$F39,K$6+6,$F39)-IF(K$6&gt;$E39,K$6,$E39)+1)/($F39-$E39+1))))</f>
        <v>0</v>
      </c>
      <c r="L39" s="104" t="n">
        <f aca="false">IF($E39="",0,IF(L$6+6&lt;$E39,0,IF(L$6&gt;$F39,0,$D39*(IF(L$6+6&lt;$F39,L$6+6,$F39)-IF(L$6&gt;$E39,L$6,$E39)+1)/($F39-$E39+1))))</f>
        <v>0</v>
      </c>
      <c r="M39" s="104" t="n">
        <f aca="false">IF($E39="",0,IF(M$6+6&lt;$E39,0,IF(M$6&gt;$F39,0,$D39*(IF(M$6+6&lt;$F39,M$6+6,$F39)-IF(M$6&gt;$E39,M$6,$E39)+1)/($F39-$E39+1))))</f>
        <v>0</v>
      </c>
      <c r="N39" s="104" t="n">
        <f aca="false">IF($E39="",0,IF(N$6+6&lt;$E39,0,IF(N$6&gt;$F39,0,$D39*(IF(N$6+6&lt;$F39,N$6+6,$F39)-IF(N$6&gt;$E39,N$6,$E39)+1)/($F39-$E39+1))))</f>
        <v>0</v>
      </c>
      <c r="O39" s="104" t="n">
        <f aca="false">IF($E39="",0,IF(O$6+6&lt;$E39,0,IF(O$6&gt;$F39,0,$D39*(IF(O$6+6&lt;$F39,O$6+6,$F39)-IF(O$6&gt;$E39,O$6,$E39)+1)/($F39-$E39+1))))</f>
        <v>0</v>
      </c>
      <c r="P39" s="104" t="n">
        <f aca="false">IF($E39="",0,IF(P$6+6&lt;$E39,0,IF(P$6&gt;$F39,0,$D39*(IF(P$6+6&lt;$F39,P$6+6,$F39)-IF(P$6&gt;$E39,P$6,$E39)+1)/($F39-$E39+1))))</f>
        <v>0</v>
      </c>
      <c r="Q39" s="104" t="n">
        <f aca="false">IF($E39="",0,IF(Q$6+6&lt;$E39,0,IF(Q$6&gt;$F39,0,$D39*(IF(Q$6+6&lt;$F39,Q$6+6,$F39)-IF(Q$6&gt;$E39,Q$6,$E39)+1)/($F39-$E39+1))))</f>
        <v>0</v>
      </c>
      <c r="R39" s="104" t="n">
        <f aca="false">IF($E39="",0,IF(R$6+6&lt;$E39,0,IF(R$6&gt;$F39,0,$D39*(IF(R$6+6&lt;$F39,R$6+6,$F39)-IF(R$6&gt;$E39,R$6,$E39)+1)/($F39-$E39+1))))</f>
        <v>0</v>
      </c>
      <c r="S39" s="104" t="n">
        <f aca="false">IF($E39="",0,IF(S$6+6&lt;$E39,0,IF(S$6&gt;$F39,0,$D39*(IF(S$6+6&lt;$F39,S$6+6,$F39)-IF(S$6&gt;$E39,S$6,$E39)+1)/($F39-$E39+1))))</f>
        <v>0</v>
      </c>
      <c r="T39" s="104" t="n">
        <f aca="false">IF($E39="",0,IF(T$6+6&lt;$E39,0,IF(T$6&gt;$F39,0,$D39*(IF(T$6+6&lt;$F39,T$6+6,$F39)-IF(T$6&gt;$E39,T$6,$E39)+1)/($F39-$E39+1))))</f>
        <v>0</v>
      </c>
      <c r="U39" s="104" t="n">
        <f aca="false">IF($E39="",0,IF(U$6+6&lt;$E39,0,IF(U$6&gt;$F39,0,$D39*(IF(U$6+6&lt;$F39,U$6+6,$F39)-IF(U$6&gt;$E39,U$6,$E39)+1)/($F39-$E39+1))))</f>
        <v>0</v>
      </c>
      <c r="V39" s="104" t="n">
        <f aca="false">IF($E39="",0,IF(V$6+6&lt;$E39,0,IF(V$6&gt;$F39,0,$D39*(IF(V$6+6&lt;$F39,V$6+6,$F39)-IF(V$6&gt;$E39,V$6,$E39)+1)/($F39-$E39+1))))</f>
        <v>0</v>
      </c>
      <c r="W39" s="104" t="n">
        <f aca="false">IF($E39="",0,IF(W$6+6&lt;$E39,0,IF(W$6&gt;$F39,0,$D39*(IF(W$6+6&lt;$F39,W$6+6,$F39)-IF(W$6&gt;$E39,W$6,$E39)+1)/($F39-$E39+1))))</f>
        <v>2.5</v>
      </c>
      <c r="X39" s="104" t="n">
        <f aca="false">IF($E39="",0,IF(X$6+6&lt;$E39,0,IF(X$6&gt;$F39,0,$D39*(IF(X$6+6&lt;$F39,X$6+6,$F39)-IF(X$6&gt;$E39,X$6,$E39)+1)/($F39-$E39+1))))</f>
        <v>0</v>
      </c>
      <c r="Y39" s="104" t="n">
        <f aca="false">IF($E39="",0,IF(Y$6+6&lt;$E39,0,IF(Y$6&gt;$F39,0,$D39*(IF(Y$6+6&lt;$F39,Y$6+6,$F39)-IF(Y$6&gt;$E39,Y$6,$E39)+1)/($F39-$E39+1))))</f>
        <v>0</v>
      </c>
      <c r="Z39" s="104" t="n">
        <f aca="false">IF($E39="",0,IF(Z$6+6&lt;$E39,0,IF(Z$6&gt;$F39,0,$D39*(IF(Z$6+6&lt;$F39,Z$6+6,$F39)-IF(Z$6&gt;$E39,Z$6,$E39)+1)/($F39-$E39+1))))</f>
        <v>0</v>
      </c>
      <c r="AA39" s="104" t="n">
        <f aca="false">IF($E39="",0,IF(AA$6+6&lt;$E39,0,IF(AA$6&gt;$F39,0,$D39*(IF(AA$6+6&lt;$F39,AA$6+6,$F39)-IF(AA$6&gt;$E39,AA$6,$E39)+1)/($F39-$E39+1))))</f>
        <v>0</v>
      </c>
      <c r="AB39" s="104" t="n">
        <f aca="false">IF($E39="",0,IF(AB$6+6&lt;$E39,0,IF(AB$6&gt;$F39,0,$D39*(IF(AB$6+6&lt;$F39,AB$6+6,$F39)-IF(AB$6&gt;$E39,AB$6,$E39)+1)/($F39-$E39+1))))</f>
        <v>0</v>
      </c>
      <c r="AC39" s="104" t="n">
        <f aca="false">IF($E39="",0,IF(AC$6+6&lt;$E39,0,IF(AC$6&gt;$F39,0,$D39*(IF(AC$6+6&lt;$F39,AC$6+6,$F39)-IF(AC$6&gt;$E39,AC$6,$E39)+1)/($F39-$E39+1))))</f>
        <v>0</v>
      </c>
      <c r="AD39" s="104" t="n">
        <f aca="false">IF($E39="",0,IF(AD$6+6&lt;$E39,0,IF(AD$6&gt;$F39,0,$D39*(IF(AD$6+6&lt;$F39,AD$6+6,$F39)-IF(AD$6&gt;$E39,AD$6,$E39)+1)/($F39-$E39+1))))</f>
        <v>0</v>
      </c>
      <c r="AE39" s="104" t="n">
        <f aca="false">IF($E39="",0,IF(AE$6+6&lt;$E39,0,IF(AE$6&gt;$F39,0,$D39*(IF(AE$6+6&lt;$F39,AE$6+6,$F39)-IF(AE$6&gt;$E39,AE$6,$E39)+1)/($F39-$E39+1))))</f>
        <v>0</v>
      </c>
      <c r="AF39" s="104" t="n">
        <f aca="false">IF($E39="",0,IF(AF$6+6&lt;$E39,0,IF(AF$6&gt;$F39,0,$D39*(IF(AF$6+6&lt;$F39,AF$6+6,$F39)-IF(AF$6&gt;$E39,AF$6,$E39)+1)/($F39-$E39+1))))</f>
        <v>0</v>
      </c>
      <c r="AG39" s="104" t="n">
        <f aca="false">IF($E39="",0,IF(AG$6+6&lt;$E39,0,IF(AG$6&gt;$F39,0,$D39*(IF(AG$6+6&lt;$F39,AG$6+6,$F39)-IF(AG$6&gt;$E39,AG$6,$E39)+1)/($F39-$E39+1))))</f>
        <v>0</v>
      </c>
      <c r="AH39" s="104" t="n">
        <f aca="false">IF($E39="",0,IF(AH$6+6&lt;$E39,0,IF(AH$6&gt;$F39,0,$D39*(IF(AH$6+6&lt;$F39,AH$6+6,$F39)-IF(AH$6&gt;$E39,AH$6,$E39)+1)/($F39-$E39+1))))</f>
        <v>0</v>
      </c>
      <c r="AI39" s="104" t="n">
        <f aca="false">IF($E39="",0,IF(AI$6+6&lt;$E39,0,IF(AI$6&gt;$F39,0,$D39*(IF(AI$6+6&lt;$F39,AI$6+6,$F39)-IF(AI$6&gt;$E39,AI$6,$E39)+1)/($F39-$E39+1))))</f>
        <v>0</v>
      </c>
      <c r="AJ39" s="104" t="n">
        <f aca="false">IF($E39="",0,IF(AJ$6+6&lt;$E39,0,IF(AJ$6&gt;$F39,0,$D39*(IF(AJ$6+6&lt;$F39,AJ$6+6,$F39)-IF(AJ$6&gt;$E39,AJ$6,$E39)+1)/($F39-$E39+1))))</f>
        <v>0</v>
      </c>
      <c r="AK39" s="104" t="n">
        <f aca="false">IF($E39="",0,IF(AK$6+6&lt;$E39,0,IF(AK$6&gt;$F39,0,$D39*(IF(AK$6+6&lt;$F39,AK$6+6,$F39)-IF(AK$6&gt;$E39,AK$6,$E39)+1)/($F39-$E39+1))))</f>
        <v>0</v>
      </c>
      <c r="AL39" s="104" t="n">
        <f aca="false">IF($E39="",0,IF(AL$6+6&lt;$E39,0,IF(AL$6&gt;$F39,0,$D39*(IF(AL$6+6&lt;$F39,AL$6+6,$F39)-IF(AL$6&gt;$E39,AL$6,$E39)+1)/($F39-$E39+1))))</f>
        <v>0</v>
      </c>
      <c r="AM39" s="104" t="n">
        <f aca="false">IF($E39="",0,IF(AM$6+6&lt;$E39,0,IF(AM$6&gt;$F39,0,$D39*(IF(AM$6+6&lt;$F39,AM$6+6,$F39)-IF(AM$6&gt;$E39,AM$6,$E39)+1)/($F39-$E39+1))))</f>
        <v>0</v>
      </c>
      <c r="AN39" s="104" t="n">
        <f aca="false">IF($E39="",0,IF(AN$6+6&lt;$E39,0,IF(AN$6&gt;$F39,0,$D39*(IF(AN$6+6&lt;$F39,AN$6+6,$F39)-IF(AN$6&gt;$E39,AN$6,$E39)+1)/($F39-$E39+1))))</f>
        <v>0</v>
      </c>
      <c r="AO39" s="104" t="n">
        <f aca="false">IF($E39="",0,IF(AO$6+6&lt;$E39,0,IF(AO$6&gt;$F39,0,$D39*(IF(AO$6+6&lt;$F39,AO$6+6,$F39)-IF(AO$6&gt;$E39,AO$6,$E39)+1)/($F39-$E39+1))))</f>
        <v>0</v>
      </c>
      <c r="AP39" s="104" t="n">
        <f aca="false">IF($E39="",0,IF(AP$6+6&lt;$E39,0,IF(AP$6&gt;$F39,0,$D39*(IF(AP$6+6&lt;$F39,AP$6+6,$F39)-IF(AP$6&gt;$E39,AP$6,$E39)+1)/($F39-$E39+1))))</f>
        <v>0</v>
      </c>
      <c r="AQ39" s="104" t="n">
        <f aca="false">IF($E39="",0,IF(AQ$6+6&lt;$E39,0,IF(AQ$6&gt;$F39,0,$D39*(IF(AQ$6+6&lt;$F39,AQ$6+6,$F39)-IF(AQ$6&gt;$E39,AQ$6,$E39)+1)/($F39-$E39+1))))</f>
        <v>0</v>
      </c>
      <c r="AR39" s="104" t="n">
        <f aca="false">IF($E39="",0,IF(AR$6+6&lt;$E39,0,IF(AR$6&gt;$F39,0,$D39*(IF(AR$6+6&lt;$F39,AR$6+6,$F39)-IF(AR$6&gt;$E39,AR$6,$E39)+1)/($F39-$E39+1))))</f>
        <v>0</v>
      </c>
      <c r="AS39" s="104" t="n">
        <f aca="false">IF($E39="",0,IF(AS$6+6&lt;$E39,0,IF(AS$6&gt;$F39,0,$D39*(IF(AS$6+6&lt;$F39,AS$6+6,$F39)-IF(AS$6&gt;$E39,AS$6,$E39)+1)/($F39-$E39+1))))</f>
        <v>0</v>
      </c>
      <c r="AT39" s="104" t="n">
        <f aca="false">IF($E39="",0,IF(AT$6+6&lt;$E39,0,IF(AT$6&gt;$F39,0,$D39*(IF(AT$6+6&lt;$F39,AT$6+6,$F39)-IF(AT$6&gt;$E39,AT$6,$E39)+1)/($F39-$E39+1))))</f>
        <v>0</v>
      </c>
      <c r="AU39" s="104" t="n">
        <f aca="false">IF($E39="",0,IF(AU$6+6&lt;$E39,0,IF(AU$6&gt;$F39,0,$D39*(IF(AU$6+6&lt;$F39,AU$6+6,$F39)-IF(AU$6&gt;$E39,AU$6,$E39)+1)/($F39-$E39+1))))</f>
        <v>0</v>
      </c>
      <c r="AV39" s="104" t="n">
        <f aca="false">IF($E39="",0,IF(AV$6+6&lt;$E39,0,IF(AV$6&gt;$F39,0,$D39*(IF(AV$6+6&lt;$F39,AV$6+6,$F39)-IF(AV$6&gt;$E39,AV$6,$E39)+1)/($F39-$E39+1))))</f>
        <v>0</v>
      </c>
      <c r="AW39" s="104" t="n">
        <f aca="false">IF($E39="",0,IF(AW$6+6&lt;$E39,0,IF(AW$6&gt;$F39,0,$D39*(IF(AW$6+6&lt;$F39,AW$6+6,$F39)-IF(AW$6&gt;$E39,AW$6,$E39)+1)/($F39-$E39+1))))</f>
        <v>0</v>
      </c>
      <c r="AX39" s="104" t="n">
        <f aca="false">IF($E39="",0,IF(AX$6+6&lt;$E39,0,IF(AX$6&gt;$F39,0,$D39*(IF(AX$6+6&lt;$F39,AX$6+6,$F39)-IF(AX$6&gt;$E39,AX$6,$E39)+1)/($F39-$E39+1))))</f>
        <v>0</v>
      </c>
      <c r="AY39" s="104" t="n">
        <f aca="false">IF($E39="",0,IF(AY$6+6&lt;$E39,0,IF(AY$6&gt;$F39,0,$D39*(IF(AY$6+6&lt;$F39,AY$6+6,$F39)-IF(AY$6&gt;$E39,AY$6,$E39)+1)/($F39-$E39+1))))</f>
        <v>0</v>
      </c>
      <c r="AZ39" s="104" t="n">
        <f aca="false">IF($E39="",0,IF(AZ$6+6&lt;$E39,0,IF(AZ$6&gt;$F39,0,$D39*(IF(AZ$6+6&lt;$F39,AZ$6+6,$F39)-IF(AZ$6&gt;$E39,AZ$6,$E39)+1)/($F39-$E39+1))))</f>
        <v>0</v>
      </c>
      <c r="BA39" s="104" t="n">
        <f aca="false">IF($E39="",0,IF(BA$6+6&lt;$E39,0,IF(BA$6&gt;$F39,0,$D39*(IF(BA$6+6&lt;$F39,BA$6+6,$F39)-IF(BA$6&gt;$E39,BA$6,$E39)+1)/($F39-$E39+1))))</f>
        <v>0</v>
      </c>
      <c r="BB39" s="104" t="n">
        <f aca="false">IF($E39="",0,IF(BB$6+6&lt;$E39,0,IF(BB$6&gt;$F39,0,$D39*(IF(BB$6+6&lt;$F39,BB$6+6,$F39)-IF(BB$6&gt;$E39,BB$6,$E39)+1)/($F39-$E39+1))))</f>
        <v>0</v>
      </c>
      <c r="BC39" s="104" t="n">
        <f aca="false">IF($E39="",0,IF(BC$6+6&lt;$E39,0,IF(BC$6&gt;$F39,0,$D39*(IF(BC$6+6&lt;$F39,BC$6+6,$F39)-IF(BC$6&gt;$E39,BC$6,$E39)+1)/($F39-$E39+1))))</f>
        <v>0</v>
      </c>
      <c r="BD39" s="104" t="n">
        <f aca="false">IF($E39="",0,IF(BD$6+6&lt;$E39,0,IF(BD$6&gt;$F39,0,$D39*(IF(BD$6+6&lt;$F39,BD$6+6,$F39)-IF(BD$6&gt;$E39,BD$6,$E39)+1)/($F39-$E39+1))))</f>
        <v>0</v>
      </c>
      <c r="BE39" s="104" t="n">
        <f aca="false">IF($E39="",0,IF(BE$6+6&lt;$E39,0,IF(BE$6&gt;$F39,0,$D39*(IF(BE$6+6&lt;$F39,BE$6+6,$F39)-IF(BE$6&gt;$E39,BE$6,$E39)+1)/($F39-$E39+1))))</f>
        <v>0</v>
      </c>
      <c r="BF39" s="104" t="n">
        <f aca="false">IF($E39="",0,IF(BF$6+6&lt;$E39,0,IF(BF$6&gt;$F39,0,$D39*(IF(BF$6+6&lt;$F39,BF$6+6,$F39)-IF(BF$6&gt;$E39,BF$6,$E39)+1)/($F39-$E39+1))))</f>
        <v>0</v>
      </c>
      <c r="BG39" s="104" t="n">
        <f aca="false">IF($E39="",0,IF(BG$6+6&lt;$E39,0,IF(BG$6&gt;$F39,0,$D39*(IF(BG$6+6&lt;$F39,BG$6+6,$F39)-IF(BG$6&gt;$E39,BG$6,$E39)+1)/($F39-$E39+1))))</f>
        <v>0</v>
      </c>
      <c r="BH39" s="104" t="n">
        <f aca="false">IF($E39="",0,IF(BH$6+6&lt;$E39,0,IF(BH$6&gt;$F39,0,$D39*(IF(BH$6+6&lt;$F39,BH$6+6,$F39)-IF(BH$6&gt;$E39,BH$6,$E39)+1)/($F39-$E39+1))))</f>
        <v>0</v>
      </c>
      <c r="BI39" s="104" t="n">
        <f aca="false">IF($E39="",0,IF(BI$6+6&lt;$E39,0,IF(BI$6&gt;$F39,0,$D39*(IF(BI$6+6&lt;$F39,BI$6+6,$F39)-IF(BI$6&gt;$E39,BI$6,$E39)+1)/($F39-$E39+1))))</f>
        <v>0</v>
      </c>
      <c r="BJ39" s="104" t="n">
        <f aca="false">IF($E39="",0,IF(BJ$6+6&lt;$E39,0,IF(BJ$6&gt;$F39,0,$D39*(IF(BJ$6+6&lt;$F39,BJ$6+6,$F39)-IF(BJ$6&gt;$E39,BJ$6,$E39)+1)/($F39-$E39+1))))</f>
        <v>0</v>
      </c>
      <c r="BK39" s="104" t="n">
        <f aca="false">IF($E39="",0,IF(BK$6+6&lt;$E39,0,IF(BK$6&gt;$F39,0,$D39*(IF(BK$6+6&lt;$F39,BK$6+6,$F39)-IF(BK$6&gt;$E39,BK$6,$E39)+1)/($F39-$E39+1))))</f>
        <v>0</v>
      </c>
      <c r="BL39" s="104" t="n">
        <f aca="false">IF($E39="",0,IF(BL$6+6&lt;$E39,0,IF(BL$6&gt;$F39,0,$D39*(IF(BL$6+6&lt;$F39,BL$6+6,$F39)-IF(BL$6&gt;$E39,BL$6,$E39)+1)/($F39-$E39+1))))</f>
        <v>0</v>
      </c>
      <c r="BM39" s="104" t="n">
        <f aca="false">IF($E39="",0,IF(BM$6+6&lt;$E39,0,IF(BM$6&gt;$F39,0,$D39*(IF(BM$6+6&lt;$F39,BM$6+6,$F39)-IF(BM$6&gt;$E39,BM$6,$E39)+1)/($F39-$E39+1))))</f>
        <v>0</v>
      </c>
      <c r="BN39" s="104" t="n">
        <f aca="false">IF($E39="",0,IF(BN$6+6&lt;$E39,0,IF(BN$6&gt;$F39,0,$D39*(IF(BN$6+6&lt;$F39,BN$6+6,$F39)-IF(BN$6&gt;$E39,BN$6,$E39)+1)/($F39-$E39+1))))</f>
        <v>0</v>
      </c>
      <c r="BO39" s="104" t="n">
        <f aca="false">IF($E39="",0,IF(BO$6+6&lt;$E39,0,IF(BO$6&gt;$F39,0,$D39*(IF(BO$6+6&lt;$F39,BO$6+6,$F39)-IF(BO$6&gt;$E39,BO$6,$E39)+1)/($F39-$E39+1))))</f>
        <v>0</v>
      </c>
      <c r="BP39" s="104" t="n">
        <f aca="false">IF($E39="",0,IF(BP$6+6&lt;$E39,0,IF(BP$6&gt;$F39,0,$D39*(IF(BP$6+6&lt;$F39,BP$6+6,$F39)-IF(BP$6&gt;$E39,BP$6,$E39)+1)/($F39-$E39+1))))</f>
        <v>0</v>
      </c>
      <c r="BQ39" s="104" t="n">
        <f aca="false">IF($E39="",0,IF(BQ$6+6&lt;$E39,0,IF(BQ$6&gt;$F39,0,$D39*(IF(BQ$6+6&lt;$F39,BQ$6+6,$F39)-IF(BQ$6&gt;$E39,BQ$6,$E39)+1)/($F39-$E39+1))))</f>
        <v>0</v>
      </c>
      <c r="BR39" s="104" t="n">
        <f aca="false">IF($E39="",0,IF(BR$6+6&lt;$E39,0,IF(BR$6&gt;$F39,0,$D39*(IF(BR$6+6&lt;$F39,BR$6+6,$F39)-IF(BR$6&gt;$E39,BR$6,$E39)+1)/($F39-$E39+1))))</f>
        <v>0</v>
      </c>
      <c r="BS39" s="104" t="n">
        <f aca="false">IF($E39="",0,IF(BS$6+6&lt;$E39,0,IF(BS$6&gt;$F39,0,$D39*(IF(BS$6+6&lt;$F39,BS$6+6,$F39)-IF(BS$6&gt;$E39,BS$6,$E39)+1)/($F39-$E39+1))))</f>
        <v>0</v>
      </c>
      <c r="BT39" s="104" t="n">
        <f aca="false">IF($E39="",0,IF(BT$6+6&lt;$E39,0,IF(BT$6&gt;$F39,0,$D39*(IF(BT$6+6&lt;$F39,BT$6+6,$F39)-IF(BT$6&gt;$E39,BT$6,$E39)+1)/($F39-$E39+1))))</f>
        <v>0</v>
      </c>
      <c r="BU39" s="104" t="n">
        <f aca="false">IF($E39="",0,IF(BU$6+6&lt;$E39,0,IF(BU$6&gt;$F39,0,$D39*(IF(BU$6+6&lt;$F39,BU$6+6,$F39)-IF(BU$6&gt;$E39,BU$6,$E39)+1)/($F39-$E39+1))))</f>
        <v>0</v>
      </c>
      <c r="BV39" s="104" t="n">
        <f aca="false">IF($E39="",0,IF(BV$6+6&lt;$E39,0,IF(BV$6&gt;$F39,0,$D39*(IF(BV$6+6&lt;$F39,BV$6+6,$F39)-IF(BV$6&gt;$E39,BV$6,$E39)+1)/($F39-$E39+1))))</f>
        <v>0</v>
      </c>
      <c r="BW39" s="104" t="n">
        <f aca="false">IF($E39="",0,IF(BW$6+6&lt;$E39,0,IF(BW$6&gt;$F39,0,$D39*(IF(BW$6+6&lt;$F39,BW$6+6,$F39)-IF(BW$6&gt;$E39,BW$6,$E39)+1)/($F39-$E39+1))))</f>
        <v>0</v>
      </c>
      <c r="BX39" s="104" t="n">
        <f aca="false">IF($E39="",0,IF(BX$6+6&lt;$E39,0,IF(BX$6&gt;$F39,0,$D39*(IF(BX$6+6&lt;$F39,BX$6+6,$F39)-IF(BX$6&gt;$E39,BX$6,$E39)+1)/($F39-$E39+1))))</f>
        <v>0</v>
      </c>
      <c r="BY39" s="104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101"/>
      <c r="B40" s="101"/>
      <c r="C40" s="101" t="s">
        <v>695</v>
      </c>
      <c r="D40" s="102"/>
      <c r="E40" s="105" t="n">
        <v>46261</v>
      </c>
      <c r="F40" s="105" t="n">
        <v>46262</v>
      </c>
      <c r="G40" s="106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 t="n">
        <v>2.5</v>
      </c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</row>
    <row r="41" customFormat="false" ht="15" hidden="false" customHeight="false" outlineLevel="0" collapsed="false">
      <c r="A41" s="99"/>
      <c r="B41" s="100" t="s">
        <v>712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</row>
    <row r="42" customFormat="false" ht="15" hidden="false" customHeight="false" outlineLevel="0" collapsed="false">
      <c r="A42" s="101" t="s">
        <v>507</v>
      </c>
      <c r="B42" s="101" t="s">
        <v>713</v>
      </c>
      <c r="C42" s="101" t="s">
        <v>694</v>
      </c>
      <c r="D42" s="102" t="n">
        <v>2.5</v>
      </c>
      <c r="E42" s="103" t="n">
        <v>46271</v>
      </c>
      <c r="F42" s="103" t="n">
        <v>46273</v>
      </c>
      <c r="G42" s="101" t="n">
        <v>2</v>
      </c>
      <c r="H42" s="104" t="n">
        <f aca="false">IF($E42="",0,IF(H$6+6&lt;$E42,0,IF(H$6&gt;$F42,0,$D42*(IF(H$6+6&lt;$F42,H$6+6,$F42)-IF(H$6&gt;$E42,H$6,$E42)+1)/($F42-$E42+1))))</f>
        <v>0</v>
      </c>
      <c r="I42" s="104" t="n">
        <f aca="false">IF($E42="",0,IF(I$6+6&lt;$E42,0,IF(I$6&gt;$F42,0,$D42*(IF(I$6+6&lt;$F42,I$6+6,$F42)-IF(I$6&gt;$E42,I$6,$E42)+1)/($F42-$E42+1))))</f>
        <v>0</v>
      </c>
      <c r="J42" s="104" t="n">
        <f aca="false">IF($E42="",0,IF(J$6+6&lt;$E42,0,IF(J$6&gt;$F42,0,$D42*(IF(J$6+6&lt;$F42,J$6+6,$F42)-IF(J$6&gt;$E42,J$6,$E42)+1)/($F42-$E42+1))))</f>
        <v>0</v>
      </c>
      <c r="K42" s="104" t="n">
        <f aca="false">IF($E42="",0,IF(K$6+6&lt;$E42,0,IF(K$6&gt;$F42,0,$D42*(IF(K$6+6&lt;$F42,K$6+6,$F42)-IF(K$6&gt;$E42,K$6,$E42)+1)/($F42-$E42+1))))</f>
        <v>0</v>
      </c>
      <c r="L42" s="104" t="n">
        <f aca="false">IF($E42="",0,IF(L$6+6&lt;$E42,0,IF(L$6&gt;$F42,0,$D42*(IF(L$6+6&lt;$F42,L$6+6,$F42)-IF(L$6&gt;$E42,L$6,$E42)+1)/($F42-$E42+1))))</f>
        <v>0</v>
      </c>
      <c r="M42" s="104" t="n">
        <f aca="false">IF($E42="",0,IF(M$6+6&lt;$E42,0,IF(M$6&gt;$F42,0,$D42*(IF(M$6+6&lt;$F42,M$6+6,$F42)-IF(M$6&gt;$E42,M$6,$E42)+1)/($F42-$E42+1))))</f>
        <v>0</v>
      </c>
      <c r="N42" s="104" t="n">
        <f aca="false">IF($E42="",0,IF(N$6+6&lt;$E42,0,IF(N$6&gt;$F42,0,$D42*(IF(N$6+6&lt;$F42,N$6+6,$F42)-IF(N$6&gt;$E42,N$6,$E42)+1)/($F42-$E42+1))))</f>
        <v>0</v>
      </c>
      <c r="O42" s="104" t="n">
        <f aca="false">IF($E42="",0,IF(O$6+6&lt;$E42,0,IF(O$6&gt;$F42,0,$D42*(IF(O$6+6&lt;$F42,O$6+6,$F42)-IF(O$6&gt;$E42,O$6,$E42)+1)/($F42-$E42+1))))</f>
        <v>0</v>
      </c>
      <c r="P42" s="104" t="n">
        <f aca="false">IF($E42="",0,IF(P$6+6&lt;$E42,0,IF(P$6&gt;$F42,0,$D42*(IF(P$6+6&lt;$F42,P$6+6,$F42)-IF(P$6&gt;$E42,P$6,$E42)+1)/($F42-$E42+1))))</f>
        <v>0</v>
      </c>
      <c r="Q42" s="104" t="n">
        <f aca="false">IF($E42="",0,IF(Q$6+6&lt;$E42,0,IF(Q$6&gt;$F42,0,$D42*(IF(Q$6+6&lt;$F42,Q$6+6,$F42)-IF(Q$6&gt;$E42,Q$6,$E42)+1)/($F42-$E42+1))))</f>
        <v>0</v>
      </c>
      <c r="R42" s="104" t="n">
        <f aca="false">IF($E42="",0,IF(R$6+6&lt;$E42,0,IF(R$6&gt;$F42,0,$D42*(IF(R$6+6&lt;$F42,R$6+6,$F42)-IF(R$6&gt;$E42,R$6,$E42)+1)/($F42-$E42+1))))</f>
        <v>0</v>
      </c>
      <c r="S42" s="104" t="n">
        <f aca="false">IF($E42="",0,IF(S$6+6&lt;$E42,0,IF(S$6&gt;$F42,0,$D42*(IF(S$6+6&lt;$F42,S$6+6,$F42)-IF(S$6&gt;$E42,S$6,$E42)+1)/($F42-$E42+1))))</f>
        <v>0</v>
      </c>
      <c r="T42" s="104" t="n">
        <f aca="false">IF($E42="",0,IF(T$6+6&lt;$E42,0,IF(T$6&gt;$F42,0,$D42*(IF(T$6+6&lt;$F42,T$6+6,$F42)-IF(T$6&gt;$E42,T$6,$E42)+1)/($F42-$E42+1))))</f>
        <v>0</v>
      </c>
      <c r="U42" s="104" t="n">
        <f aca="false">IF($E42="",0,IF(U$6+6&lt;$E42,0,IF(U$6&gt;$F42,0,$D42*(IF(U$6+6&lt;$F42,U$6+6,$F42)-IF(U$6&gt;$E42,U$6,$E42)+1)/($F42-$E42+1))))</f>
        <v>0</v>
      </c>
      <c r="V42" s="104" t="n">
        <f aca="false">IF($E42="",0,IF(V$6+6&lt;$E42,0,IF(V$6&gt;$F42,0,$D42*(IF(V$6+6&lt;$F42,V$6+6,$F42)-IF(V$6&gt;$E42,V$6,$E42)+1)/($F42-$E42+1))))</f>
        <v>0</v>
      </c>
      <c r="W42" s="104" t="n">
        <f aca="false">IF($E42="",0,IF(W$6+6&lt;$E42,0,IF(W$6&gt;$F42,0,$D42*(IF(W$6+6&lt;$F42,W$6+6,$F42)-IF(W$6&gt;$E42,W$6,$E42)+1)/($F42-$E42+1))))</f>
        <v>0.833333333333333</v>
      </c>
      <c r="X42" s="104" t="n">
        <f aca="false">IF($E42="",0,IF(X$6+6&lt;$E42,0,IF(X$6&gt;$F42,0,$D42*(IF(X$6+6&lt;$F42,X$6+6,$F42)-IF(X$6&gt;$E42,X$6,$E42)+1)/($F42-$E42+1))))</f>
        <v>1.66666666666667</v>
      </c>
      <c r="Y42" s="104" t="n">
        <f aca="false">IF($E42="",0,IF(Y$6+6&lt;$E42,0,IF(Y$6&gt;$F42,0,$D42*(IF(Y$6+6&lt;$F42,Y$6+6,$F42)-IF(Y$6&gt;$E42,Y$6,$E42)+1)/($F42-$E42+1))))</f>
        <v>0</v>
      </c>
      <c r="Z42" s="104" t="n">
        <f aca="false">IF($E42="",0,IF(Z$6+6&lt;$E42,0,IF(Z$6&gt;$F42,0,$D42*(IF(Z$6+6&lt;$F42,Z$6+6,$F42)-IF(Z$6&gt;$E42,Z$6,$E42)+1)/($F42-$E42+1))))</f>
        <v>0</v>
      </c>
      <c r="AA42" s="104" t="n">
        <f aca="false">IF($E42="",0,IF(AA$6+6&lt;$E42,0,IF(AA$6&gt;$F42,0,$D42*(IF(AA$6+6&lt;$F42,AA$6+6,$F42)-IF(AA$6&gt;$E42,AA$6,$E42)+1)/($F42-$E42+1))))</f>
        <v>0</v>
      </c>
      <c r="AB42" s="104" t="n">
        <f aca="false">IF($E42="",0,IF(AB$6+6&lt;$E42,0,IF(AB$6&gt;$F42,0,$D42*(IF(AB$6+6&lt;$F42,AB$6+6,$F42)-IF(AB$6&gt;$E42,AB$6,$E42)+1)/($F42-$E42+1))))</f>
        <v>0</v>
      </c>
      <c r="AC42" s="104" t="n">
        <f aca="false">IF($E42="",0,IF(AC$6+6&lt;$E42,0,IF(AC$6&gt;$F42,0,$D42*(IF(AC$6+6&lt;$F42,AC$6+6,$F42)-IF(AC$6&gt;$E42,AC$6,$E42)+1)/($F42-$E42+1))))</f>
        <v>0</v>
      </c>
      <c r="AD42" s="104" t="n">
        <f aca="false">IF($E42="",0,IF(AD$6+6&lt;$E42,0,IF(AD$6&gt;$F42,0,$D42*(IF(AD$6+6&lt;$F42,AD$6+6,$F42)-IF(AD$6&gt;$E42,AD$6,$E42)+1)/($F42-$E42+1))))</f>
        <v>0</v>
      </c>
      <c r="AE42" s="104" t="n">
        <f aca="false">IF($E42="",0,IF(AE$6+6&lt;$E42,0,IF(AE$6&gt;$F42,0,$D42*(IF(AE$6+6&lt;$F42,AE$6+6,$F42)-IF(AE$6&gt;$E42,AE$6,$E42)+1)/($F42-$E42+1))))</f>
        <v>0</v>
      </c>
      <c r="AF42" s="104" t="n">
        <f aca="false">IF($E42="",0,IF(AF$6+6&lt;$E42,0,IF(AF$6&gt;$F42,0,$D42*(IF(AF$6+6&lt;$F42,AF$6+6,$F42)-IF(AF$6&gt;$E42,AF$6,$E42)+1)/($F42-$E42+1))))</f>
        <v>0</v>
      </c>
      <c r="AG42" s="104" t="n">
        <f aca="false">IF($E42="",0,IF(AG$6+6&lt;$E42,0,IF(AG$6&gt;$F42,0,$D42*(IF(AG$6+6&lt;$F42,AG$6+6,$F42)-IF(AG$6&gt;$E42,AG$6,$E42)+1)/($F42-$E42+1))))</f>
        <v>0</v>
      </c>
      <c r="AH42" s="104" t="n">
        <f aca="false">IF($E42="",0,IF(AH$6+6&lt;$E42,0,IF(AH$6&gt;$F42,0,$D42*(IF(AH$6+6&lt;$F42,AH$6+6,$F42)-IF(AH$6&gt;$E42,AH$6,$E42)+1)/($F42-$E42+1))))</f>
        <v>0</v>
      </c>
      <c r="AI42" s="104" t="n">
        <f aca="false">IF($E42="",0,IF(AI$6+6&lt;$E42,0,IF(AI$6&gt;$F42,0,$D42*(IF(AI$6+6&lt;$F42,AI$6+6,$F42)-IF(AI$6&gt;$E42,AI$6,$E42)+1)/($F42-$E42+1))))</f>
        <v>0</v>
      </c>
      <c r="AJ42" s="104" t="n">
        <f aca="false">IF($E42="",0,IF(AJ$6+6&lt;$E42,0,IF(AJ$6&gt;$F42,0,$D42*(IF(AJ$6+6&lt;$F42,AJ$6+6,$F42)-IF(AJ$6&gt;$E42,AJ$6,$E42)+1)/($F42-$E42+1))))</f>
        <v>0</v>
      </c>
      <c r="AK42" s="104" t="n">
        <f aca="false">IF($E42="",0,IF(AK$6+6&lt;$E42,0,IF(AK$6&gt;$F42,0,$D42*(IF(AK$6+6&lt;$F42,AK$6+6,$F42)-IF(AK$6&gt;$E42,AK$6,$E42)+1)/($F42-$E42+1))))</f>
        <v>0</v>
      </c>
      <c r="AL42" s="104" t="n">
        <f aca="false">IF($E42="",0,IF(AL$6+6&lt;$E42,0,IF(AL$6&gt;$F42,0,$D42*(IF(AL$6+6&lt;$F42,AL$6+6,$F42)-IF(AL$6&gt;$E42,AL$6,$E42)+1)/($F42-$E42+1))))</f>
        <v>0</v>
      </c>
      <c r="AM42" s="104" t="n">
        <f aca="false">IF($E42="",0,IF(AM$6+6&lt;$E42,0,IF(AM$6&gt;$F42,0,$D42*(IF(AM$6+6&lt;$F42,AM$6+6,$F42)-IF(AM$6&gt;$E42,AM$6,$E42)+1)/($F42-$E42+1))))</f>
        <v>0</v>
      </c>
      <c r="AN42" s="104" t="n">
        <f aca="false">IF($E42="",0,IF(AN$6+6&lt;$E42,0,IF(AN$6&gt;$F42,0,$D42*(IF(AN$6+6&lt;$F42,AN$6+6,$F42)-IF(AN$6&gt;$E42,AN$6,$E42)+1)/($F42-$E42+1))))</f>
        <v>0</v>
      </c>
      <c r="AO42" s="104" t="n">
        <f aca="false">IF($E42="",0,IF(AO$6+6&lt;$E42,0,IF(AO$6&gt;$F42,0,$D42*(IF(AO$6+6&lt;$F42,AO$6+6,$F42)-IF(AO$6&gt;$E42,AO$6,$E42)+1)/($F42-$E42+1))))</f>
        <v>0</v>
      </c>
      <c r="AP42" s="104" t="n">
        <f aca="false">IF($E42="",0,IF(AP$6+6&lt;$E42,0,IF(AP$6&gt;$F42,0,$D42*(IF(AP$6+6&lt;$F42,AP$6+6,$F42)-IF(AP$6&gt;$E42,AP$6,$E42)+1)/($F42-$E42+1))))</f>
        <v>0</v>
      </c>
      <c r="AQ42" s="104" t="n">
        <f aca="false">IF($E42="",0,IF(AQ$6+6&lt;$E42,0,IF(AQ$6&gt;$F42,0,$D42*(IF(AQ$6+6&lt;$F42,AQ$6+6,$F42)-IF(AQ$6&gt;$E42,AQ$6,$E42)+1)/($F42-$E42+1))))</f>
        <v>0</v>
      </c>
      <c r="AR42" s="104" t="n">
        <f aca="false">IF($E42="",0,IF(AR$6+6&lt;$E42,0,IF(AR$6&gt;$F42,0,$D42*(IF(AR$6+6&lt;$F42,AR$6+6,$F42)-IF(AR$6&gt;$E42,AR$6,$E42)+1)/($F42-$E42+1))))</f>
        <v>0</v>
      </c>
      <c r="AS42" s="104" t="n">
        <f aca="false">IF($E42="",0,IF(AS$6+6&lt;$E42,0,IF(AS$6&gt;$F42,0,$D42*(IF(AS$6+6&lt;$F42,AS$6+6,$F42)-IF(AS$6&gt;$E42,AS$6,$E42)+1)/($F42-$E42+1))))</f>
        <v>0</v>
      </c>
      <c r="AT42" s="104" t="n">
        <f aca="false">IF($E42="",0,IF(AT$6+6&lt;$E42,0,IF(AT$6&gt;$F42,0,$D42*(IF(AT$6+6&lt;$F42,AT$6+6,$F42)-IF(AT$6&gt;$E42,AT$6,$E42)+1)/($F42-$E42+1))))</f>
        <v>0</v>
      </c>
      <c r="AU42" s="104" t="n">
        <f aca="false">IF($E42="",0,IF(AU$6+6&lt;$E42,0,IF(AU$6&gt;$F42,0,$D42*(IF(AU$6+6&lt;$F42,AU$6+6,$F42)-IF(AU$6&gt;$E42,AU$6,$E42)+1)/($F42-$E42+1))))</f>
        <v>0</v>
      </c>
      <c r="AV42" s="104" t="n">
        <f aca="false">IF($E42="",0,IF(AV$6+6&lt;$E42,0,IF(AV$6&gt;$F42,0,$D42*(IF(AV$6+6&lt;$F42,AV$6+6,$F42)-IF(AV$6&gt;$E42,AV$6,$E42)+1)/($F42-$E42+1))))</f>
        <v>0</v>
      </c>
      <c r="AW42" s="104" t="n">
        <f aca="false">IF($E42="",0,IF(AW$6+6&lt;$E42,0,IF(AW$6&gt;$F42,0,$D42*(IF(AW$6+6&lt;$F42,AW$6+6,$F42)-IF(AW$6&gt;$E42,AW$6,$E42)+1)/($F42-$E42+1))))</f>
        <v>0</v>
      </c>
      <c r="AX42" s="104" t="n">
        <f aca="false">IF($E42="",0,IF(AX$6+6&lt;$E42,0,IF(AX$6&gt;$F42,0,$D42*(IF(AX$6+6&lt;$F42,AX$6+6,$F42)-IF(AX$6&gt;$E42,AX$6,$E42)+1)/($F42-$E42+1))))</f>
        <v>0</v>
      </c>
      <c r="AY42" s="104" t="n">
        <f aca="false">IF($E42="",0,IF(AY$6+6&lt;$E42,0,IF(AY$6&gt;$F42,0,$D42*(IF(AY$6+6&lt;$F42,AY$6+6,$F42)-IF(AY$6&gt;$E42,AY$6,$E42)+1)/($F42-$E42+1))))</f>
        <v>0</v>
      </c>
      <c r="AZ42" s="104" t="n">
        <f aca="false">IF($E42="",0,IF(AZ$6+6&lt;$E42,0,IF(AZ$6&gt;$F42,0,$D42*(IF(AZ$6+6&lt;$F42,AZ$6+6,$F42)-IF(AZ$6&gt;$E42,AZ$6,$E42)+1)/($F42-$E42+1))))</f>
        <v>0</v>
      </c>
      <c r="BA42" s="104" t="n">
        <f aca="false">IF($E42="",0,IF(BA$6+6&lt;$E42,0,IF(BA$6&gt;$F42,0,$D42*(IF(BA$6+6&lt;$F42,BA$6+6,$F42)-IF(BA$6&gt;$E42,BA$6,$E42)+1)/($F42-$E42+1))))</f>
        <v>0</v>
      </c>
      <c r="BB42" s="104" t="n">
        <f aca="false">IF($E42="",0,IF(BB$6+6&lt;$E42,0,IF(BB$6&gt;$F42,0,$D42*(IF(BB$6+6&lt;$F42,BB$6+6,$F42)-IF(BB$6&gt;$E42,BB$6,$E42)+1)/($F42-$E42+1))))</f>
        <v>0</v>
      </c>
      <c r="BC42" s="104" t="n">
        <f aca="false">IF($E42="",0,IF(BC$6+6&lt;$E42,0,IF(BC$6&gt;$F42,0,$D42*(IF(BC$6+6&lt;$F42,BC$6+6,$F42)-IF(BC$6&gt;$E42,BC$6,$E42)+1)/($F42-$E42+1))))</f>
        <v>0</v>
      </c>
      <c r="BD42" s="104" t="n">
        <f aca="false">IF($E42="",0,IF(BD$6+6&lt;$E42,0,IF(BD$6&gt;$F42,0,$D42*(IF(BD$6+6&lt;$F42,BD$6+6,$F42)-IF(BD$6&gt;$E42,BD$6,$E42)+1)/($F42-$E42+1))))</f>
        <v>0</v>
      </c>
      <c r="BE42" s="104" t="n">
        <f aca="false">IF($E42="",0,IF(BE$6+6&lt;$E42,0,IF(BE$6&gt;$F42,0,$D42*(IF(BE$6+6&lt;$F42,BE$6+6,$F42)-IF(BE$6&gt;$E42,BE$6,$E42)+1)/($F42-$E42+1))))</f>
        <v>0</v>
      </c>
      <c r="BF42" s="104" t="n">
        <f aca="false">IF($E42="",0,IF(BF$6+6&lt;$E42,0,IF(BF$6&gt;$F42,0,$D42*(IF(BF$6+6&lt;$F42,BF$6+6,$F42)-IF(BF$6&gt;$E42,BF$6,$E42)+1)/($F42-$E42+1))))</f>
        <v>0</v>
      </c>
      <c r="BG42" s="104" t="n">
        <f aca="false">IF($E42="",0,IF(BG$6+6&lt;$E42,0,IF(BG$6&gt;$F42,0,$D42*(IF(BG$6+6&lt;$F42,BG$6+6,$F42)-IF(BG$6&gt;$E42,BG$6,$E42)+1)/($F42-$E42+1))))</f>
        <v>0</v>
      </c>
      <c r="BH42" s="104" t="n">
        <f aca="false">IF($E42="",0,IF(BH$6+6&lt;$E42,0,IF(BH$6&gt;$F42,0,$D42*(IF(BH$6+6&lt;$F42,BH$6+6,$F42)-IF(BH$6&gt;$E42,BH$6,$E42)+1)/($F42-$E42+1))))</f>
        <v>0</v>
      </c>
      <c r="BI42" s="104" t="n">
        <f aca="false">IF($E42="",0,IF(BI$6+6&lt;$E42,0,IF(BI$6&gt;$F42,0,$D42*(IF(BI$6+6&lt;$F42,BI$6+6,$F42)-IF(BI$6&gt;$E42,BI$6,$E42)+1)/($F42-$E42+1))))</f>
        <v>0</v>
      </c>
      <c r="BJ42" s="104" t="n">
        <f aca="false">IF($E42="",0,IF(BJ$6+6&lt;$E42,0,IF(BJ$6&gt;$F42,0,$D42*(IF(BJ$6+6&lt;$F42,BJ$6+6,$F42)-IF(BJ$6&gt;$E42,BJ$6,$E42)+1)/($F42-$E42+1))))</f>
        <v>0</v>
      </c>
      <c r="BK42" s="104" t="n">
        <f aca="false">IF($E42="",0,IF(BK$6+6&lt;$E42,0,IF(BK$6&gt;$F42,0,$D42*(IF(BK$6+6&lt;$F42,BK$6+6,$F42)-IF(BK$6&gt;$E42,BK$6,$E42)+1)/($F42-$E42+1))))</f>
        <v>0</v>
      </c>
      <c r="BL42" s="104" t="n">
        <f aca="false">IF($E42="",0,IF(BL$6+6&lt;$E42,0,IF(BL$6&gt;$F42,0,$D42*(IF(BL$6+6&lt;$F42,BL$6+6,$F42)-IF(BL$6&gt;$E42,BL$6,$E42)+1)/($F42-$E42+1))))</f>
        <v>0</v>
      </c>
      <c r="BM42" s="104" t="n">
        <f aca="false">IF($E42="",0,IF(BM$6+6&lt;$E42,0,IF(BM$6&gt;$F42,0,$D42*(IF(BM$6+6&lt;$F42,BM$6+6,$F42)-IF(BM$6&gt;$E42,BM$6,$E42)+1)/($F42-$E42+1))))</f>
        <v>0</v>
      </c>
      <c r="BN42" s="104" t="n">
        <f aca="false">IF($E42="",0,IF(BN$6+6&lt;$E42,0,IF(BN$6&gt;$F42,0,$D42*(IF(BN$6+6&lt;$F42,BN$6+6,$F42)-IF(BN$6&gt;$E42,BN$6,$E42)+1)/($F42-$E42+1))))</f>
        <v>0</v>
      </c>
      <c r="BO42" s="104" t="n">
        <f aca="false">IF($E42="",0,IF(BO$6+6&lt;$E42,0,IF(BO$6&gt;$F42,0,$D42*(IF(BO$6+6&lt;$F42,BO$6+6,$F42)-IF(BO$6&gt;$E42,BO$6,$E42)+1)/($F42-$E42+1))))</f>
        <v>0</v>
      </c>
      <c r="BP42" s="104" t="n">
        <f aca="false">IF($E42="",0,IF(BP$6+6&lt;$E42,0,IF(BP$6&gt;$F42,0,$D42*(IF(BP$6+6&lt;$F42,BP$6+6,$F42)-IF(BP$6&gt;$E42,BP$6,$E42)+1)/($F42-$E42+1))))</f>
        <v>0</v>
      </c>
      <c r="BQ42" s="104" t="n">
        <f aca="false">IF($E42="",0,IF(BQ$6+6&lt;$E42,0,IF(BQ$6&gt;$F42,0,$D42*(IF(BQ$6+6&lt;$F42,BQ$6+6,$F42)-IF(BQ$6&gt;$E42,BQ$6,$E42)+1)/($F42-$E42+1))))</f>
        <v>0</v>
      </c>
      <c r="BR42" s="104" t="n">
        <f aca="false">IF($E42="",0,IF(BR$6+6&lt;$E42,0,IF(BR$6&gt;$F42,0,$D42*(IF(BR$6+6&lt;$F42,BR$6+6,$F42)-IF(BR$6&gt;$E42,BR$6,$E42)+1)/($F42-$E42+1))))</f>
        <v>0</v>
      </c>
      <c r="BS42" s="104" t="n">
        <f aca="false">IF($E42="",0,IF(BS$6+6&lt;$E42,0,IF(BS$6&gt;$F42,0,$D42*(IF(BS$6+6&lt;$F42,BS$6+6,$F42)-IF(BS$6&gt;$E42,BS$6,$E42)+1)/($F42-$E42+1))))</f>
        <v>0</v>
      </c>
      <c r="BT42" s="104" t="n">
        <f aca="false">IF($E42="",0,IF(BT$6+6&lt;$E42,0,IF(BT$6&gt;$F42,0,$D42*(IF(BT$6+6&lt;$F42,BT$6+6,$F42)-IF(BT$6&gt;$E42,BT$6,$E42)+1)/($F42-$E42+1))))</f>
        <v>0</v>
      </c>
      <c r="BU42" s="104" t="n">
        <f aca="false">IF($E42="",0,IF(BU$6+6&lt;$E42,0,IF(BU$6&gt;$F42,0,$D42*(IF(BU$6+6&lt;$F42,BU$6+6,$F42)-IF(BU$6&gt;$E42,BU$6,$E42)+1)/($F42-$E42+1))))</f>
        <v>0</v>
      </c>
      <c r="BV42" s="104" t="n">
        <f aca="false">IF($E42="",0,IF(BV$6+6&lt;$E42,0,IF(BV$6&gt;$F42,0,$D42*(IF(BV$6+6&lt;$F42,BV$6+6,$F42)-IF(BV$6&gt;$E42,BV$6,$E42)+1)/($F42-$E42+1))))</f>
        <v>0</v>
      </c>
      <c r="BW42" s="104" t="n">
        <f aca="false">IF($E42="",0,IF(BW$6+6&lt;$E42,0,IF(BW$6&gt;$F42,0,$D42*(IF(BW$6+6&lt;$F42,BW$6+6,$F42)-IF(BW$6&gt;$E42,BW$6,$E42)+1)/($F42-$E42+1))))</f>
        <v>0</v>
      </c>
      <c r="BX42" s="104" t="n">
        <f aca="false">IF($E42="",0,IF(BX$6+6&lt;$E42,0,IF(BX$6&gt;$F42,0,$D42*(IF(BX$6+6&lt;$F42,BX$6+6,$F42)-IF(BX$6&gt;$E42,BX$6,$E42)+1)/($F42-$E42+1))))</f>
        <v>0</v>
      </c>
      <c r="BY42" s="104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101"/>
      <c r="B43" s="101"/>
      <c r="C43" s="101" t="s">
        <v>695</v>
      </c>
      <c r="D43" s="102"/>
      <c r="E43" s="105"/>
      <c r="F43" s="105"/>
      <c r="G43" s="106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</row>
    <row r="44" customFormat="false" ht="15" hidden="false" customHeight="false" outlineLevel="0" collapsed="false">
      <c r="A44" s="101" t="s">
        <v>542</v>
      </c>
      <c r="B44" s="101" t="s">
        <v>714</v>
      </c>
      <c r="C44" s="101" t="s">
        <v>694</v>
      </c>
      <c r="D44" s="102" t="n">
        <v>2.5</v>
      </c>
      <c r="E44" s="103" t="n">
        <v>46320</v>
      </c>
      <c r="F44" s="103" t="n">
        <v>46333</v>
      </c>
      <c r="G44" s="101" t="n">
        <v>13</v>
      </c>
      <c r="H44" s="104" t="n">
        <f aca="false">IF($E44="",0,IF(H$6+6&lt;$E44,0,IF(H$6&gt;$F44,0,$D44*(IF(H$6+6&lt;$F44,H$6+6,$F44)-IF(H$6&gt;$E44,H$6,$E44)+1)/($F44-$E44+1))))</f>
        <v>0</v>
      </c>
      <c r="I44" s="104" t="n">
        <f aca="false">IF($E44="",0,IF(I$6+6&lt;$E44,0,IF(I$6&gt;$F44,0,$D44*(IF(I$6+6&lt;$F44,I$6+6,$F44)-IF(I$6&gt;$E44,I$6,$E44)+1)/($F44-$E44+1))))</f>
        <v>0</v>
      </c>
      <c r="J44" s="104" t="n">
        <f aca="false">IF($E44="",0,IF(J$6+6&lt;$E44,0,IF(J$6&gt;$F44,0,$D44*(IF(J$6+6&lt;$F44,J$6+6,$F44)-IF(J$6&gt;$E44,J$6,$E44)+1)/($F44-$E44+1))))</f>
        <v>0</v>
      </c>
      <c r="K44" s="104" t="n">
        <f aca="false">IF($E44="",0,IF(K$6+6&lt;$E44,0,IF(K$6&gt;$F44,0,$D44*(IF(K$6+6&lt;$F44,K$6+6,$F44)-IF(K$6&gt;$E44,K$6,$E44)+1)/($F44-$E44+1))))</f>
        <v>0</v>
      </c>
      <c r="L44" s="104" t="n">
        <f aca="false">IF($E44="",0,IF(L$6+6&lt;$E44,0,IF(L$6&gt;$F44,0,$D44*(IF(L$6+6&lt;$F44,L$6+6,$F44)-IF(L$6&gt;$E44,L$6,$E44)+1)/($F44-$E44+1))))</f>
        <v>0</v>
      </c>
      <c r="M44" s="104" t="n">
        <f aca="false">IF($E44="",0,IF(M$6+6&lt;$E44,0,IF(M$6&gt;$F44,0,$D44*(IF(M$6+6&lt;$F44,M$6+6,$F44)-IF(M$6&gt;$E44,M$6,$E44)+1)/($F44-$E44+1))))</f>
        <v>0</v>
      </c>
      <c r="N44" s="104" t="n">
        <f aca="false">IF($E44="",0,IF(N$6+6&lt;$E44,0,IF(N$6&gt;$F44,0,$D44*(IF(N$6+6&lt;$F44,N$6+6,$F44)-IF(N$6&gt;$E44,N$6,$E44)+1)/($F44-$E44+1))))</f>
        <v>0</v>
      </c>
      <c r="O44" s="104" t="n">
        <f aca="false">IF($E44="",0,IF(O$6+6&lt;$E44,0,IF(O$6&gt;$F44,0,$D44*(IF(O$6+6&lt;$F44,O$6+6,$F44)-IF(O$6&gt;$E44,O$6,$E44)+1)/($F44-$E44+1))))</f>
        <v>0</v>
      </c>
      <c r="P44" s="104" t="n">
        <f aca="false">IF($E44="",0,IF(P$6+6&lt;$E44,0,IF(P$6&gt;$F44,0,$D44*(IF(P$6+6&lt;$F44,P$6+6,$F44)-IF(P$6&gt;$E44,P$6,$E44)+1)/($F44-$E44+1))))</f>
        <v>0</v>
      </c>
      <c r="Q44" s="104" t="n">
        <f aca="false">IF($E44="",0,IF(Q$6+6&lt;$E44,0,IF(Q$6&gt;$F44,0,$D44*(IF(Q$6+6&lt;$F44,Q$6+6,$F44)-IF(Q$6&gt;$E44,Q$6,$E44)+1)/($F44-$E44+1))))</f>
        <v>0</v>
      </c>
      <c r="R44" s="104" t="n">
        <f aca="false">IF($E44="",0,IF(R$6+6&lt;$E44,0,IF(R$6&gt;$F44,0,$D44*(IF(R$6+6&lt;$F44,R$6+6,$F44)-IF(R$6&gt;$E44,R$6,$E44)+1)/($F44-$E44+1))))</f>
        <v>0</v>
      </c>
      <c r="S44" s="104" t="n">
        <f aca="false">IF($E44="",0,IF(S$6+6&lt;$E44,0,IF(S$6&gt;$F44,0,$D44*(IF(S$6+6&lt;$F44,S$6+6,$F44)-IF(S$6&gt;$E44,S$6,$E44)+1)/($F44-$E44+1))))</f>
        <v>0</v>
      </c>
      <c r="T44" s="104" t="n">
        <f aca="false">IF($E44="",0,IF(T$6+6&lt;$E44,0,IF(T$6&gt;$F44,0,$D44*(IF(T$6+6&lt;$F44,T$6+6,$F44)-IF(T$6&gt;$E44,T$6,$E44)+1)/($F44-$E44+1))))</f>
        <v>0</v>
      </c>
      <c r="U44" s="104" t="n">
        <f aca="false">IF($E44="",0,IF(U$6+6&lt;$E44,0,IF(U$6&gt;$F44,0,$D44*(IF(U$6+6&lt;$F44,U$6+6,$F44)-IF(U$6&gt;$E44,U$6,$E44)+1)/($F44-$E44+1))))</f>
        <v>0</v>
      </c>
      <c r="V44" s="104" t="n">
        <f aca="false">IF($E44="",0,IF(V$6+6&lt;$E44,0,IF(V$6&gt;$F44,0,$D44*(IF(V$6+6&lt;$F44,V$6+6,$F44)-IF(V$6&gt;$E44,V$6,$E44)+1)/($F44-$E44+1))))</f>
        <v>0</v>
      </c>
      <c r="W44" s="104" t="n">
        <f aca="false">IF($E44="",0,IF(W$6+6&lt;$E44,0,IF(W$6&gt;$F44,0,$D44*(IF(W$6+6&lt;$F44,W$6+6,$F44)-IF(W$6&gt;$E44,W$6,$E44)+1)/($F44-$E44+1))))</f>
        <v>0</v>
      </c>
      <c r="X44" s="104" t="n">
        <f aca="false">IF($E44="",0,IF(X$6+6&lt;$E44,0,IF(X$6&gt;$F44,0,$D44*(IF(X$6+6&lt;$F44,X$6+6,$F44)-IF(X$6&gt;$E44,X$6,$E44)+1)/($F44-$E44+1))))</f>
        <v>0</v>
      </c>
      <c r="Y44" s="104" t="n">
        <f aca="false">IF($E44="",0,IF(Y$6+6&lt;$E44,0,IF(Y$6&gt;$F44,0,$D44*(IF(Y$6+6&lt;$F44,Y$6+6,$F44)-IF(Y$6&gt;$E44,Y$6,$E44)+1)/($F44-$E44+1))))</f>
        <v>0</v>
      </c>
      <c r="Z44" s="104" t="n">
        <f aca="false">IF($E44="",0,IF(Z$6+6&lt;$E44,0,IF(Z$6&gt;$F44,0,$D44*(IF(Z$6+6&lt;$F44,Z$6+6,$F44)-IF(Z$6&gt;$E44,Z$6,$E44)+1)/($F44-$E44+1))))</f>
        <v>0</v>
      </c>
      <c r="AA44" s="104" t="n">
        <f aca="false">IF($E44="",0,IF(AA$6+6&lt;$E44,0,IF(AA$6&gt;$F44,0,$D44*(IF(AA$6+6&lt;$F44,AA$6+6,$F44)-IF(AA$6&gt;$E44,AA$6,$E44)+1)/($F44-$E44+1))))</f>
        <v>0</v>
      </c>
      <c r="AB44" s="104" t="n">
        <f aca="false">IF($E44="",0,IF(AB$6+6&lt;$E44,0,IF(AB$6&gt;$F44,0,$D44*(IF(AB$6+6&lt;$F44,AB$6+6,$F44)-IF(AB$6&gt;$E44,AB$6,$E44)+1)/($F44-$E44+1))))</f>
        <v>0</v>
      </c>
      <c r="AC44" s="104" t="n">
        <f aca="false">IF($E44="",0,IF(AC$6+6&lt;$E44,0,IF(AC$6&gt;$F44,0,$D44*(IF(AC$6+6&lt;$F44,AC$6+6,$F44)-IF(AC$6&gt;$E44,AC$6,$E44)+1)/($F44-$E44+1))))</f>
        <v>0</v>
      </c>
      <c r="AD44" s="104" t="n">
        <f aca="false">IF($E44="",0,IF(AD$6+6&lt;$E44,0,IF(AD$6&gt;$F44,0,$D44*(IF(AD$6+6&lt;$F44,AD$6+6,$F44)-IF(AD$6&gt;$E44,AD$6,$E44)+1)/($F44-$E44+1))))</f>
        <v>0.178571428571429</v>
      </c>
      <c r="AE44" s="104" t="n">
        <f aca="false">IF($E44="",0,IF(AE$6+6&lt;$E44,0,IF(AE$6&gt;$F44,0,$D44*(IF(AE$6+6&lt;$F44,AE$6+6,$F44)-IF(AE$6&gt;$E44,AE$6,$E44)+1)/($F44-$E44+1))))</f>
        <v>1.25</v>
      </c>
      <c r="AF44" s="104" t="n">
        <f aca="false">IF($E44="",0,IF(AF$6+6&lt;$E44,0,IF(AF$6&gt;$F44,0,$D44*(IF(AF$6+6&lt;$F44,AF$6+6,$F44)-IF(AF$6&gt;$E44,AF$6,$E44)+1)/($F44-$E44+1))))</f>
        <v>1.07142857142857</v>
      </c>
      <c r="AG44" s="104" t="n">
        <f aca="false">IF($E44="",0,IF(AG$6+6&lt;$E44,0,IF(AG$6&gt;$F44,0,$D44*(IF(AG$6+6&lt;$F44,AG$6+6,$F44)-IF(AG$6&gt;$E44,AG$6,$E44)+1)/($F44-$E44+1))))</f>
        <v>0</v>
      </c>
      <c r="AH44" s="104" t="n">
        <f aca="false">IF($E44="",0,IF(AH$6+6&lt;$E44,0,IF(AH$6&gt;$F44,0,$D44*(IF(AH$6+6&lt;$F44,AH$6+6,$F44)-IF(AH$6&gt;$E44,AH$6,$E44)+1)/($F44-$E44+1))))</f>
        <v>0</v>
      </c>
      <c r="AI44" s="104" t="n">
        <f aca="false">IF($E44="",0,IF(AI$6+6&lt;$E44,0,IF(AI$6&gt;$F44,0,$D44*(IF(AI$6+6&lt;$F44,AI$6+6,$F44)-IF(AI$6&gt;$E44,AI$6,$E44)+1)/($F44-$E44+1))))</f>
        <v>0</v>
      </c>
      <c r="AJ44" s="104" t="n">
        <f aca="false">IF($E44="",0,IF(AJ$6+6&lt;$E44,0,IF(AJ$6&gt;$F44,0,$D44*(IF(AJ$6+6&lt;$F44,AJ$6+6,$F44)-IF(AJ$6&gt;$E44,AJ$6,$E44)+1)/($F44-$E44+1))))</f>
        <v>0</v>
      </c>
      <c r="AK44" s="104" t="n">
        <f aca="false">IF($E44="",0,IF(AK$6+6&lt;$E44,0,IF(AK$6&gt;$F44,0,$D44*(IF(AK$6+6&lt;$F44,AK$6+6,$F44)-IF(AK$6&gt;$E44,AK$6,$E44)+1)/($F44-$E44+1))))</f>
        <v>0</v>
      </c>
      <c r="AL44" s="104" t="n">
        <f aca="false">IF($E44="",0,IF(AL$6+6&lt;$E44,0,IF(AL$6&gt;$F44,0,$D44*(IF(AL$6+6&lt;$F44,AL$6+6,$F44)-IF(AL$6&gt;$E44,AL$6,$E44)+1)/($F44-$E44+1))))</f>
        <v>0</v>
      </c>
      <c r="AM44" s="104" t="n">
        <f aca="false">IF($E44="",0,IF(AM$6+6&lt;$E44,0,IF(AM$6&gt;$F44,0,$D44*(IF(AM$6+6&lt;$F44,AM$6+6,$F44)-IF(AM$6&gt;$E44,AM$6,$E44)+1)/($F44-$E44+1))))</f>
        <v>0</v>
      </c>
      <c r="AN44" s="104" t="n">
        <f aca="false">IF($E44="",0,IF(AN$6+6&lt;$E44,0,IF(AN$6&gt;$F44,0,$D44*(IF(AN$6+6&lt;$F44,AN$6+6,$F44)-IF(AN$6&gt;$E44,AN$6,$E44)+1)/($F44-$E44+1))))</f>
        <v>0</v>
      </c>
      <c r="AO44" s="104" t="n">
        <f aca="false">IF($E44="",0,IF(AO$6+6&lt;$E44,0,IF(AO$6&gt;$F44,0,$D44*(IF(AO$6+6&lt;$F44,AO$6+6,$F44)-IF(AO$6&gt;$E44,AO$6,$E44)+1)/($F44-$E44+1))))</f>
        <v>0</v>
      </c>
      <c r="AP44" s="104" t="n">
        <f aca="false">IF($E44="",0,IF(AP$6+6&lt;$E44,0,IF(AP$6&gt;$F44,0,$D44*(IF(AP$6+6&lt;$F44,AP$6+6,$F44)-IF(AP$6&gt;$E44,AP$6,$E44)+1)/($F44-$E44+1))))</f>
        <v>0</v>
      </c>
      <c r="AQ44" s="104" t="n">
        <f aca="false">IF($E44="",0,IF(AQ$6+6&lt;$E44,0,IF(AQ$6&gt;$F44,0,$D44*(IF(AQ$6+6&lt;$F44,AQ$6+6,$F44)-IF(AQ$6&gt;$E44,AQ$6,$E44)+1)/($F44-$E44+1))))</f>
        <v>0</v>
      </c>
      <c r="AR44" s="104" t="n">
        <f aca="false">IF($E44="",0,IF(AR$6+6&lt;$E44,0,IF(AR$6&gt;$F44,0,$D44*(IF(AR$6+6&lt;$F44,AR$6+6,$F44)-IF(AR$6&gt;$E44,AR$6,$E44)+1)/($F44-$E44+1))))</f>
        <v>0</v>
      </c>
      <c r="AS44" s="104" t="n">
        <f aca="false">IF($E44="",0,IF(AS$6+6&lt;$E44,0,IF(AS$6&gt;$F44,0,$D44*(IF(AS$6+6&lt;$F44,AS$6+6,$F44)-IF(AS$6&gt;$E44,AS$6,$E44)+1)/($F44-$E44+1))))</f>
        <v>0</v>
      </c>
      <c r="AT44" s="104" t="n">
        <f aca="false">IF($E44="",0,IF(AT$6+6&lt;$E44,0,IF(AT$6&gt;$F44,0,$D44*(IF(AT$6+6&lt;$F44,AT$6+6,$F44)-IF(AT$6&gt;$E44,AT$6,$E44)+1)/($F44-$E44+1))))</f>
        <v>0</v>
      </c>
      <c r="AU44" s="104" t="n">
        <f aca="false">IF($E44="",0,IF(AU$6+6&lt;$E44,0,IF(AU$6&gt;$F44,0,$D44*(IF(AU$6+6&lt;$F44,AU$6+6,$F44)-IF(AU$6&gt;$E44,AU$6,$E44)+1)/($F44-$E44+1))))</f>
        <v>0</v>
      </c>
      <c r="AV44" s="104" t="n">
        <f aca="false">IF($E44="",0,IF(AV$6+6&lt;$E44,0,IF(AV$6&gt;$F44,0,$D44*(IF(AV$6+6&lt;$F44,AV$6+6,$F44)-IF(AV$6&gt;$E44,AV$6,$E44)+1)/($F44-$E44+1))))</f>
        <v>0</v>
      </c>
      <c r="AW44" s="104" t="n">
        <f aca="false">IF($E44="",0,IF(AW$6+6&lt;$E44,0,IF(AW$6&gt;$F44,0,$D44*(IF(AW$6+6&lt;$F44,AW$6+6,$F44)-IF(AW$6&gt;$E44,AW$6,$E44)+1)/($F44-$E44+1))))</f>
        <v>0</v>
      </c>
      <c r="AX44" s="104" t="n">
        <f aca="false">IF($E44="",0,IF(AX$6+6&lt;$E44,0,IF(AX$6&gt;$F44,0,$D44*(IF(AX$6+6&lt;$F44,AX$6+6,$F44)-IF(AX$6&gt;$E44,AX$6,$E44)+1)/($F44-$E44+1))))</f>
        <v>0</v>
      </c>
      <c r="AY44" s="104" t="n">
        <f aca="false">IF($E44="",0,IF(AY$6+6&lt;$E44,0,IF(AY$6&gt;$F44,0,$D44*(IF(AY$6+6&lt;$F44,AY$6+6,$F44)-IF(AY$6&gt;$E44,AY$6,$E44)+1)/($F44-$E44+1))))</f>
        <v>0</v>
      </c>
      <c r="AZ44" s="104" t="n">
        <f aca="false">IF($E44="",0,IF(AZ$6+6&lt;$E44,0,IF(AZ$6&gt;$F44,0,$D44*(IF(AZ$6+6&lt;$F44,AZ$6+6,$F44)-IF(AZ$6&gt;$E44,AZ$6,$E44)+1)/($F44-$E44+1))))</f>
        <v>0</v>
      </c>
      <c r="BA44" s="104" t="n">
        <f aca="false">IF($E44="",0,IF(BA$6+6&lt;$E44,0,IF(BA$6&gt;$F44,0,$D44*(IF(BA$6+6&lt;$F44,BA$6+6,$F44)-IF(BA$6&gt;$E44,BA$6,$E44)+1)/($F44-$E44+1))))</f>
        <v>0</v>
      </c>
      <c r="BB44" s="104" t="n">
        <f aca="false">IF($E44="",0,IF(BB$6+6&lt;$E44,0,IF(BB$6&gt;$F44,0,$D44*(IF(BB$6+6&lt;$F44,BB$6+6,$F44)-IF(BB$6&gt;$E44,BB$6,$E44)+1)/($F44-$E44+1))))</f>
        <v>0</v>
      </c>
      <c r="BC44" s="104" t="n">
        <f aca="false">IF($E44="",0,IF(BC$6+6&lt;$E44,0,IF(BC$6&gt;$F44,0,$D44*(IF(BC$6+6&lt;$F44,BC$6+6,$F44)-IF(BC$6&gt;$E44,BC$6,$E44)+1)/($F44-$E44+1))))</f>
        <v>0</v>
      </c>
      <c r="BD44" s="104" t="n">
        <f aca="false">IF($E44="",0,IF(BD$6+6&lt;$E44,0,IF(BD$6&gt;$F44,0,$D44*(IF(BD$6+6&lt;$F44,BD$6+6,$F44)-IF(BD$6&gt;$E44,BD$6,$E44)+1)/($F44-$E44+1))))</f>
        <v>0</v>
      </c>
      <c r="BE44" s="104" t="n">
        <f aca="false">IF($E44="",0,IF(BE$6+6&lt;$E44,0,IF(BE$6&gt;$F44,0,$D44*(IF(BE$6+6&lt;$F44,BE$6+6,$F44)-IF(BE$6&gt;$E44,BE$6,$E44)+1)/($F44-$E44+1))))</f>
        <v>0</v>
      </c>
      <c r="BF44" s="104" t="n">
        <f aca="false">IF($E44="",0,IF(BF$6+6&lt;$E44,0,IF(BF$6&gt;$F44,0,$D44*(IF(BF$6+6&lt;$F44,BF$6+6,$F44)-IF(BF$6&gt;$E44,BF$6,$E44)+1)/($F44-$E44+1))))</f>
        <v>0</v>
      </c>
      <c r="BG44" s="104" t="n">
        <f aca="false">IF($E44="",0,IF(BG$6+6&lt;$E44,0,IF(BG$6&gt;$F44,0,$D44*(IF(BG$6+6&lt;$F44,BG$6+6,$F44)-IF(BG$6&gt;$E44,BG$6,$E44)+1)/($F44-$E44+1))))</f>
        <v>0</v>
      </c>
      <c r="BH44" s="104" t="n">
        <f aca="false">IF($E44="",0,IF(BH$6+6&lt;$E44,0,IF(BH$6&gt;$F44,0,$D44*(IF(BH$6+6&lt;$F44,BH$6+6,$F44)-IF(BH$6&gt;$E44,BH$6,$E44)+1)/($F44-$E44+1))))</f>
        <v>0</v>
      </c>
      <c r="BI44" s="104" t="n">
        <f aca="false">IF($E44="",0,IF(BI$6+6&lt;$E44,0,IF(BI$6&gt;$F44,0,$D44*(IF(BI$6+6&lt;$F44,BI$6+6,$F44)-IF(BI$6&gt;$E44,BI$6,$E44)+1)/($F44-$E44+1))))</f>
        <v>0</v>
      </c>
      <c r="BJ44" s="104" t="n">
        <f aca="false">IF($E44="",0,IF(BJ$6+6&lt;$E44,0,IF(BJ$6&gt;$F44,0,$D44*(IF(BJ$6+6&lt;$F44,BJ$6+6,$F44)-IF(BJ$6&gt;$E44,BJ$6,$E44)+1)/($F44-$E44+1))))</f>
        <v>0</v>
      </c>
      <c r="BK44" s="104" t="n">
        <f aca="false">IF($E44="",0,IF(BK$6+6&lt;$E44,0,IF(BK$6&gt;$F44,0,$D44*(IF(BK$6+6&lt;$F44,BK$6+6,$F44)-IF(BK$6&gt;$E44,BK$6,$E44)+1)/($F44-$E44+1))))</f>
        <v>0</v>
      </c>
      <c r="BL44" s="104" t="n">
        <f aca="false">IF($E44="",0,IF(BL$6+6&lt;$E44,0,IF(BL$6&gt;$F44,0,$D44*(IF(BL$6+6&lt;$F44,BL$6+6,$F44)-IF(BL$6&gt;$E44,BL$6,$E44)+1)/($F44-$E44+1))))</f>
        <v>0</v>
      </c>
      <c r="BM44" s="104" t="n">
        <f aca="false">IF($E44="",0,IF(BM$6+6&lt;$E44,0,IF(BM$6&gt;$F44,0,$D44*(IF(BM$6+6&lt;$F44,BM$6+6,$F44)-IF(BM$6&gt;$E44,BM$6,$E44)+1)/($F44-$E44+1))))</f>
        <v>0</v>
      </c>
      <c r="BN44" s="104" t="n">
        <f aca="false">IF($E44="",0,IF(BN$6+6&lt;$E44,0,IF(BN$6&gt;$F44,0,$D44*(IF(BN$6+6&lt;$F44,BN$6+6,$F44)-IF(BN$6&gt;$E44,BN$6,$E44)+1)/($F44-$E44+1))))</f>
        <v>0</v>
      </c>
      <c r="BO44" s="104" t="n">
        <f aca="false">IF($E44="",0,IF(BO$6+6&lt;$E44,0,IF(BO$6&gt;$F44,0,$D44*(IF(BO$6+6&lt;$F44,BO$6+6,$F44)-IF(BO$6&gt;$E44,BO$6,$E44)+1)/($F44-$E44+1))))</f>
        <v>0</v>
      </c>
      <c r="BP44" s="104" t="n">
        <f aca="false">IF($E44="",0,IF(BP$6+6&lt;$E44,0,IF(BP$6&gt;$F44,0,$D44*(IF(BP$6+6&lt;$F44,BP$6+6,$F44)-IF(BP$6&gt;$E44,BP$6,$E44)+1)/($F44-$E44+1))))</f>
        <v>0</v>
      </c>
      <c r="BQ44" s="104" t="n">
        <f aca="false">IF($E44="",0,IF(BQ$6+6&lt;$E44,0,IF(BQ$6&gt;$F44,0,$D44*(IF(BQ$6+6&lt;$F44,BQ$6+6,$F44)-IF(BQ$6&gt;$E44,BQ$6,$E44)+1)/($F44-$E44+1))))</f>
        <v>0</v>
      </c>
      <c r="BR44" s="104" t="n">
        <f aca="false">IF($E44="",0,IF(BR$6+6&lt;$E44,0,IF(BR$6&gt;$F44,0,$D44*(IF(BR$6+6&lt;$F44,BR$6+6,$F44)-IF(BR$6&gt;$E44,BR$6,$E44)+1)/($F44-$E44+1))))</f>
        <v>0</v>
      </c>
      <c r="BS44" s="104" t="n">
        <f aca="false">IF($E44="",0,IF(BS$6+6&lt;$E44,0,IF(BS$6&gt;$F44,0,$D44*(IF(BS$6+6&lt;$F44,BS$6+6,$F44)-IF(BS$6&gt;$E44,BS$6,$E44)+1)/($F44-$E44+1))))</f>
        <v>0</v>
      </c>
      <c r="BT44" s="104" t="n">
        <f aca="false">IF($E44="",0,IF(BT$6+6&lt;$E44,0,IF(BT$6&gt;$F44,0,$D44*(IF(BT$6+6&lt;$F44,BT$6+6,$F44)-IF(BT$6&gt;$E44,BT$6,$E44)+1)/($F44-$E44+1))))</f>
        <v>0</v>
      </c>
      <c r="BU44" s="104" t="n">
        <f aca="false">IF($E44="",0,IF(BU$6+6&lt;$E44,0,IF(BU$6&gt;$F44,0,$D44*(IF(BU$6+6&lt;$F44,BU$6+6,$F44)-IF(BU$6&gt;$E44,BU$6,$E44)+1)/($F44-$E44+1))))</f>
        <v>0</v>
      </c>
      <c r="BV44" s="104" t="n">
        <f aca="false">IF($E44="",0,IF(BV$6+6&lt;$E44,0,IF(BV$6&gt;$F44,0,$D44*(IF(BV$6+6&lt;$F44,BV$6+6,$F44)-IF(BV$6&gt;$E44,BV$6,$E44)+1)/($F44-$E44+1))))</f>
        <v>0</v>
      </c>
      <c r="BW44" s="104" t="n">
        <f aca="false">IF($E44="",0,IF(BW$6+6&lt;$E44,0,IF(BW$6&gt;$F44,0,$D44*(IF(BW$6+6&lt;$F44,BW$6+6,$F44)-IF(BW$6&gt;$E44,BW$6,$E44)+1)/($F44-$E44+1))))</f>
        <v>0</v>
      </c>
      <c r="BX44" s="104" t="n">
        <f aca="false">IF($E44="",0,IF(BX$6+6&lt;$E44,0,IF(BX$6&gt;$F44,0,$D44*(IF(BX$6+6&lt;$F44,BX$6+6,$F44)-IF(BX$6&gt;$E44,BX$6,$E44)+1)/($F44-$E44+1))))</f>
        <v>0</v>
      </c>
      <c r="BY44" s="104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101"/>
      <c r="B45" s="101"/>
      <c r="C45" s="101" t="s">
        <v>695</v>
      </c>
      <c r="D45" s="102"/>
      <c r="E45" s="105"/>
      <c r="F45" s="105"/>
      <c r="G45" s="106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</row>
    <row r="47" customFormat="false" ht="15" hidden="false" customHeight="false" outlineLevel="0" collapsed="false">
      <c r="B47" s="108" t="s">
        <v>715</v>
      </c>
      <c r="H47" s="109" t="n">
        <f aca="false">SUMIF($C$7:$C$45,"Plan",H$7:H$45)</f>
        <v>0</v>
      </c>
      <c r="I47" s="109" t="n">
        <f aca="false">SUMIF($C$7:$C$45,"Plan",I$7:I$45)</f>
        <v>0</v>
      </c>
      <c r="J47" s="109" t="n">
        <f aca="false">SUMIF($C$7:$C$45,"Plan",J$7:J$45)</f>
        <v>0</v>
      </c>
      <c r="K47" s="109" t="n">
        <f aca="false">SUMIF($C$7:$C$45,"Plan",K$7:K$45)</f>
        <v>0</v>
      </c>
      <c r="L47" s="109" t="n">
        <f aca="false">SUMIF($C$7:$C$45,"Plan",L$7:L$45)</f>
        <v>0</v>
      </c>
      <c r="M47" s="109" t="n">
        <f aca="false">SUMIF($C$7:$C$45,"Plan",M$7:M$45)</f>
        <v>0</v>
      </c>
      <c r="N47" s="109" t="n">
        <f aca="false">SUMIF($C$7:$C$45,"Plan",N$7:N$45)</f>
        <v>0.5</v>
      </c>
      <c r="O47" s="109" t="n">
        <f aca="false">SUMIF($C$7:$C$45,"Plan",O$7:O$45)</f>
        <v>0.207142857142857</v>
      </c>
      <c r="P47" s="109" t="n">
        <f aca="false">SUMIF($C$7:$C$45,"Plan",P$7:P$45)</f>
        <v>1.45</v>
      </c>
      <c r="Q47" s="109" t="n">
        <f aca="false">SUMIF($C$7:$C$45,"Plan",Q$7:Q$45)</f>
        <v>0.842857142857143</v>
      </c>
      <c r="R47" s="109" t="n">
        <f aca="false">SUMIF($C$7:$C$45,"Plan",R$7:R$45)</f>
        <v>0</v>
      </c>
      <c r="S47" s="109" t="n">
        <f aca="false">SUMIF($C$7:$C$45,"Plan",S$7:S$45)</f>
        <v>3.83333333333333</v>
      </c>
      <c r="T47" s="109" t="n">
        <f aca="false">SUMIF($C$7:$C$45,"Plan",T$7:T$45)</f>
        <v>7.77777777777778</v>
      </c>
      <c r="U47" s="109" t="n">
        <f aca="false">SUMIF($C$7:$C$45,"Plan",U$7:U$45)</f>
        <v>7.77777777777778</v>
      </c>
      <c r="V47" s="109" t="n">
        <f aca="false">SUMIF($C$7:$C$45,"Plan",V$7:V$45)</f>
        <v>44.1765873015873</v>
      </c>
      <c r="W47" s="109" t="n">
        <f aca="false">SUMIF($C$7:$C$45,"Plan",W$7:W$45)</f>
        <v>27.8004658385093</v>
      </c>
      <c r="X47" s="109" t="n">
        <f aca="false">SUMIF($C$7:$C$45,"Plan",X$7:X$45)</f>
        <v>1.89492753623188</v>
      </c>
      <c r="Y47" s="109" t="n">
        <f aca="false">SUMIF($C$7:$C$45,"Plan",Y$7:Y$45)</f>
        <v>0.228260869565217</v>
      </c>
      <c r="Z47" s="109" t="n">
        <f aca="false">SUMIF($C$7:$C$45,"Plan",Z$7:Z$45)</f>
        <v>0.228260869565217</v>
      </c>
      <c r="AA47" s="109" t="n">
        <f aca="false">SUMIF($C$7:$C$45,"Plan",AA$7:AA$45)</f>
        <v>0.228260869565217</v>
      </c>
      <c r="AB47" s="109" t="n">
        <f aca="false">SUMIF($C$7:$C$45,"Plan",AB$7:AB$45)</f>
        <v>0.228260869565217</v>
      </c>
      <c r="AC47" s="109" t="n">
        <f aca="false">SUMIF($C$7:$C$45,"Plan",AC$7:AC$45)</f>
        <v>0.228260869565217</v>
      </c>
      <c r="AD47" s="109" t="n">
        <f aca="false">SUMIF($C$7:$C$45,"Plan",AD$7:AD$45)</f>
        <v>0.27639751552795</v>
      </c>
      <c r="AE47" s="109" t="n">
        <f aca="false">SUMIF($C$7:$C$45,"Plan",AE$7:AE$45)</f>
        <v>1.25</v>
      </c>
      <c r="AF47" s="109" t="n">
        <f aca="false">SUMIF($C$7:$C$45,"Plan",AF$7:AF$45)</f>
        <v>1.07142857142857</v>
      </c>
      <c r="AG47" s="109" t="n">
        <f aca="false">SUMIF($C$7:$C$45,"Plan",AG$7:AG$45)</f>
        <v>0</v>
      </c>
      <c r="AH47" s="109" t="n">
        <f aca="false">SUMIF($C$7:$C$45,"Plan",AH$7:AH$45)</f>
        <v>0</v>
      </c>
      <c r="AI47" s="109" t="n">
        <f aca="false">SUMIF($C$7:$C$45,"Plan",AI$7:AI$45)</f>
        <v>0</v>
      </c>
      <c r="AJ47" s="109" t="n">
        <f aca="false">SUMIF($C$7:$C$45,"Plan",AJ$7:AJ$45)</f>
        <v>0</v>
      </c>
      <c r="AK47" s="109" t="n">
        <f aca="false">SUMIF($C$7:$C$45,"Plan",AK$7:AK$45)</f>
        <v>0</v>
      </c>
      <c r="AL47" s="109" t="n">
        <f aca="false">SUMIF($C$7:$C$45,"Plan",AL$7:AL$45)</f>
        <v>0</v>
      </c>
      <c r="AM47" s="109" t="n">
        <f aca="false">SUMIF($C$7:$C$45,"Plan",AM$7:AM$45)</f>
        <v>0</v>
      </c>
      <c r="AN47" s="109" t="n">
        <f aca="false">SUMIF($C$7:$C$45,"Plan",AN$7:AN$45)</f>
        <v>0</v>
      </c>
      <c r="AO47" s="109" t="n">
        <f aca="false">SUMIF($C$7:$C$45,"Plan",AO$7:AO$45)</f>
        <v>0</v>
      </c>
      <c r="AP47" s="109" t="n">
        <f aca="false">SUMIF($C$7:$C$45,"Plan",AP$7:AP$45)</f>
        <v>0</v>
      </c>
      <c r="AQ47" s="109" t="n">
        <f aca="false">SUMIF($C$7:$C$45,"Plan",AQ$7:AQ$45)</f>
        <v>0</v>
      </c>
      <c r="AR47" s="109" t="n">
        <f aca="false">SUMIF($C$7:$C$45,"Plan",AR$7:AR$45)</f>
        <v>0</v>
      </c>
      <c r="AS47" s="109" t="n">
        <f aca="false">SUMIF($C$7:$C$45,"Plan",AS$7:AS$45)</f>
        <v>0</v>
      </c>
      <c r="AT47" s="109" t="n">
        <f aca="false">SUMIF($C$7:$C$45,"Plan",AT$7:AT$45)</f>
        <v>0</v>
      </c>
      <c r="AU47" s="109" t="n">
        <f aca="false">SUMIF($C$7:$C$45,"Plan",AU$7:AU$45)</f>
        <v>0</v>
      </c>
      <c r="AV47" s="109" t="n">
        <f aca="false">SUMIF($C$7:$C$45,"Plan",AV$7:AV$45)</f>
        <v>0</v>
      </c>
      <c r="AW47" s="109" t="n">
        <f aca="false">SUMIF($C$7:$C$45,"Plan",AW$7:AW$45)</f>
        <v>0</v>
      </c>
      <c r="AX47" s="109" t="n">
        <f aca="false">SUMIF($C$7:$C$45,"Plan",AX$7:AX$45)</f>
        <v>0</v>
      </c>
      <c r="AY47" s="109" t="n">
        <f aca="false">SUMIF($C$7:$C$45,"Plan",AY$7:AY$45)</f>
        <v>0</v>
      </c>
      <c r="AZ47" s="109" t="n">
        <f aca="false">SUMIF($C$7:$C$45,"Plan",AZ$7:AZ$45)</f>
        <v>0</v>
      </c>
      <c r="BA47" s="109" t="n">
        <f aca="false">SUMIF($C$7:$C$45,"Plan",BA$7:BA$45)</f>
        <v>0</v>
      </c>
      <c r="BB47" s="109" t="n">
        <f aca="false">SUMIF($C$7:$C$45,"Plan",BB$7:BB$45)</f>
        <v>0</v>
      </c>
      <c r="BC47" s="109" t="n">
        <f aca="false">SUMIF($C$7:$C$45,"Plan",BC$7:BC$45)</f>
        <v>0</v>
      </c>
      <c r="BD47" s="109" t="n">
        <f aca="false">SUMIF($C$7:$C$45,"Plan",BD$7:BD$45)</f>
        <v>0</v>
      </c>
      <c r="BE47" s="109" t="n">
        <f aca="false">SUMIF($C$7:$C$45,"Plan",BE$7:BE$45)</f>
        <v>0</v>
      </c>
      <c r="BF47" s="109" t="n">
        <f aca="false">SUMIF($C$7:$C$45,"Plan",BF$7:BF$45)</f>
        <v>0</v>
      </c>
      <c r="BG47" s="109" t="n">
        <f aca="false">SUMIF($C$7:$C$45,"Plan",BG$7:BG$45)</f>
        <v>0</v>
      </c>
      <c r="BH47" s="109" t="n">
        <f aca="false">SUMIF($C$7:$C$45,"Plan",BH$7:BH$45)</f>
        <v>0</v>
      </c>
      <c r="BI47" s="109" t="n">
        <f aca="false">SUMIF($C$7:$C$45,"Plan",BI$7:BI$45)</f>
        <v>0</v>
      </c>
      <c r="BJ47" s="109" t="n">
        <f aca="false">SUMIF($C$7:$C$45,"Plan",BJ$7:BJ$45)</f>
        <v>0</v>
      </c>
      <c r="BK47" s="109" t="n">
        <f aca="false">SUMIF($C$7:$C$45,"Plan",BK$7:BK$45)</f>
        <v>0</v>
      </c>
      <c r="BL47" s="109" t="n">
        <f aca="false">SUMIF($C$7:$C$45,"Plan",BL$7:BL$45)</f>
        <v>0</v>
      </c>
      <c r="BM47" s="109" t="n">
        <f aca="false">SUMIF($C$7:$C$45,"Plan",BM$7:BM$45)</f>
        <v>0</v>
      </c>
      <c r="BN47" s="109" t="n">
        <f aca="false">SUMIF($C$7:$C$45,"Plan",BN$7:BN$45)</f>
        <v>0</v>
      </c>
      <c r="BO47" s="109" t="n">
        <f aca="false">SUMIF($C$7:$C$45,"Plan",BO$7:BO$45)</f>
        <v>0</v>
      </c>
      <c r="BP47" s="109" t="n">
        <f aca="false">SUMIF($C$7:$C$45,"Plan",BP$7:BP$45)</f>
        <v>0</v>
      </c>
      <c r="BQ47" s="109" t="n">
        <f aca="false">SUMIF($C$7:$C$45,"Plan",BQ$7:BQ$45)</f>
        <v>0</v>
      </c>
      <c r="BR47" s="109" t="n">
        <f aca="false">SUMIF($C$7:$C$45,"Plan",BR$7:BR$45)</f>
        <v>0</v>
      </c>
      <c r="BS47" s="109" t="n">
        <f aca="false">SUMIF($C$7:$C$45,"Plan",BS$7:BS$45)</f>
        <v>0</v>
      </c>
      <c r="BT47" s="109" t="n">
        <f aca="false">SUMIF($C$7:$C$45,"Plan",BT$7:BT$45)</f>
        <v>0</v>
      </c>
      <c r="BU47" s="109" t="n">
        <f aca="false">SUMIF($C$7:$C$45,"Plan",BU$7:BU$45)</f>
        <v>0</v>
      </c>
      <c r="BV47" s="109" t="n">
        <f aca="false">SUMIF($C$7:$C$45,"Plan",BV$7:BV$45)</f>
        <v>0</v>
      </c>
      <c r="BW47" s="109" t="n">
        <f aca="false">SUMIF($C$7:$C$45,"Plan",BW$7:BW$45)</f>
        <v>0</v>
      </c>
      <c r="BX47" s="109" t="n">
        <f aca="false">SUMIF($C$7:$C$45,"Plan",BX$7:BX$45)</f>
        <v>0</v>
      </c>
      <c r="BY47" s="109" t="n">
        <f aca="false">SUMIF($C$7:$C$45,"Plan",BY$7:BY$45)</f>
        <v>0</v>
      </c>
    </row>
    <row r="48" customFormat="false" ht="15" hidden="false" customHeight="false" outlineLevel="0" collapsed="false">
      <c r="B48" s="108" t="s">
        <v>716</v>
      </c>
      <c r="H48" s="109" t="n">
        <f aca="false">SUMIF($C$7:$C$45,"Actual",H$7:H$45)</f>
        <v>0</v>
      </c>
      <c r="I48" s="109" t="n">
        <f aca="false">SUMIF($C$7:$C$45,"Actual",I$7:I$45)</f>
        <v>0</v>
      </c>
      <c r="J48" s="109" t="n">
        <f aca="false">SUMIF($C$7:$C$45,"Actual",J$7:J$45)</f>
        <v>0</v>
      </c>
      <c r="K48" s="109" t="n">
        <f aca="false">SUMIF($C$7:$C$45,"Actual",K$7:K$45)</f>
        <v>0</v>
      </c>
      <c r="L48" s="109" t="n">
        <f aca="false">SUMIF($C$7:$C$45,"Actual",L$7:L$45)</f>
        <v>0</v>
      </c>
      <c r="M48" s="109" t="n">
        <f aca="false">SUMIF($C$7:$C$45,"Actual",M$7:M$45)</f>
        <v>0</v>
      </c>
      <c r="N48" s="109" t="n">
        <f aca="false">SUMIF($C$7:$C$45,"Actual",N$7:N$45)</f>
        <v>0.5</v>
      </c>
      <c r="O48" s="109" t="n">
        <f aca="false">SUMIF($C$7:$C$45,"Actual",O$7:O$45)</f>
        <v>1</v>
      </c>
      <c r="P48" s="109" t="n">
        <f aca="false">SUMIF($C$7:$C$45,"Actual",P$7:P$45)</f>
        <v>1</v>
      </c>
      <c r="Q48" s="109" t="n">
        <f aca="false">SUMIF($C$7:$C$45,"Actual",Q$7:Q$45)</f>
        <v>1</v>
      </c>
      <c r="R48" s="109" t="n">
        <f aca="false">SUMIF($C$7:$C$45,"Actual",R$7:R$45)</f>
        <v>0</v>
      </c>
      <c r="S48" s="109" t="n">
        <f aca="false">SUMIF($C$7:$C$45,"Actual",S$7:S$45)</f>
        <v>6.6667</v>
      </c>
      <c r="T48" s="109" t="n">
        <f aca="false">SUMIF($C$7:$C$45,"Actual",T$7:T$45)</f>
        <v>6.6667</v>
      </c>
      <c r="U48" s="109" t="n">
        <f aca="false">SUMIF($C$7:$C$45,"Actual",U$7:U$45)</f>
        <v>29.1667</v>
      </c>
      <c r="V48" s="109" t="n">
        <f aca="false">SUMIF($C$7:$C$45,"Actual",V$7:V$45)</f>
        <v>47.5</v>
      </c>
      <c r="W48" s="109" t="n">
        <f aca="false">SUMIF($C$7:$C$45,"Actual",W$7:W$45)</f>
        <v>0</v>
      </c>
      <c r="X48" s="109" t="n">
        <f aca="false">SUMIF($C$7:$C$45,"Actual",X$7:X$45)</f>
        <v>0</v>
      </c>
      <c r="Y48" s="109" t="n">
        <f aca="false">SUMIF($C$7:$C$45,"Actual",Y$7:Y$45)</f>
        <v>0.25</v>
      </c>
      <c r="Z48" s="109" t="n">
        <f aca="false">SUMIF($C$7:$C$45,"Actual",Z$7:Z$45)</f>
        <v>0.25</v>
      </c>
      <c r="AA48" s="109" t="n">
        <f aca="false">SUMIF($C$7:$C$45,"Actual",AA$7:AA$45)</f>
        <v>0.25</v>
      </c>
      <c r="AB48" s="109" t="n">
        <f aca="false">SUMIF($C$7:$C$45,"Actual",AB$7:AB$45)</f>
        <v>0.25</v>
      </c>
      <c r="AC48" s="109" t="n">
        <f aca="false">SUMIF($C$7:$C$45,"Actual",AC$7:AC$45)</f>
        <v>0.25</v>
      </c>
      <c r="AD48" s="109" t="n">
        <f aca="false">SUMIF($C$7:$C$45,"Actual",AD$7:AD$45)</f>
        <v>0.25</v>
      </c>
      <c r="AE48" s="109" t="n">
        <f aca="false">SUMIF($C$7:$C$45,"Actual",AE$7:AE$45)</f>
        <v>0</v>
      </c>
      <c r="AF48" s="109" t="n">
        <f aca="false">SUMIF($C$7:$C$45,"Actual",AF$7:AF$45)</f>
        <v>0</v>
      </c>
      <c r="AG48" s="109" t="n">
        <f aca="false">SUMIF($C$7:$C$45,"Actual",AG$7:AG$45)</f>
        <v>0</v>
      </c>
      <c r="AH48" s="109" t="n">
        <f aca="false">SUMIF($C$7:$C$45,"Actual",AH$7:AH$45)</f>
        <v>0</v>
      </c>
      <c r="AI48" s="109" t="n">
        <f aca="false">SUMIF($C$7:$C$45,"Actual",AI$7:AI$45)</f>
        <v>0</v>
      </c>
      <c r="AJ48" s="109" t="n">
        <f aca="false">SUMIF($C$7:$C$45,"Actual",AJ$7:AJ$45)</f>
        <v>0</v>
      </c>
      <c r="AK48" s="109" t="n">
        <f aca="false">SUMIF($C$7:$C$45,"Actual",AK$7:AK$45)</f>
        <v>0</v>
      </c>
      <c r="AL48" s="109" t="n">
        <f aca="false">SUMIF($C$7:$C$45,"Actual",AL$7:AL$45)</f>
        <v>0</v>
      </c>
      <c r="AM48" s="109" t="n">
        <f aca="false">SUMIF($C$7:$C$45,"Actual",AM$7:AM$45)</f>
        <v>0</v>
      </c>
      <c r="AN48" s="109" t="n">
        <f aca="false">SUMIF($C$7:$C$45,"Actual",AN$7:AN$45)</f>
        <v>0</v>
      </c>
      <c r="AO48" s="109" t="n">
        <f aca="false">SUMIF($C$7:$C$45,"Actual",AO$7:AO$45)</f>
        <v>0</v>
      </c>
      <c r="AP48" s="109" t="n">
        <f aca="false">SUMIF($C$7:$C$45,"Actual",AP$7:AP$45)</f>
        <v>0</v>
      </c>
      <c r="AQ48" s="109" t="n">
        <f aca="false">SUMIF($C$7:$C$45,"Actual",AQ$7:AQ$45)</f>
        <v>0</v>
      </c>
      <c r="AR48" s="109" t="n">
        <f aca="false">SUMIF($C$7:$C$45,"Actual",AR$7:AR$45)</f>
        <v>0</v>
      </c>
      <c r="AS48" s="109" t="n">
        <f aca="false">SUMIF($C$7:$C$45,"Actual",AS$7:AS$45)</f>
        <v>0</v>
      </c>
      <c r="AT48" s="109" t="n">
        <f aca="false">SUMIF($C$7:$C$45,"Actual",AT$7:AT$45)</f>
        <v>0</v>
      </c>
      <c r="AU48" s="109" t="n">
        <f aca="false">SUMIF($C$7:$C$45,"Actual",AU$7:AU$45)</f>
        <v>0</v>
      </c>
      <c r="AV48" s="109" t="n">
        <f aca="false">SUMIF($C$7:$C$45,"Actual",AV$7:AV$45)</f>
        <v>0</v>
      </c>
      <c r="AW48" s="109" t="n">
        <f aca="false">SUMIF($C$7:$C$45,"Actual",AW$7:AW$45)</f>
        <v>0</v>
      </c>
      <c r="AX48" s="109" t="n">
        <f aca="false">SUMIF($C$7:$C$45,"Actual",AX$7:AX$45)</f>
        <v>0</v>
      </c>
      <c r="AY48" s="109" t="n">
        <f aca="false">SUMIF($C$7:$C$45,"Actual",AY$7:AY$45)</f>
        <v>0</v>
      </c>
      <c r="AZ48" s="109" t="n">
        <f aca="false">SUMIF($C$7:$C$45,"Actual",AZ$7:AZ$45)</f>
        <v>0</v>
      </c>
      <c r="BA48" s="109" t="n">
        <f aca="false">SUMIF($C$7:$C$45,"Actual",BA$7:BA$45)</f>
        <v>0</v>
      </c>
      <c r="BB48" s="109" t="n">
        <f aca="false">SUMIF($C$7:$C$45,"Actual",BB$7:BB$45)</f>
        <v>0</v>
      </c>
      <c r="BC48" s="109" t="n">
        <f aca="false">SUMIF($C$7:$C$45,"Actual",BC$7:BC$45)</f>
        <v>0</v>
      </c>
      <c r="BD48" s="109" t="n">
        <f aca="false">SUMIF($C$7:$C$45,"Actual",BD$7:BD$45)</f>
        <v>0</v>
      </c>
      <c r="BE48" s="109" t="n">
        <f aca="false">SUMIF($C$7:$C$45,"Actual",BE$7:BE$45)</f>
        <v>0</v>
      </c>
      <c r="BF48" s="109" t="n">
        <f aca="false">SUMIF($C$7:$C$45,"Actual",BF$7:BF$45)</f>
        <v>0</v>
      </c>
      <c r="BG48" s="109" t="n">
        <f aca="false">SUMIF($C$7:$C$45,"Actual",BG$7:BG$45)</f>
        <v>0</v>
      </c>
      <c r="BH48" s="109" t="n">
        <f aca="false">SUMIF($C$7:$C$45,"Actual",BH$7:BH$45)</f>
        <v>0</v>
      </c>
      <c r="BI48" s="109" t="n">
        <f aca="false">SUMIF($C$7:$C$45,"Actual",BI$7:BI$45)</f>
        <v>0</v>
      </c>
      <c r="BJ48" s="109" t="n">
        <f aca="false">SUMIF($C$7:$C$45,"Actual",BJ$7:BJ$45)</f>
        <v>0</v>
      </c>
      <c r="BK48" s="109" t="n">
        <f aca="false">SUMIF($C$7:$C$45,"Actual",BK$7:BK$45)</f>
        <v>0</v>
      </c>
      <c r="BL48" s="109" t="n">
        <f aca="false">SUMIF($C$7:$C$45,"Actual",BL$7:BL$45)</f>
        <v>0</v>
      </c>
      <c r="BM48" s="109" t="n">
        <f aca="false">SUMIF($C$7:$C$45,"Actual",BM$7:BM$45)</f>
        <v>0</v>
      </c>
      <c r="BN48" s="109" t="n">
        <f aca="false">SUMIF($C$7:$C$45,"Actual",BN$7:BN$45)</f>
        <v>0</v>
      </c>
      <c r="BO48" s="109" t="n">
        <f aca="false">SUMIF($C$7:$C$45,"Actual",BO$7:BO$45)</f>
        <v>0</v>
      </c>
      <c r="BP48" s="109" t="n">
        <f aca="false">SUMIF($C$7:$C$45,"Actual",BP$7:BP$45)</f>
        <v>0</v>
      </c>
      <c r="BQ48" s="109" t="n">
        <f aca="false">SUMIF($C$7:$C$45,"Actual",BQ$7:BQ$45)</f>
        <v>0</v>
      </c>
      <c r="BR48" s="109" t="n">
        <f aca="false">SUMIF($C$7:$C$45,"Actual",BR$7:BR$45)</f>
        <v>0</v>
      </c>
      <c r="BS48" s="109" t="n">
        <f aca="false">SUMIF($C$7:$C$45,"Actual",BS$7:BS$45)</f>
        <v>0</v>
      </c>
      <c r="BT48" s="109" t="n">
        <f aca="false">SUMIF($C$7:$C$45,"Actual",BT$7:BT$45)</f>
        <v>0</v>
      </c>
      <c r="BU48" s="109" t="n">
        <f aca="false">SUMIF($C$7:$C$45,"Actual",BU$7:BU$45)</f>
        <v>0</v>
      </c>
      <c r="BV48" s="109" t="n">
        <f aca="false">SUMIF($C$7:$C$45,"Actual",BV$7:BV$45)</f>
        <v>0</v>
      </c>
      <c r="BW48" s="109" t="n">
        <f aca="false">SUMIF($C$7:$C$45,"Actual",BW$7:BW$45)</f>
        <v>0</v>
      </c>
      <c r="BX48" s="109" t="n">
        <f aca="false">SUMIF($C$7:$C$45,"Actual",BX$7:BX$45)</f>
        <v>0</v>
      </c>
      <c r="BY48" s="109" t="n">
        <f aca="false">SUMIF($C$7:$C$45,"Actual",BY$7:BY$45)</f>
        <v>0</v>
      </c>
    </row>
    <row r="49" customFormat="false" ht="15" hidden="false" customHeight="false" outlineLevel="0" collapsed="false">
      <c r="B49" s="110" t="s">
        <v>717</v>
      </c>
      <c r="H49" s="111" t="n">
        <f aca="false">H47</f>
        <v>0</v>
      </c>
      <c r="I49" s="111" t="n">
        <f aca="false">H49+I47</f>
        <v>0</v>
      </c>
      <c r="J49" s="111" t="n">
        <f aca="false">I49+J47</f>
        <v>0</v>
      </c>
      <c r="K49" s="111" t="n">
        <f aca="false">J49+K47</f>
        <v>0</v>
      </c>
      <c r="L49" s="111" t="n">
        <f aca="false">K49+L47</f>
        <v>0</v>
      </c>
      <c r="M49" s="111" t="n">
        <f aca="false">L49+M47</f>
        <v>0</v>
      </c>
      <c r="N49" s="111" t="n">
        <f aca="false">M49+N47</f>
        <v>0.5</v>
      </c>
      <c r="O49" s="111" t="n">
        <f aca="false">N49+O47</f>
        <v>0.707142857142857</v>
      </c>
      <c r="P49" s="111" t="n">
        <f aca="false">O49+P47</f>
        <v>2.15714285714286</v>
      </c>
      <c r="Q49" s="111" t="n">
        <f aca="false">P49+Q47</f>
        <v>3</v>
      </c>
      <c r="R49" s="111" t="n">
        <f aca="false">Q49+R47</f>
        <v>3</v>
      </c>
      <c r="S49" s="111" t="n">
        <f aca="false">R49+S47</f>
        <v>6.83333333333333</v>
      </c>
      <c r="T49" s="111" t="n">
        <f aca="false">S49+T47</f>
        <v>14.6111111111111</v>
      </c>
      <c r="U49" s="111" t="n">
        <f aca="false">T49+U47</f>
        <v>22.3888888888889</v>
      </c>
      <c r="V49" s="111" t="n">
        <f aca="false">U49+V47</f>
        <v>66.5654761904762</v>
      </c>
      <c r="W49" s="111" t="n">
        <f aca="false">V49+W47</f>
        <v>94.3659420289855</v>
      </c>
      <c r="X49" s="111" t="n">
        <f aca="false">W49+X47</f>
        <v>96.2608695652174</v>
      </c>
      <c r="Y49" s="111" t="n">
        <f aca="false">X49+Y47</f>
        <v>96.4891304347826</v>
      </c>
      <c r="Z49" s="111" t="n">
        <f aca="false">Y49+Z47</f>
        <v>96.7173913043478</v>
      </c>
      <c r="AA49" s="111" t="n">
        <f aca="false">Z49+AA47</f>
        <v>96.9456521739131</v>
      </c>
      <c r="AB49" s="111" t="n">
        <f aca="false">AA49+AB47</f>
        <v>97.1739130434783</v>
      </c>
      <c r="AC49" s="111" t="n">
        <f aca="false">AB49+AC47</f>
        <v>97.4021739130435</v>
      </c>
      <c r="AD49" s="111" t="n">
        <f aca="false">AC49+AD47</f>
        <v>97.6785714285714</v>
      </c>
      <c r="AE49" s="111" t="n">
        <f aca="false">AD49+AE47</f>
        <v>98.9285714285714</v>
      </c>
      <c r="AF49" s="111" t="n">
        <f aca="false">AE49+AF47</f>
        <v>100</v>
      </c>
      <c r="AG49" s="111" t="n">
        <f aca="false">AF49+AG47</f>
        <v>100</v>
      </c>
      <c r="AH49" s="111" t="n">
        <f aca="false">AG49+AH47</f>
        <v>100</v>
      </c>
      <c r="AI49" s="111" t="n">
        <f aca="false">AH49+AI47</f>
        <v>100</v>
      </c>
      <c r="AJ49" s="111" t="n">
        <f aca="false">AI49+AJ47</f>
        <v>100</v>
      </c>
      <c r="AK49" s="111" t="n">
        <f aca="false">AJ49+AK47</f>
        <v>100</v>
      </c>
      <c r="AL49" s="111" t="n">
        <f aca="false">AK49+AL47</f>
        <v>100</v>
      </c>
      <c r="AM49" s="111" t="n">
        <f aca="false">AL49+AM47</f>
        <v>100</v>
      </c>
      <c r="AN49" s="111" t="n">
        <f aca="false">AM49+AN47</f>
        <v>100</v>
      </c>
      <c r="AO49" s="111" t="n">
        <f aca="false">AN49+AO47</f>
        <v>100</v>
      </c>
      <c r="AP49" s="111" t="n">
        <f aca="false">AO49+AP47</f>
        <v>100</v>
      </c>
      <c r="AQ49" s="111" t="n">
        <f aca="false">AP49+AQ47</f>
        <v>100</v>
      </c>
      <c r="AR49" s="111" t="n">
        <f aca="false">AQ49+AR47</f>
        <v>100</v>
      </c>
      <c r="AS49" s="111" t="n">
        <f aca="false">AR49+AS47</f>
        <v>100</v>
      </c>
      <c r="AT49" s="111" t="n">
        <f aca="false">AS49+AT47</f>
        <v>100</v>
      </c>
      <c r="AU49" s="111" t="n">
        <f aca="false">AT49+AU47</f>
        <v>100</v>
      </c>
      <c r="AV49" s="111" t="n">
        <f aca="false">AU49+AV47</f>
        <v>100</v>
      </c>
      <c r="AW49" s="111" t="n">
        <f aca="false">AV49+AW47</f>
        <v>100</v>
      </c>
      <c r="AX49" s="111" t="n">
        <f aca="false">AW49+AX47</f>
        <v>100</v>
      </c>
      <c r="AY49" s="111" t="n">
        <f aca="false">AX49+AY47</f>
        <v>100</v>
      </c>
      <c r="AZ49" s="111" t="n">
        <f aca="false">AY49+AZ47</f>
        <v>100</v>
      </c>
      <c r="BA49" s="111" t="n">
        <f aca="false">AZ49+BA47</f>
        <v>100</v>
      </c>
      <c r="BB49" s="111" t="n">
        <f aca="false">BA49+BB47</f>
        <v>100</v>
      </c>
      <c r="BC49" s="111" t="n">
        <f aca="false">BB49+BC47</f>
        <v>100</v>
      </c>
      <c r="BD49" s="111" t="n">
        <f aca="false">BC49+BD47</f>
        <v>100</v>
      </c>
      <c r="BE49" s="111" t="n">
        <f aca="false">BD49+BE47</f>
        <v>100</v>
      </c>
      <c r="BF49" s="111" t="n">
        <f aca="false">BE49+BF47</f>
        <v>100</v>
      </c>
      <c r="BG49" s="111" t="n">
        <f aca="false">BF49+BG47</f>
        <v>100</v>
      </c>
      <c r="BH49" s="111" t="n">
        <f aca="false">BG49+BH47</f>
        <v>100</v>
      </c>
      <c r="BI49" s="111" t="n">
        <f aca="false">BH49+BI47</f>
        <v>100</v>
      </c>
      <c r="BJ49" s="111" t="n">
        <f aca="false">BI49+BJ47</f>
        <v>100</v>
      </c>
      <c r="BK49" s="111" t="n">
        <f aca="false">BJ49+BK47</f>
        <v>100</v>
      </c>
      <c r="BL49" s="111" t="n">
        <f aca="false">BK49+BL47</f>
        <v>100</v>
      </c>
      <c r="BM49" s="111" t="n">
        <f aca="false">BL49+BM47</f>
        <v>100</v>
      </c>
      <c r="BN49" s="111" t="n">
        <f aca="false">BM49+BN47</f>
        <v>100</v>
      </c>
      <c r="BO49" s="111" t="n">
        <f aca="false">BN49+BO47</f>
        <v>100</v>
      </c>
      <c r="BP49" s="111" t="n">
        <f aca="false">BO49+BP47</f>
        <v>100</v>
      </c>
      <c r="BQ49" s="111" t="n">
        <f aca="false">BP49+BQ47</f>
        <v>100</v>
      </c>
      <c r="BR49" s="111" t="n">
        <f aca="false">BQ49+BR47</f>
        <v>100</v>
      </c>
      <c r="BS49" s="111" t="n">
        <f aca="false">BR49+BS47</f>
        <v>100</v>
      </c>
      <c r="BT49" s="111" t="n">
        <f aca="false">BS49+BT47</f>
        <v>100</v>
      </c>
      <c r="BU49" s="111" t="n">
        <f aca="false">BT49+BU47</f>
        <v>100</v>
      </c>
      <c r="BV49" s="111" t="n">
        <f aca="false">BU49+BV47</f>
        <v>100</v>
      </c>
      <c r="BW49" s="111" t="n">
        <f aca="false">BV49+BW47</f>
        <v>100</v>
      </c>
      <c r="BX49" s="111" t="n">
        <f aca="false">BW49+BX47</f>
        <v>100</v>
      </c>
      <c r="BY49" s="111" t="n">
        <f aca="false">BX49+BY47</f>
        <v>100</v>
      </c>
    </row>
    <row r="50" customFormat="false" ht="15" hidden="false" customHeight="false" outlineLevel="0" collapsed="false">
      <c r="B50" s="112" t="s">
        <v>718</v>
      </c>
      <c r="H50" s="111" t="n">
        <f aca="false">H48</f>
        <v>0</v>
      </c>
      <c r="I50" s="111" t="n">
        <f aca="false">IF(I$6&gt;46314,"",H50+I48)</f>
        <v>0</v>
      </c>
      <c r="J50" s="111" t="n">
        <f aca="false">IF(J$6&gt;46314,"",I50+J48)</f>
        <v>0</v>
      </c>
      <c r="K50" s="111" t="n">
        <f aca="false">IF(K$6&gt;46314,"",J50+K48)</f>
        <v>0</v>
      </c>
      <c r="L50" s="111" t="n">
        <f aca="false">IF(L$6&gt;46314,"",K50+L48)</f>
        <v>0</v>
      </c>
      <c r="M50" s="111" t="n">
        <f aca="false">IF(M$6&gt;46314,"",L50+M48)</f>
        <v>0</v>
      </c>
      <c r="N50" s="111" t="n">
        <f aca="false">IF(N$6&gt;46314,"",M50+N48)</f>
        <v>0.5</v>
      </c>
      <c r="O50" s="111" t="n">
        <f aca="false">IF(O$6&gt;46314,"",N50+O48)</f>
        <v>1.5</v>
      </c>
      <c r="P50" s="111" t="n">
        <f aca="false">IF(P$6&gt;46314,"",O50+P48)</f>
        <v>2.5</v>
      </c>
      <c r="Q50" s="111" t="n">
        <f aca="false">IF(Q$6&gt;46314,"",P50+Q48)</f>
        <v>3.5</v>
      </c>
      <c r="R50" s="111" t="n">
        <f aca="false">IF(R$6&gt;46314,"",Q50+R48)</f>
        <v>3.5</v>
      </c>
      <c r="S50" s="111" t="n">
        <f aca="false">IF(S$6&gt;46314,"",R50+S48)</f>
        <v>10.1667</v>
      </c>
      <c r="T50" s="111" t="n">
        <f aca="false">IF(T$6&gt;46314,"",S50+T48)</f>
        <v>16.8334</v>
      </c>
      <c r="U50" s="111" t="n">
        <f aca="false">IF(U$6&gt;46314,"",T50+U48)</f>
        <v>46.0001</v>
      </c>
      <c r="V50" s="111" t="n">
        <f aca="false">IF(V$6&gt;46314,"",U50+V48)</f>
        <v>93.5001</v>
      </c>
      <c r="W50" s="111" t="n">
        <f aca="false">IF(W$6&gt;46314,"",V50+W48)</f>
        <v>93.5001</v>
      </c>
      <c r="X50" s="111" t="n">
        <f aca="false">IF(X$6&gt;46314,"",W50+X48)</f>
        <v>93.5001</v>
      </c>
      <c r="Y50" s="111" t="n">
        <f aca="false">IF(Y$6&gt;46314,"",X50+Y48)</f>
        <v>93.7501</v>
      </c>
      <c r="Z50" s="111" t="n">
        <f aca="false">IF(Z$6&gt;46314,"",Y50+Z48)</f>
        <v>94.0001</v>
      </c>
      <c r="AA50" s="111" t="n">
        <f aca="false">IF(AA$6&gt;46314,"",Z50+AA48)</f>
        <v>94.2501</v>
      </c>
      <c r="AB50" s="111" t="n">
        <f aca="false">IF(AB$6&gt;46314,"",AA50+AB48)</f>
        <v>94.5001</v>
      </c>
      <c r="AC50" s="111" t="n">
        <f aca="false">IF(AC$6&gt;46314,"",AB50+AC48)</f>
        <v>94.7501</v>
      </c>
      <c r="AD50" s="111" t="n">
        <f aca="false">IF(AD$6&gt;46314,"",AC50+AD48)</f>
        <v>95.0001</v>
      </c>
      <c r="AE50" s="111" t="str">
        <f aca="false">IF(AE$6&gt;46314,"",AD50+AE48)</f>
        <v/>
      </c>
      <c r="AF50" s="111" t="str">
        <f aca="false">IF(AF$6&gt;46314,"",AE50+AF48)</f>
        <v/>
      </c>
      <c r="AG50" s="111" t="str">
        <f aca="false">IF(AG$6&gt;46314,"",AF50+AG48)</f>
        <v/>
      </c>
      <c r="AH50" s="111" t="str">
        <f aca="false">IF(AH$6&gt;46314,"",AG50+AH48)</f>
        <v/>
      </c>
      <c r="AI50" s="111" t="str">
        <f aca="false">IF(AI$6&gt;46314,"",AH50+AI48)</f>
        <v/>
      </c>
      <c r="AJ50" s="111" t="str">
        <f aca="false">IF(AJ$6&gt;46314,"",AI50+AJ48)</f>
        <v/>
      </c>
      <c r="AK50" s="111" t="str">
        <f aca="false">IF(AK$6&gt;46314,"",AJ50+AK48)</f>
        <v/>
      </c>
      <c r="AL50" s="111" t="str">
        <f aca="false">IF(AL$6&gt;46314,"",AK50+AL48)</f>
        <v/>
      </c>
      <c r="AM50" s="111" t="str">
        <f aca="false">IF(AM$6&gt;46314,"",AL50+AM48)</f>
        <v/>
      </c>
      <c r="AN50" s="111" t="str">
        <f aca="false">IF(AN$6&gt;46314,"",AM50+AN48)</f>
        <v/>
      </c>
      <c r="AO50" s="111" t="str">
        <f aca="false">IF(AO$6&gt;46314,"",AN50+AO48)</f>
        <v/>
      </c>
      <c r="AP50" s="111" t="str">
        <f aca="false">IF(AP$6&gt;46314,"",AO50+AP48)</f>
        <v/>
      </c>
      <c r="AQ50" s="111" t="str">
        <f aca="false">IF(AQ$6&gt;46314,"",AP50+AQ48)</f>
        <v/>
      </c>
      <c r="AR50" s="111" t="str">
        <f aca="false">IF(AR$6&gt;46314,"",AQ50+AR48)</f>
        <v/>
      </c>
      <c r="AS50" s="111" t="str">
        <f aca="false">IF(AS$6&gt;46314,"",AR50+AS48)</f>
        <v/>
      </c>
      <c r="AT50" s="111" t="str">
        <f aca="false">IF(AT$6&gt;46314,"",AS50+AT48)</f>
        <v/>
      </c>
      <c r="AU50" s="111" t="str">
        <f aca="false">IF(AU$6&gt;46314,"",AT50+AU48)</f>
        <v/>
      </c>
      <c r="AV50" s="111" t="str">
        <f aca="false">IF(AV$6&gt;46314,"",AU50+AV48)</f>
        <v/>
      </c>
      <c r="AW50" s="111" t="str">
        <f aca="false">IF(AW$6&gt;46314,"",AV50+AW48)</f>
        <v/>
      </c>
      <c r="AX50" s="111" t="str">
        <f aca="false">IF(AX$6&gt;46314,"",AW50+AX48)</f>
        <v/>
      </c>
      <c r="AY50" s="111" t="str">
        <f aca="false">IF(AY$6&gt;46314,"",AX50+AY48)</f>
        <v/>
      </c>
      <c r="AZ50" s="111" t="str">
        <f aca="false">IF(AZ$6&gt;46314,"",AY50+AZ48)</f>
        <v/>
      </c>
      <c r="BA50" s="111" t="str">
        <f aca="false">IF(BA$6&gt;46314,"",AZ50+BA48)</f>
        <v/>
      </c>
      <c r="BB50" s="111" t="str">
        <f aca="false">IF(BB$6&gt;46314,"",BA50+BB48)</f>
        <v/>
      </c>
      <c r="BC50" s="111" t="str">
        <f aca="false">IF(BC$6&gt;46314,"",BB50+BC48)</f>
        <v/>
      </c>
      <c r="BD50" s="111" t="str">
        <f aca="false">IF(BD$6&gt;46314,"",BC50+BD48)</f>
        <v/>
      </c>
      <c r="BE50" s="111" t="str">
        <f aca="false">IF(BE$6&gt;46314,"",BD50+BE48)</f>
        <v/>
      </c>
      <c r="BF50" s="111" t="str">
        <f aca="false">IF(BF$6&gt;46314,"",BE50+BF48)</f>
        <v/>
      </c>
      <c r="BG50" s="111" t="str">
        <f aca="false">IF(BG$6&gt;46314,"",BF50+BG48)</f>
        <v/>
      </c>
      <c r="BH50" s="111" t="str">
        <f aca="false">IF(BH$6&gt;46314,"",BG50+BH48)</f>
        <v/>
      </c>
      <c r="BI50" s="111" t="str">
        <f aca="false">IF(BI$6&gt;46314,"",BH50+BI48)</f>
        <v/>
      </c>
      <c r="BJ50" s="111" t="str">
        <f aca="false">IF(BJ$6&gt;46314,"",BI50+BJ48)</f>
        <v/>
      </c>
      <c r="BK50" s="111" t="str">
        <f aca="false">IF(BK$6&gt;46314,"",BJ50+BK48)</f>
        <v/>
      </c>
      <c r="BL50" s="111" t="str">
        <f aca="false">IF(BL$6&gt;46314,"",BK50+BL48)</f>
        <v/>
      </c>
      <c r="BM50" s="111" t="str">
        <f aca="false">IF(BM$6&gt;46314,"",BL50+BM48)</f>
        <v/>
      </c>
      <c r="BN50" s="111" t="str">
        <f aca="false">IF(BN$6&gt;46314,"",BM50+BN48)</f>
        <v/>
      </c>
      <c r="BO50" s="111" t="str">
        <f aca="false">IF(BO$6&gt;46314,"",BN50+BO48)</f>
        <v/>
      </c>
      <c r="BP50" s="111" t="str">
        <f aca="false">IF(BP$6&gt;46314,"",BO50+BP48)</f>
        <v/>
      </c>
      <c r="BQ50" s="111" t="str">
        <f aca="false">IF(BQ$6&gt;46314,"",BP50+BQ48)</f>
        <v/>
      </c>
      <c r="BR50" s="111" t="str">
        <f aca="false">IF(BR$6&gt;46314,"",BQ50+BR48)</f>
        <v/>
      </c>
      <c r="BS50" s="111" t="str">
        <f aca="false">IF(BS$6&gt;46314,"",BR50+BS48)</f>
        <v/>
      </c>
      <c r="BT50" s="111" t="str">
        <f aca="false">IF(BT$6&gt;46314,"",BS50+BT48)</f>
        <v/>
      </c>
      <c r="BU50" s="111" t="str">
        <f aca="false">IF(BU$6&gt;46314,"",BT50+BU48)</f>
        <v/>
      </c>
      <c r="BV50" s="111" t="str">
        <f aca="false">IF(BV$6&gt;46314,"",BU50+BV48)</f>
        <v/>
      </c>
      <c r="BW50" s="111" t="str">
        <f aca="false">IF(BW$6&gt;46314,"",BV50+BW48)</f>
        <v/>
      </c>
      <c r="BX50" s="111" t="str">
        <f aca="false">IF(BX$6&gt;46314,"",BW50+BX48)</f>
        <v/>
      </c>
      <c r="BY50" s="111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2026-10-26T04:42:24Z</dcterms:created>
  <dc:creator>openpyxl</dc:creator>
  <dc:description/>
  <dc:language>en-US</dc:language>
  <cp:lastModifiedBy/>
  <dcterms:modified xsi:type="dcterms:W3CDTF">2026-10-26T11:46:27Z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