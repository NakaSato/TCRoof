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<sst xmlns="http://schemas.openxmlformats.org/spreadsheetml/2006/main" count="1296" uniqueCount="670">
  <si>
    <t xml:space="preserve">แผนโครงการ P3-014 – สำนักงานประปาบ้านฉาง 461.13 kWp</t>
  </si>
  <si>
    <t xml:space="preserve">กปภ.สาขาบ้านฉาง, ภาคเหนือ-กลาง, กฟภ. เขต ก.2, Inverter 410 kW (ต้องยื่น พค.2), Zero export HV, คำขอ PPIM1A5082A5, วิศวกร ต้า, Admin กิ่ง, ผรม. C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</si>
  <si>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</si>
  <si>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</si>
  <si>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</si>
  <si>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</si>
  <si>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</si>
  <si>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</si>
  <si>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</si>
  <si>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</si>
  <si>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</si>
  <si>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</si>
  <si>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</si>
  <si>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</si>
  <si>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</si>
  <si>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</si>
  <si>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</si>
  <si>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</si>
  <si>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</si>
  <si>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</si>
  <si>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</si>
  <si>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</si>
  <si>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</si>
  <si>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</si>
  <si>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</si>
  <si>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</si>
  <si>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</si>
  <si>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</si>
  <si>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</si>
  <si>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P3-014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</si>
  <si>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</si>
  <si>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</si>
  <si>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</si>
  <si>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</si>
  <si>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</si>
  <si>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</si>
  <si>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</si>
  <si>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</si>
  <si>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</si>
  <si>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</si>
  <si>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</si>
  <si>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</si>
  <si>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</si>
  <si>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</si>
  <si>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</si>
  <si>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</si>
  <si>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</si>
  <si>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</si>
  <si>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</si>
  <si>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</si>
  <si>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</si>
  <si>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</si>
  <si>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</si>
  <si>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</si>
  <si>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</si>
  <si>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</si>
  <si>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</si>
  <si>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</si>
  <si>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</si>
  <si>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</si>
  <si>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</si>
  <si>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</si>
  <si>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</si>
  <si>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</si>
  <si>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</si>
  <si>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</si>
  <si>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</si>
  <si>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</si>
  <si>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</si>
  <si>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</si>
  <si>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</si>
  <si>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</si>
  <si>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</si>
  <si>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</si>
  <si>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</si>
  <si>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</si>
  <si>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</si>
  <si>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</si>
  <si>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</si>
  <si>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ต้า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</si>
  <si>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</si>
  <si>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</si>
  <si>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</si>
  <si>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</si>
  <si>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</si>
  <si>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</si>
  <si>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</si>
  <si>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WBS'!L7366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</si>
  <si>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</si>
  <si>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</si>
  <si>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</si>
  <si>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</si>
  <si>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WBS'!L7367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</si>
  <si>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</si>
  <si>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</si>
  <si>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</si>
  <si>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WBS'!L7368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</si>
  <si>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</si>
  <si>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</si>
  <si>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</si>
  <si>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WBS'!L7369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</si>
  <si>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</si>
  <si>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</si>
  <si>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</si>
  <si>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WBS'!L7370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</si>
  <si>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</si>
  <si>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</si>
  <si>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</si>
  <si>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WBS'!L7371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</si>
  <si>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</si>
  <si>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</si>
  <si>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TC-PML-2026-623,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</si>
  <si>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</si>
  <si>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</si>
  <si>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</si>
  <si>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</si>
  <si>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</si>
  <si>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</si>
  <si>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</si>
  <si>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</si>
  <si>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</si>
  <si>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</si>
  <si>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</si>
  <si>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WBS'!L7372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</si>
  <si>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</si>
  <si>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</si>
  <si>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</si>
  <si>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</si>
  <si>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WBS'!L7373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</si>
  <si>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</si>
  <si>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</si>
  <si>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</si>
  <si>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WBS'!L7374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</si>
  <si>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</si>
  <si>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</si>
  <si>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</si>
  <si>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</si>
  <si>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</si>
  <si>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</si>
  <si>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</si>
  <si>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</si>
  <si>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</si>
  <si>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</si>
  <si>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</si>
  <si>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WBS'!L7377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</si>
  <si>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</si>
  <si>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</si>
  <si>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</si>
  <si>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WBS'!L7378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</si>
  <si>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</si>
  <si>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</si>
  <si>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</si>
  <si>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WBS'!L7379</t>
    </r>
  </si>
  <si>
    <t xml:space="preserve">0.3</t>
  </si>
  <si>
    <t xml:space="preserve">หนังสือแจ้งขอดับไฟ</t>
  </si>
  <si>
    <t xml:space="preserve">TC-PML-2026-559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</si>
  <si>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</si>
  <si>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</si>
  <si>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</si>
  <si>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</si>
  <si>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</si>
  <si>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</si>
  <si>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</si>
  <si>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WBS'!L7380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</si>
  <si>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</si>
  <si>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</si>
  <si>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</si>
  <si>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WBS'!L7381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</si>
  <si>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</si>
  <si>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</si>
  <si>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</si>
  <si>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WBS'!L7382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</si>
  <si>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</si>
  <si>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</si>
  <si>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</si>
  <si>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</si>
  <si>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</si>
  <si>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</si>
  <si>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</si>
  <si>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</si>
  <si>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</si>
  <si>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WBS'!L7383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</si>
  <si>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</si>
  <si>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</si>
  <si>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</si>
  <si>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WBS'!L7384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</si>
  <si>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</si>
  <si>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</si>
  <si>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</si>
  <si>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WBS'!L7385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</si>
  <si>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</si>
  <si>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</si>
  <si>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</si>
  <si>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</si>
  <si>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</si>
  <si>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</si>
  <si>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</si>
  <si>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WBS'!L7386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</si>
  <si>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</si>
  <si>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</si>
  <si>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</si>
  <si>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WBS'!L7387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</si>
  <si>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</si>
  <si>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</si>
  <si>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</si>
  <si>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WBS'!L7388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</si>
  <si>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</si>
  <si>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</si>
  <si>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</si>
  <si>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WBS'!L7389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</si>
  <si>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</si>
  <si>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</si>
  <si>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</si>
  <si>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</si>
  <si>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</si>
  <si>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</si>
  <si>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</si>
  <si>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WBS'!L7390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</si>
  <si>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</si>
  <si>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</si>
  <si>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</si>
  <si>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WBS'!L7391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</si>
  <si>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</si>
  <si>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</si>
  <si>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</si>
  <si>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WBS'!L7392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</si>
  <si>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</si>
  <si>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</si>
  <si>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</si>
  <si>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</si>
  <si>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</si>
  <si>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</si>
  <si>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</si>
  <si>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</si>
  <si>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WBS'!L7393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</si>
  <si>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</si>
  <si>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</si>
  <si>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</si>
  <si>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WBS'!L7394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</si>
  <si>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</si>
  <si>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</si>
  <si>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</si>
  <si>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WBS'!L7395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</si>
  <si>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</si>
  <si>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</si>
  <si>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</si>
  <si>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</si>
  <si>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</si>
  <si>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</si>
  <si>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</si>
  <si>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</si>
  <si>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WBS'!L7396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</si>
  <si>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</si>
  <si>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</si>
  <si>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</si>
  <si>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WBS'!L7397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</si>
  <si>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</si>
  <si>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</si>
  <si>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</si>
  <si>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</si>
  <si>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</si>
  <si>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</si>
  <si>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WBS'!L7398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</si>
  <si>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</si>
  <si>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</si>
  <si>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</si>
  <si>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</si>
  <si>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</si>
  <si>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</si>
  <si>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</si>
  <si>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</si>
  <si>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WBS'!L7399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</si>
  <si>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</si>
  <si>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</si>
  <si>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</si>
  <si>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WBS'!L7400</t>
    </r>
  </si>
  <si>
    <t xml:space="preserve">1.7.1</t>
  </si>
  <si>
    <t xml:space="preserve">คำขอขนานไฟ PPIM (ชุด 11 ไฟล์)</t>
  </si>
  <si>
    <t xml:space="preserve">PPIM1A5082A5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</si>
  <si>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</si>
  <si>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</si>
  <si>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</si>
  <si>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</si>
  <si>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</si>
  <si>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</si>
  <si>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</si>
  <si>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</si>
  <si>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</si>
  <si>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</si>
  <si>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</si>
  <si>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</si>
  <si>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</si>
  <si>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</si>
  <si>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</si>
  <si>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</si>
  <si>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</si>
  <si>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</si>
  <si>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</si>
  <si>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</si>
  <si>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</si>
  <si>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</si>
  <si>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</si>
  <si>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</si>
  <si>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</si>
  <si>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</si>
  <si>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</si>
  <si>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</si>
  <si>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</si>
  <si>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</si>
  <si>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</si>
  <si>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</si>
  <si>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</si>
  <si>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</si>
  <si>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</si>
  <si>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</si>
  <si>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</si>
  <si>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</si>
  <si>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</si>
  <si>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</si>
  <si>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</si>
  <si>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</si>
  <si>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</si>
  <si>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</si>
  <si>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</si>
  <si>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</si>
  <si>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</si>
  <si>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</si>
  <si>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</si>
  <si>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</si>
  <si>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</si>
  <si>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</si>
  <si>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</si>
  <si>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</si>
  <si>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</si>
  <si>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</si>
  <si>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</si>
  <si>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</si>
  <si>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</si>
  <si>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</si>
  <si>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</si>
  <si>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</si>
  <si>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</si>
  <si>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WBS'!L7409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</si>
  <si>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</si>
  <si>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</si>
  <si>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</si>
  <si>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</si>
  <si>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</si>
  <si>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</si>
  <si>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</si>
  <si>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</si>
  <si>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</si>
  <si>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</si>
  <si>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</si>
  <si>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</si>
  <si>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</si>
  <si>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</si>
  <si>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</si>
  <si>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</si>
  <si>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</si>
  <si>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</si>
  <si>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</si>
  <si>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</si>
  <si>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</si>
  <si>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</si>
  <si>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</si>
  <si>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</si>
  <si>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</si>
  <si>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</si>
  <si>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</si>
  <si>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</si>
  <si>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</si>
  <si>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</si>
  <si>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</si>
  <si>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</si>
  <si>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</si>
  <si>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</si>
  <si>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</si>
  <si>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</si>
  <si>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</si>
  <si>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</si>
  <si>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</si>
  <si>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</si>
  <si>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</si>
  <si>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</si>
  <si>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</si>
  <si>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</si>
  <si>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</si>
  <si>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</si>
  <si>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</si>
  <si>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WBS'!L7419</t>
    </r>
  </si>
  <si>
    <t xml:space="preserve">2.5</t>
  </si>
  <si>
    <t xml:space="preserve">ติดตั้ง Inverter</t>
  </si>
  <si>
    <t xml:space="preserve">Inverter 410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</si>
  <si>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</si>
  <si>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</si>
  <si>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</si>
  <si>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</si>
  <si>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</si>
  <si>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</si>
  <si>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</si>
  <si>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</si>
  <si>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</si>
  <si>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</si>
  <si>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</si>
  <si>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</si>
  <si>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</si>
  <si>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</si>
  <si>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</si>
  <si>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</si>
  <si>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WBS'!L7423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</si>
  <si>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</si>
  <si>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</si>
  <si>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</si>
  <si>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</si>
  <si>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</si>
  <si>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</si>
  <si>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</si>
  <si>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</si>
  <si>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</si>
  <si>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</si>
  <si>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</si>
  <si>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</si>
  <si>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</si>
  <si>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</si>
  <si>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</si>
  <si>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</si>
  <si>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</si>
  <si>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</si>
  <si>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</si>
  <si>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</si>
  <si>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</si>
  <si>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</si>
  <si>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</si>
  <si>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</si>
  <si>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</si>
  <si>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</si>
  <si>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</si>
  <si>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</si>
  <si>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</si>
  <si>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</si>
  <si>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WBS'!L7429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</si>
  <si>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</si>
  <si>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</si>
  <si>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</si>
  <si>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</si>
  <si>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</si>
  <si>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</si>
  <si>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</si>
  <si>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WBS'!L7431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</si>
  <si>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</si>
  <si>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</si>
  <si>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</si>
  <si>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</si>
  <si>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</si>
  <si>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</si>
  <si>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</si>
  <si>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</si>
  <si>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</si>
  <si>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</si>
  <si>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WBS'!L7432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</si>
  <si>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</si>
  <si>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</si>
  <si>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</si>
  <si>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</si>
  <si>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</si>
  <si>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</si>
  <si>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</si>
  <si>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</si>
  <si>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</si>
  <si>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</si>
  <si>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</si>
  <si>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</si>
  <si>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</si>
  <si>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</si>
  <si>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</si>
  <si>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</si>
  <si>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</si>
  <si>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</si>
  <si>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</si>
  <si>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</si>
  <si>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</si>
  <si>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</si>
  <si>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</si>
  <si>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</si>
  <si>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</si>
  <si>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</si>
  <si>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</si>
  <si>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</si>
  <si>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</si>
  <si>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</si>
  <si>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</si>
  <si>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</si>
  <si>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</si>
  <si>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</si>
  <si>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</si>
  <si>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</si>
  <si>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</si>
  <si>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</si>
  <si>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</si>
  <si>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WBS'!L7439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</si>
  <si>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</si>
  <si>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</si>
  <si>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</si>
  <si>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</si>
  <si>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</si>
  <si>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</si>
  <si>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</si>
  <si>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</si>
  <si>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</si>
  <si>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</si>
  <si>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</si>
  <si>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</si>
  <si>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</si>
  <si>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</si>
  <si>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</si>
  <si>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</si>
  <si>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</si>
  <si>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</si>
  <si>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</si>
  <si>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</si>
  <si>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</si>
  <si>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</si>
  <si>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</si>
  <si>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</si>
  <si>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</si>
  <si>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</si>
  <si>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</si>
  <si>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</si>
  <si>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</si>
  <si>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</si>
  <si>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</si>
  <si>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</si>
  <si>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</si>
  <si>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</si>
  <si>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</si>
  <si>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</si>
  <si>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</si>
  <si>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</si>
  <si>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</si>
  <si>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</si>
  <si>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</si>
  <si>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</si>
  <si>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</si>
  <si>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</si>
  <si>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</si>
  <si>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</si>
  <si>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</si>
  <si>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</si>
  <si>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</si>
  <si>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</si>
  <si>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</si>
  <si>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</si>
  <si>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</si>
  <si>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</si>
  <si>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</si>
  <si>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</si>
  <si>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WBS'!L7449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</si>
  <si>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</si>
  <si>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</si>
  <si>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</si>
  <si>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</si>
  <si>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</si>
  <si>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</si>
  <si>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</si>
  <si>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</si>
  <si>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</si>
  <si>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</si>
  <si>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</si>
  <si>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</si>
  <si>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</si>
  <si>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</si>
  <si>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</si>
  <si>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</si>
  <si>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</si>
  <si>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</si>
  <si>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</si>
  <si>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</si>
  <si>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</si>
  <si>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</si>
  <si>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</si>
  <si>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</si>
  <si>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</si>
  <si>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</si>
  <si>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</si>
  <si>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</si>
  <si>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</si>
  <si>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</si>
  <si>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</si>
  <si>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</si>
  <si>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</si>
  <si>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</si>
  <si>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</si>
  <si>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</si>
  <si>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</si>
  <si>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</si>
  <si>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125+125+80+80 kW, โรงเรือน 14.00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</si>
  <si>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</si>
  <si>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</si>
  <si>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</si>
  <si>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</si>
  <si>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</si>
  <si>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</si>
  <si>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</si>
  <si>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</si>
  <si>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</si>
  <si>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</si>
  <si>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</si>
  <si>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</si>
  <si>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</si>
  <si>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</si>
  <si>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</si>
  <si>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</si>
  <si>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</si>
  <si>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</si>
  <si>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สำนักงานประปาบ้านฉาง การประปาส่วนภูมิภาคสาขาบ้านฉาง ขนาดกำลังผลิต </t>
    </r>
    <r>
      <rPr>
        <sz val="10"/>
        <rFont val="Tahoma"/>
        <family val="0"/>
        <charset val="1"/>
      </rPr>
      <t xml:space="preserve">461.13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</si>
  <si>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</si>
  <si>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</si>
  <si>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</si>
  <si>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P3-014,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ต้า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</si>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</sst>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0.842857142857143</c:v>
                </c:pt>
                <c:pt idx="9">
                  <c:v>2.04285714285714</c:v>
                </c:pt>
                <c:pt idx="10">
                  <c:v>2.5</c:v>
                </c:pt>
                <c:pt idx="11">
                  <c:v>2.5</c:v>
                </c:pt>
                <c:pt idx="12">
                  <c:v>7.44444444444445</c:v>
                </c:pt>
                <c:pt idx="13">
                  <c:v>15.2222222222222</c:v>
                </c:pt>
                <c:pt idx="14">
                  <c:v>25.6666666666667</c:v>
                </c:pt>
                <c:pt idx="15">
                  <c:v>74.4047619047619</c:v>
                </c:pt>
                <c:pt idx="16">
                  <c:v>95.7101449275362</c:v>
                </c:pt>
                <c:pt idx="17">
                  <c:v>96.695652173913</c:v>
                </c:pt>
                <c:pt idx="18">
                  <c:v>96.8478260869565</c:v>
                </c:pt>
                <c:pt idx="19">
                  <c:v>97</c:v>
                </c:pt>
                <c:pt idx="20">
                  <c:v>97.1521739130435</c:v>
                </c:pt>
                <c:pt idx="21">
                  <c:v>97.304347826087</c:v>
                </c:pt>
                <c:pt idx="22">
                  <c:v>97.4565217391305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4.0237</c:v>
                </c:pt>
                <c:pt idx="9">
                  <c:v>7.5474</c:v>
                </c:pt>
                <c:pt idx="10">
                  <c:v>11.0711</c:v>
                </c:pt>
                <c:pt idx="11">
                  <c:v>13.9282</c:v>
                </c:pt>
                <c:pt idx="12">
                  <c:v>17.2853</c:v>
                </c:pt>
                <c:pt idx="13">
                  <c:v>25.1424</c:v>
                </c:pt>
                <c:pt idx="14">
                  <c:v>32.9995</c:v>
                </c:pt>
                <c:pt idx="15">
                  <c:v>60.4995</c:v>
                </c:pt>
                <c:pt idx="16">
                  <c:v>92.9995</c:v>
                </c:pt>
                <c:pt idx="17">
                  <c:v>92.9995</c:v>
                </c:pt>
                <c:pt idx="18">
                  <c:v>92.9995</c:v>
                </c:pt>
                <c:pt idx="19">
                  <c:v>93.9995</c:v>
                </c:pt>
                <c:pt idx="20">
                  <c:v>93.9995</c:v>
                </c:pt>
                <c:pt idx="21">
                  <c:v>94.4995</c:v>
                </c:pt>
                <c:pt idx="22">
                  <c:v>94.9995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267716"/>
        <c:axId val="85376264"/>
      </c:lineChart>
      <c:catAx>
        <c:axId val="7226771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76264"/>
        <c:crosses val="autoZero"/>
        <c:auto val="1"/>
        <c:lblAlgn val="ctr"/>
        <c:lblOffset val="100"/>
        <c:noMultiLvlLbl val="0"/>
      </c:catAx>
      <c:valAx>
        <c:axId val="85376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677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46386</v>
      </c>
      <c r="G4" s="10"/>
      <c r="H4" s="10"/>
      <c r="J4" s="11" t="n">
        <v>0.95</v>
      </c>
      <c r="K4" s="11"/>
      <c r="L4" s="12" t="n">
        <v>49</v>
      </c>
      <c r="M4" s="12"/>
      <c r="N4" s="12" t="n">
        <v>64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46214</v>
      </c>
      <c r="O8" s="33" t="n">
        <v>46405</v>
      </c>
      <c r="P8" s="34" t="s">
        <v>75</v>
      </c>
      <c r="Q8" s="31" t="n">
        <v>66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46214</v>
      </c>
      <c r="O9" s="45" t="n">
        <v>46405</v>
      </c>
      <c r="P9" s="46" t="s">
        <v>75</v>
      </c>
      <c r="Q9" s="37" t="n">
        <v>66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46214</v>
      </c>
      <c r="O10" s="55" t="n">
        <v>46233</v>
      </c>
      <c r="P10" s="50" t="s">
        <v>75</v>
      </c>
      <c r="Q10" s="52" t="n">
        <v>7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46214</v>
      </c>
      <c r="O11" s="55" t="n">
        <v>46233</v>
      </c>
      <c r="P11" s="50" t="s">
        <v>75</v>
      </c>
      <c r="Q11" s="52" t="n">
        <v>7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46214</v>
      </c>
      <c r="O12" s="55" t="n">
        <v>46233</v>
      </c>
      <c r="P12" s="50" t="s">
        <v>75</v>
      </c>
      <c r="Q12" s="52" t="n">
        <v>7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46214</v>
      </c>
      <c r="O13" s="55" t="n">
        <v>46243</v>
      </c>
      <c r="P13" s="50" t="s">
        <v>75</v>
      </c>
      <c r="Q13" s="52" t="n">
        <v>10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46233</v>
      </c>
      <c r="O14" s="55" t="n">
        <v>46405</v>
      </c>
      <c r="P14" s="50" t="s">
        <v>75</v>
      </c>
      <c r="Q14" s="52" t="n">
        <v>66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46233</v>
      </c>
      <c r="O15" s="55" t="n">
        <v>46405</v>
      </c>
      <c r="P15" s="50" t="s">
        <v>75</v>
      </c>
      <c r="Q15" s="52" t="n">
        <v>66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46235</v>
      </c>
      <c r="O16" s="45" t="n">
        <v>46244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46235</v>
      </c>
      <c r="O17" s="55" t="n">
        <v>46237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46236</v>
      </c>
      <c r="O18" s="55" t="n">
        <v>46239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46238</v>
      </c>
      <c r="O19" s="55" t="n">
        <v>46241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46238</v>
      </c>
      <c r="O20" s="55" t="n">
        <v>46241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46239</v>
      </c>
      <c r="O21" s="55" t="n">
        <v>46242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46240</v>
      </c>
      <c r="O22" s="55" t="n">
        <v>46243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46239</v>
      </c>
      <c r="J23" s="53" t="n">
        <v>46244</v>
      </c>
      <c r="K23" s="52"/>
      <c r="L23" s="52"/>
      <c r="M23" s="54" t="s">
        <v>148</v>
      </c>
      <c r="N23" s="55" t="n">
        <v>46240</v>
      </c>
      <c r="O23" s="55" t="n">
        <v>46244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152</v>
      </c>
      <c r="N24" s="55" t="n">
        <v>46240</v>
      </c>
      <c r="O24" s="55" t="n">
        <v>46244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46258</v>
      </c>
      <c r="M25" s="43"/>
      <c r="N25" s="44" t="n">
        <v>46258</v>
      </c>
      <c r="O25" s="45" t="n">
        <v>46258</v>
      </c>
      <c r="P25" s="46" t="s">
        <v>60</v>
      </c>
      <c r="Q25" s="37" t="n">
        <v>20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163</v>
      </c>
      <c r="N26" s="55" t="n">
        <v>46258</v>
      </c>
      <c r="O26" s="55" t="n">
        <v>46258</v>
      </c>
      <c r="P26" s="50" t="s">
        <v>124</v>
      </c>
      <c r="Q26" s="52" t="n">
        <v>20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167</v>
      </c>
      <c r="N27" s="55" t="n">
        <v>46258</v>
      </c>
      <c r="O27" s="55" t="n">
        <v>46258</v>
      </c>
      <c r="P27" s="50" t="s">
        <v>124</v>
      </c>
      <c r="Q27" s="52" t="n">
        <v>20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171</v>
      </c>
      <c r="N28" s="55" t="n">
        <v>46258</v>
      </c>
      <c r="O28" s="55" t="n">
        <v>46258</v>
      </c>
      <c r="P28" s="50" t="s">
        <v>124</v>
      </c>
      <c r="Q28" s="52" t="n">
        <v>20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46214</v>
      </c>
      <c r="O29" s="33" t="n">
        <v>46386</v>
      </c>
      <c r="P29" s="34" t="s">
        <v>75</v>
      </c>
      <c r="Q29" s="31" t="n">
        <v>64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46214</v>
      </c>
      <c r="O30" s="45" t="n">
        <v>46214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181</v>
      </c>
      <c r="N31" s="55" t="n">
        <v>46214</v>
      </c>
      <c r="O31" s="55" t="n">
        <v>46214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185</v>
      </c>
      <c r="N32" s="55" t="n">
        <v>46214</v>
      </c>
      <c r="O32" s="55" t="n">
        <v>46214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189</v>
      </c>
      <c r="N33" s="55" t="n">
        <v>46214</v>
      </c>
      <c r="O33" s="55" t="n">
        <v>46214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46221</v>
      </c>
      <c r="O34" s="45" t="n">
        <v>46230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197</v>
      </c>
      <c r="N35" s="55" t="n">
        <v>46221</v>
      </c>
      <c r="O35" s="55" t="n">
        <v>46226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201</v>
      </c>
      <c r="N36" s="55" t="n">
        <v>46221</v>
      </c>
      <c r="O36" s="55" t="n">
        <v>46226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205</v>
      </c>
      <c r="N37" s="55" t="n">
        <v>46224</v>
      </c>
      <c r="O37" s="55" t="n">
        <v>46227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209</v>
      </c>
      <c r="N38" s="55" t="n">
        <v>46226</v>
      </c>
      <c r="O38" s="55" t="n">
        <v>46230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46244</v>
      </c>
      <c r="O39" s="45" t="n">
        <v>46244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217</v>
      </c>
      <c r="N40" s="55" t="n">
        <v>46244</v>
      </c>
      <c r="O40" s="55" t="n">
        <v>46244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221</v>
      </c>
      <c r="N41" s="55" t="n">
        <v>46244</v>
      </c>
      <c r="O41" s="55" t="n">
        <v>46244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225</v>
      </c>
      <c r="N42" s="55" t="n">
        <v>46244</v>
      </c>
      <c r="O42" s="55" t="n">
        <v>46244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46221</v>
      </c>
      <c r="O43" s="45" t="n">
        <v>46234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234</v>
      </c>
      <c r="N44" s="55" t="n">
        <v>46221</v>
      </c>
      <c r="O44" s="55" t="n">
        <v>46224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238</v>
      </c>
      <c r="N45" s="55" t="n">
        <v>46222</v>
      </c>
      <c r="O45" s="55" t="n">
        <v>46228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242</v>
      </c>
      <c r="N46" s="55" t="n">
        <v>46228</v>
      </c>
      <c r="O46" s="55" t="n">
        <v>46234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46277</v>
      </c>
      <c r="J47" s="41" t="n">
        <v>46277</v>
      </c>
      <c r="K47" s="42"/>
      <c r="L47" s="42" t="n">
        <v>46295</v>
      </c>
      <c r="M47" s="43"/>
      <c r="N47" s="44" t="n">
        <v>46295</v>
      </c>
      <c r="O47" s="45" t="n">
        <v>46295</v>
      </c>
      <c r="P47" s="46" t="s">
        <v>60</v>
      </c>
      <c r="Q47" s="37" t="n">
        <v>18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46277</v>
      </c>
      <c r="J48" s="53" t="n">
        <v>46277</v>
      </c>
      <c r="K48" s="52"/>
      <c r="L48" s="52"/>
      <c r="M48" s="54" t="s">
        <v>251</v>
      </c>
      <c r="N48" s="55" t="n">
        <v>46295</v>
      </c>
      <c r="O48" s="55" t="n">
        <v>46295</v>
      </c>
      <c r="P48" s="50" t="s">
        <v>124</v>
      </c>
      <c r="Q48" s="52" t="n">
        <v>18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46277</v>
      </c>
      <c r="J49" s="53" t="n">
        <v>46277</v>
      </c>
      <c r="K49" s="52"/>
      <c r="L49" s="52"/>
      <c r="M49" s="54" t="s">
        <v>255</v>
      </c>
      <c r="N49" s="55" t="n">
        <v>46295</v>
      </c>
      <c r="O49" s="55" t="n">
        <v>46295</v>
      </c>
      <c r="P49" s="50" t="s">
        <v>124</v>
      </c>
      <c r="Q49" s="52" t="n">
        <v>18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257</v>
      </c>
      <c r="C50" s="39"/>
      <c r="D50" s="39" t="s">
        <v>258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46278</v>
      </c>
      <c r="J50" s="41" t="n">
        <v>46307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36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46277</v>
      </c>
      <c r="J51" s="53" t="n">
        <v>46277</v>
      </c>
      <c r="K51" s="52"/>
      <c r="L51" s="52"/>
      <c r="M51" s="54" t="s">
        <v>262</v>
      </c>
      <c r="N51" s="55" t="n">
        <v>46295</v>
      </c>
      <c r="O51" s="55" t="n">
        <v>46295</v>
      </c>
      <c r="P51" s="50" t="s">
        <v>124</v>
      </c>
      <c r="Q51" s="52" t="n">
        <v>18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46309</v>
      </c>
      <c r="M55" s="43"/>
      <c r="N55" s="44" t="n">
        <v>46309</v>
      </c>
      <c r="O55" s="45" t="n">
        <v>46309</v>
      </c>
      <c r="P55" s="46" t="s">
        <v>60</v>
      </c>
      <c r="Q55" s="37" t="n">
        <v>32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46278</v>
      </c>
      <c r="J57" s="41" t="n">
        <v>46298</v>
      </c>
      <c r="K57" s="42" t="n">
        <v>46309</v>
      </c>
      <c r="L57" s="42"/>
      <c r="M57" s="43"/>
      <c r="N57" s="44" t="n">
        <v>46309</v>
      </c>
      <c r="O57" s="45" t="n">
        <v>46331</v>
      </c>
      <c r="P57" s="46" t="s">
        <v>75</v>
      </c>
      <c r="Q57" s="37" t="n">
        <v>33</v>
      </c>
      <c r="R57" s="39"/>
      <c r="S57" s="39" t="n">
        <v>1</v>
      </c>
      <c r="T57" s="39" t="s">
        <v>76</v>
      </c>
      <c r="U57" s="58" t="n">
        <v>46309.0057</v>
      </c>
      <c r="V57" s="47" t="n">
        <v>0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/>
      <c r="N58" s="44" t="n">
        <v>46332</v>
      </c>
      <c r="O58" s="45" t="n">
        <v>46338</v>
      </c>
      <c r="P58" s="46" t="s">
        <v>287</v>
      </c>
      <c r="Q58" s="37" t="n">
        <v>33</v>
      </c>
      <c r="R58" s="39"/>
      <c r="S58" s="39" t="n">
        <v>1</v>
      </c>
      <c r="T58" s="39" t="s">
        <v>288</v>
      </c>
      <c r="U58" s="58" t="n">
        <v>46332.0058</v>
      </c>
      <c r="V58" s="47" t="n">
        <v>0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/>
      <c r="N59" s="44" t="n">
        <v>46342</v>
      </c>
      <c r="O59" s="45" t="n">
        <v>46342</v>
      </c>
      <c r="P59" s="46" t="s">
        <v>287</v>
      </c>
      <c r="Q59" s="37" t="n">
        <v>36</v>
      </c>
      <c r="R59" s="39"/>
      <c r="S59" s="39" t="n">
        <v>1</v>
      </c>
      <c r="T59" s="39" t="s">
        <v>288</v>
      </c>
      <c r="U59" s="58" t="n">
        <v>46342.0059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46345</v>
      </c>
      <c r="O60" s="60" t="n">
        <v>46386</v>
      </c>
      <c r="P60" s="46" t="s">
        <v>287</v>
      </c>
      <c r="Q60" s="37" t="n">
        <v>64</v>
      </c>
      <c r="R60" s="39"/>
      <c r="S60" s="39" t="n">
        <v>1</v>
      </c>
      <c r="T60" s="39" t="s">
        <v>288</v>
      </c>
      <c r="U60" s="58" t="n">
        <v>46345.006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46219</v>
      </c>
      <c r="O61" s="33" t="n">
        <v>46287</v>
      </c>
      <c r="P61" s="34" t="s">
        <v>60</v>
      </c>
      <c r="Q61" s="31" t="n">
        <v>11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156</v>
      </c>
      <c r="G62" s="37"/>
      <c r="H62" s="37" t="n">
        <v>46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46219</v>
      </c>
      <c r="O62" s="45" t="n">
        <v>46264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306</v>
      </c>
      <c r="N63" s="55" t="n">
        <v>46219</v>
      </c>
      <c r="O63" s="55" t="n">
        <v>46224</v>
      </c>
      <c r="P63" s="50" t="s">
        <v>124</v>
      </c>
      <c r="Q63" s="52" t="n">
        <v>-25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310</v>
      </c>
      <c r="N64" s="55" t="n">
        <v>46219</v>
      </c>
      <c r="O64" s="55" t="n">
        <v>46228</v>
      </c>
      <c r="P64" s="50" t="s">
        <v>124</v>
      </c>
      <c r="Q64" s="52" t="n">
        <v>-22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314</v>
      </c>
      <c r="N65" s="55" t="n">
        <v>46224</v>
      </c>
      <c r="O65" s="55" t="n">
        <v>46242</v>
      </c>
      <c r="P65" s="50" t="s">
        <v>124</v>
      </c>
      <c r="Q65" s="52" t="n">
        <v>-13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318</v>
      </c>
      <c r="N66" s="55" t="n">
        <v>46237</v>
      </c>
      <c r="O66" s="55" t="n">
        <v>46257</v>
      </c>
      <c r="P66" s="50" t="s">
        <v>124</v>
      </c>
      <c r="Q66" s="52" t="n">
        <v>-4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322</v>
      </c>
      <c r="N67" s="55" t="n">
        <v>46246</v>
      </c>
      <c r="O67" s="55" t="n">
        <v>46262</v>
      </c>
      <c r="P67" s="50" t="s">
        <v>124</v>
      </c>
      <c r="Q67" s="52" t="n">
        <v>-1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326</v>
      </c>
      <c r="N68" s="55" t="n">
        <v>46255</v>
      </c>
      <c r="O68" s="55" t="n">
        <v>46264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330</v>
      </c>
      <c r="N69" s="55" t="n">
        <v>46262</v>
      </c>
      <c r="O69" s="55" t="n">
        <v>46264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299</v>
      </c>
      <c r="D70" s="39" t="s">
        <v>300</v>
      </c>
      <c r="E70" s="40" t="n">
        <v>10</v>
      </c>
      <c r="F70" s="39" t="s">
        <v>333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46271</v>
      </c>
      <c r="O70" s="45" t="n">
        <v>46274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338</v>
      </c>
      <c r="N71" s="55" t="n">
        <v>46271</v>
      </c>
      <c r="O71" s="55" t="n">
        <v>46272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342</v>
      </c>
      <c r="N72" s="55" t="n">
        <v>46272</v>
      </c>
      <c r="O72" s="55" t="n">
        <v>46273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346</v>
      </c>
      <c r="N73" s="55" t="n">
        <v>46272</v>
      </c>
      <c r="O73" s="55" t="n">
        <v>46273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350</v>
      </c>
      <c r="N74" s="55" t="n">
        <v>46273</v>
      </c>
      <c r="O74" s="55" t="n">
        <v>46274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354</v>
      </c>
      <c r="N75" s="55" t="n">
        <v>46273</v>
      </c>
      <c r="O75" s="55" t="n">
        <v>46274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299</v>
      </c>
      <c r="D76" s="39" t="s">
        <v>300</v>
      </c>
      <c r="E76" s="40" t="n">
        <v>20</v>
      </c>
      <c r="F76" s="39" t="s">
        <v>357</v>
      </c>
      <c r="G76" s="37"/>
      <c r="H76" s="37" t="n">
        <v>18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46257</v>
      </c>
      <c r="O76" s="45" t="n">
        <v>46274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362</v>
      </c>
      <c r="N77" s="55" t="n">
        <v>46257</v>
      </c>
      <c r="O77" s="55" t="n">
        <v>46262</v>
      </c>
      <c r="P77" s="50" t="s">
        <v>124</v>
      </c>
      <c r="Q77" s="52" t="n">
        <v>-6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366</v>
      </c>
      <c r="N78" s="55" t="n">
        <v>46259</v>
      </c>
      <c r="O78" s="55" t="n">
        <v>46271</v>
      </c>
      <c r="P78" s="50" t="s">
        <v>124</v>
      </c>
      <c r="Q78" s="52" t="n">
        <v>-2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370</v>
      </c>
      <c r="N79" s="55" t="n">
        <v>46264</v>
      </c>
      <c r="O79" s="55" t="n">
        <v>46273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374</v>
      </c>
      <c r="N80" s="55" t="n">
        <v>46271</v>
      </c>
      <c r="O80" s="55" t="n">
        <v>46274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378</v>
      </c>
      <c r="N81" s="55" t="n">
        <v>46273</v>
      </c>
      <c r="O81" s="55" t="n">
        <v>46274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300</v>
      </c>
      <c r="E82" s="40" t="n">
        <v>2.5</v>
      </c>
      <c r="F82" s="39" t="s">
        <v>357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46269</v>
      </c>
      <c r="O82" s="45" t="n">
        <v>46271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386</v>
      </c>
      <c r="N83" s="55" t="n">
        <v>46269</v>
      </c>
      <c r="O83" s="55" t="n">
        <v>46270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390</v>
      </c>
      <c r="N84" s="55" t="n">
        <v>46270</v>
      </c>
      <c r="O84" s="55" t="n">
        <v>46271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300</v>
      </c>
      <c r="E85" s="40" t="n">
        <v>15</v>
      </c>
      <c r="F85" s="39" t="s">
        <v>333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46269</v>
      </c>
      <c r="O85" s="45" t="n">
        <v>46272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398</v>
      </c>
      <c r="N86" s="55" t="n">
        <v>46269</v>
      </c>
      <c r="O86" s="55" t="n">
        <v>46271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402</v>
      </c>
      <c r="N87" s="55" t="n">
        <v>46270</v>
      </c>
      <c r="O87" s="55" t="n">
        <v>46272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406</v>
      </c>
      <c r="N88" s="55" t="n">
        <v>46271</v>
      </c>
      <c r="O88" s="55" t="n">
        <v>46272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410</v>
      </c>
      <c r="N89" s="55" t="n">
        <v>46272</v>
      </c>
      <c r="O89" s="55" t="n">
        <v>46272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300</v>
      </c>
      <c r="E90" s="40" t="n">
        <v>10</v>
      </c>
      <c r="F90" s="39" t="s">
        <v>357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46270</v>
      </c>
      <c r="O90" s="45" t="n">
        <v>46273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418</v>
      </c>
      <c r="N91" s="55" t="n">
        <v>46270</v>
      </c>
      <c r="O91" s="55" t="n">
        <v>46272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422</v>
      </c>
      <c r="N92" s="55" t="n">
        <v>46272</v>
      </c>
      <c r="O92" s="55" t="n">
        <v>46273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426</v>
      </c>
      <c r="N93" s="55" t="n">
        <v>46270</v>
      </c>
      <c r="O93" s="55" t="n">
        <v>46272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430</v>
      </c>
      <c r="N94" s="55" t="n">
        <v>46272</v>
      </c>
      <c r="O94" s="55" t="n">
        <v>46273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434</v>
      </c>
      <c r="N95" s="55" t="n">
        <v>46273</v>
      </c>
      <c r="O95" s="55" t="n">
        <v>46273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300</v>
      </c>
      <c r="E96" s="40" t="n">
        <v>5</v>
      </c>
      <c r="F96" s="39" t="s">
        <v>357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46271</v>
      </c>
      <c r="O96" s="45" t="n">
        <v>46273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441</v>
      </c>
      <c r="N97" s="55" t="n">
        <v>46271</v>
      </c>
      <c r="O97" s="55" t="n">
        <v>46273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445</v>
      </c>
      <c r="N98" s="55" t="n">
        <v>46272</v>
      </c>
      <c r="O98" s="55" t="n">
        <v>46273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449</v>
      </c>
      <c r="N99" s="55" t="n">
        <v>46273</v>
      </c>
      <c r="O99" s="55" t="n">
        <v>46273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300</v>
      </c>
      <c r="E100" s="40" t="n">
        <v>5</v>
      </c>
      <c r="F100" s="39" t="s">
        <v>453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46272</v>
      </c>
      <c r="O100" s="45" t="n">
        <v>46274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46269</v>
      </c>
      <c r="J101" s="53" t="n">
        <v>46270</v>
      </c>
      <c r="K101" s="52"/>
      <c r="L101" s="52"/>
      <c r="M101" s="61"/>
      <c r="N101" s="55" t="n">
        <v>46272</v>
      </c>
      <c r="O101" s="55" t="n">
        <v>46272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46270</v>
      </c>
      <c r="J102" s="53" t="n">
        <v>46273</v>
      </c>
      <c r="K102" s="52"/>
      <c r="L102" s="52"/>
      <c r="M102" s="54" t="s">
        <v>460</v>
      </c>
      <c r="N102" s="55" t="n">
        <v>46272</v>
      </c>
      <c r="O102" s="55" t="n">
        <v>46273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464</v>
      </c>
      <c r="Q103" s="52"/>
      <c r="R103" s="52"/>
      <c r="S103" s="52" t="n">
        <v>2</v>
      </c>
      <c r="T103" s="52" t="s">
        <v>465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466</v>
      </c>
      <c r="B104" s="50" t="s">
        <v>467</v>
      </c>
      <c r="C104" s="50" t="s">
        <v>468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469</v>
      </c>
      <c r="N104" s="55" t="n">
        <v>46273</v>
      </c>
      <c r="O104" s="55" t="n">
        <v>46274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470</v>
      </c>
      <c r="B105" s="50" t="s">
        <v>471</v>
      </c>
      <c r="C105" s="50" t="s">
        <v>472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473</v>
      </c>
      <c r="N105" s="55" t="n">
        <v>46273</v>
      </c>
      <c r="O105" s="55" t="n">
        <v>46274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474</v>
      </c>
      <c r="B106" s="52" t="s">
        <v>475</v>
      </c>
      <c r="C106" s="50" t="s">
        <v>476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477</v>
      </c>
      <c r="N106" s="55" t="n">
        <v>46274</v>
      </c>
      <c r="O106" s="55" t="n">
        <v>46274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478</v>
      </c>
      <c r="B107" s="39" t="s">
        <v>479</v>
      </c>
      <c r="C107" s="39"/>
      <c r="D107" s="39" t="s">
        <v>300</v>
      </c>
      <c r="E107" s="40" t="n">
        <v>2.5</v>
      </c>
      <c r="F107" s="39" t="s">
        <v>453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46274</v>
      </c>
      <c r="O107" s="45" t="n">
        <v>46275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480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481</v>
      </c>
      <c r="B108" s="52" t="s">
        <v>482</v>
      </c>
      <c r="C108" s="52" t="s">
        <v>483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484</v>
      </c>
      <c r="N108" s="55" t="n">
        <v>46274</v>
      </c>
      <c r="O108" s="55" t="n">
        <v>46275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485</v>
      </c>
      <c r="B109" s="50" t="s">
        <v>486</v>
      </c>
      <c r="C109" s="50" t="s">
        <v>487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488</v>
      </c>
      <c r="N109" s="55" t="n">
        <v>46275</v>
      </c>
      <c r="O109" s="55" t="n">
        <v>46275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489</v>
      </c>
      <c r="B110" s="52" t="s">
        <v>490</v>
      </c>
      <c r="C110" s="50" t="s">
        <v>491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492</v>
      </c>
      <c r="N110" s="55" t="n">
        <v>46274</v>
      </c>
      <c r="O110" s="55" t="n">
        <v>46275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493</v>
      </c>
      <c r="B111" s="39" t="s">
        <v>494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46287</v>
      </c>
      <c r="M111" s="43"/>
      <c r="N111" s="44" t="n">
        <v>46287</v>
      </c>
      <c r="O111" s="45" t="n">
        <v>46287</v>
      </c>
      <c r="P111" s="46" t="s">
        <v>60</v>
      </c>
      <c r="Q111" s="37" t="n">
        <v>11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500</v>
      </c>
      <c r="N112" s="55" t="n">
        <v>46287</v>
      </c>
      <c r="O112" s="55" t="n">
        <v>46287</v>
      </c>
      <c r="P112" s="50" t="s">
        <v>124</v>
      </c>
      <c r="Q112" s="52" t="n">
        <v>11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504</v>
      </c>
      <c r="N113" s="55" t="n">
        <v>46287</v>
      </c>
      <c r="O113" s="55" t="n">
        <v>46287</v>
      </c>
      <c r="P113" s="50" t="s">
        <v>124</v>
      </c>
      <c r="Q113" s="52" t="n">
        <v>11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46269</v>
      </c>
      <c r="O114" s="33" t="n">
        <v>46405</v>
      </c>
      <c r="P114" s="34" t="s">
        <v>75</v>
      </c>
      <c r="Q114" s="31" t="n">
        <v>66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508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46331</v>
      </c>
      <c r="O115" s="45" t="n">
        <v>46331</v>
      </c>
      <c r="P115" s="46" t="s">
        <v>287</v>
      </c>
      <c r="Q115" s="37" t="n">
        <v>52</v>
      </c>
      <c r="R115" s="39"/>
      <c r="S115" s="39" t="n">
        <v>1</v>
      </c>
      <c r="T115" s="39" t="s">
        <v>288</v>
      </c>
      <c r="U115" s="58" t="n">
        <v>46331.0115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514</v>
      </c>
      <c r="N116" s="55" t="n">
        <v>46331</v>
      </c>
      <c r="O116" s="55" t="n">
        <v>46331</v>
      </c>
      <c r="P116" s="50" t="s">
        <v>287</v>
      </c>
      <c r="Q116" s="52" t="n">
        <v>54</v>
      </c>
      <c r="R116" s="52"/>
      <c r="S116" s="52" t="n">
        <v>2</v>
      </c>
      <c r="T116" s="52" t="s">
        <v>288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518</v>
      </c>
      <c r="N117" s="55" t="n">
        <v>46331</v>
      </c>
      <c r="O117" s="55" t="n">
        <v>46331</v>
      </c>
      <c r="P117" s="50" t="s">
        <v>287</v>
      </c>
      <c r="Q117" s="52" t="n">
        <v>53</v>
      </c>
      <c r="R117" s="52"/>
      <c r="S117" s="52" t="n">
        <v>2</v>
      </c>
      <c r="T117" s="52" t="s">
        <v>288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522</v>
      </c>
      <c r="N118" s="55" t="n">
        <v>46331</v>
      </c>
      <c r="O118" s="55" t="n">
        <v>46331</v>
      </c>
      <c r="P118" s="50" t="s">
        <v>287</v>
      </c>
      <c r="Q118" s="52" t="n">
        <v>53</v>
      </c>
      <c r="R118" s="52"/>
      <c r="S118" s="52" t="n">
        <v>2</v>
      </c>
      <c r="T118" s="52" t="s">
        <v>288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526</v>
      </c>
      <c r="N119" s="55" t="n">
        <v>46331</v>
      </c>
      <c r="O119" s="55" t="n">
        <v>46331</v>
      </c>
      <c r="P119" s="50" t="s">
        <v>287</v>
      </c>
      <c r="Q119" s="52" t="n">
        <v>53</v>
      </c>
      <c r="R119" s="52"/>
      <c r="S119" s="52" t="n">
        <v>2</v>
      </c>
      <c r="T119" s="52" t="s">
        <v>288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530</v>
      </c>
      <c r="N120" s="55" t="n">
        <v>46331</v>
      </c>
      <c r="O120" s="55" t="n">
        <v>46331</v>
      </c>
      <c r="P120" s="50" t="s">
        <v>287</v>
      </c>
      <c r="Q120" s="52" t="n">
        <v>52</v>
      </c>
      <c r="R120" s="52"/>
      <c r="S120" s="52" t="n">
        <v>2</v>
      </c>
      <c r="T120" s="52" t="s">
        <v>288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534</v>
      </c>
      <c r="N121" s="55" t="n">
        <v>46331</v>
      </c>
      <c r="O121" s="55" t="n">
        <v>46331</v>
      </c>
      <c r="P121" s="50" t="s">
        <v>287</v>
      </c>
      <c r="Q121" s="52" t="n">
        <v>52</v>
      </c>
      <c r="R121" s="52"/>
      <c r="S121" s="52" t="n">
        <v>2</v>
      </c>
      <c r="T121" s="52" t="s">
        <v>288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46321</v>
      </c>
      <c r="O122" s="45" t="n">
        <v>46321</v>
      </c>
      <c r="P122" s="46" t="s">
        <v>287</v>
      </c>
      <c r="Q122" s="37" t="n">
        <v>42</v>
      </c>
      <c r="R122" s="39"/>
      <c r="S122" s="39" t="n">
        <v>1</v>
      </c>
      <c r="T122" s="39" t="s">
        <v>288</v>
      </c>
      <c r="U122" s="58" t="n">
        <v>46321.0122</v>
      </c>
      <c r="V122" s="47" t="n">
        <v>0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8" t="s">
        <v>540</v>
      </c>
      <c r="D123" s="39" t="s">
        <v>79</v>
      </c>
      <c r="E123" s="40" t="n">
        <v>0</v>
      </c>
      <c r="F123" s="38" t="s">
        <v>493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-6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46392</v>
      </c>
      <c r="O124" s="45" t="n">
        <v>46405</v>
      </c>
      <c r="P124" s="46" t="s">
        <v>287</v>
      </c>
      <c r="Q124" s="37" t="n">
        <v>66</v>
      </c>
      <c r="R124" s="39"/>
      <c r="S124" s="39" t="n">
        <v>1</v>
      </c>
      <c r="T124" s="39" t="s">
        <v>288</v>
      </c>
      <c r="U124" s="58" t="n">
        <v>46392.0124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549</v>
      </c>
      <c r="N125" s="55" t="n">
        <v>46392</v>
      </c>
      <c r="O125" s="55" t="n">
        <v>46396</v>
      </c>
      <c r="P125" s="50" t="s">
        <v>287</v>
      </c>
      <c r="Q125" s="52" t="n">
        <v>66</v>
      </c>
      <c r="R125" s="52"/>
      <c r="S125" s="52" t="n">
        <v>2</v>
      </c>
      <c r="T125" s="52" t="s">
        <v>288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553</v>
      </c>
      <c r="N126" s="55" t="n">
        <v>46395</v>
      </c>
      <c r="O126" s="55" t="n">
        <v>46402</v>
      </c>
      <c r="P126" s="50" t="s">
        <v>287</v>
      </c>
      <c r="Q126" s="52" t="n">
        <v>66</v>
      </c>
      <c r="R126" s="52"/>
      <c r="S126" s="52" t="n">
        <v>2</v>
      </c>
      <c r="T126" s="52" t="s">
        <v>288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557</v>
      </c>
      <c r="N127" s="55" t="n">
        <v>46402</v>
      </c>
      <c r="O127" s="55" t="n">
        <v>46405</v>
      </c>
      <c r="P127" s="50" t="s">
        <v>287</v>
      </c>
      <c r="Q127" s="52" t="n">
        <v>66</v>
      </c>
      <c r="R127" s="52"/>
      <c r="S127" s="52" t="n">
        <v>2</v>
      </c>
      <c r="T127" s="52" t="s">
        <v>288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/>
      <c r="M128" s="43"/>
      <c r="N128" s="44" t="n">
        <v>46338</v>
      </c>
      <c r="O128" s="45" t="n">
        <v>46338</v>
      </c>
      <c r="P128" s="46" t="s">
        <v>287</v>
      </c>
      <c r="Q128" s="37" t="n">
        <v>49</v>
      </c>
      <c r="R128" s="39"/>
      <c r="S128" s="39" t="n">
        <v>1</v>
      </c>
      <c r="T128" s="39" t="s">
        <v>288</v>
      </c>
      <c r="U128" s="58" t="n">
        <v>46338.0128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 t="s">
        <v>563</v>
      </c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 t="s">
        <v>114</v>
      </c>
      <c r="N129" s="44" t="n">
        <v>46289</v>
      </c>
      <c r="O129" s="45" t="n">
        <v>46289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564</v>
      </c>
      <c r="B130" s="38" t="s">
        <v>565</v>
      </c>
      <c r="C130" s="39"/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46339</v>
      </c>
      <c r="O130" s="45" t="n">
        <v>46343</v>
      </c>
      <c r="P130" s="46" t="s">
        <v>287</v>
      </c>
      <c r="Q130" s="37" t="n">
        <v>54</v>
      </c>
      <c r="R130" s="39"/>
      <c r="S130" s="39" t="n">
        <v>1</v>
      </c>
      <c r="T130" s="39" t="s">
        <v>288</v>
      </c>
      <c r="U130" s="58" t="n">
        <v>46339.013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566</v>
      </c>
      <c r="B131" s="39" t="s">
        <v>567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46387</v>
      </c>
      <c r="O131" s="45" t="n">
        <v>46391</v>
      </c>
      <c r="P131" s="46" t="s">
        <v>287</v>
      </c>
      <c r="Q131" s="37" t="n">
        <v>66</v>
      </c>
      <c r="R131" s="39"/>
      <c r="S131" s="39" t="n">
        <v>1</v>
      </c>
      <c r="T131" s="39" t="s">
        <v>288</v>
      </c>
      <c r="U131" s="58" t="n">
        <v>46387.0131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568</v>
      </c>
      <c r="D134" s="6" t="s">
        <v>569</v>
      </c>
    </row>
    <row r="135" customFormat="false" ht="15" hidden="false" customHeight="true" outlineLevel="0" collapsed="false">
      <c r="B135" s="63" t="s">
        <v>570</v>
      </c>
      <c r="D135" s="63" t="s">
        <v>571</v>
      </c>
      <c r="E135" s="63" t="s">
        <v>572</v>
      </c>
      <c r="I135" s="64" t="s">
        <v>573</v>
      </c>
      <c r="J135" s="64" t="s">
        <v>574</v>
      </c>
      <c r="K135" s="64" t="s">
        <v>575</v>
      </c>
      <c r="L135" s="64" t="s">
        <v>576</v>
      </c>
      <c r="O135" s="63" t="s">
        <v>577</v>
      </c>
      <c r="P135" s="63" t="s">
        <v>578</v>
      </c>
    </row>
    <row r="136" customFormat="false" ht="15" hidden="false" customHeight="true" outlineLevel="0" collapsed="false">
      <c r="B136" s="65" t="s">
        <v>579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580</v>
      </c>
    </row>
    <row r="137" customFormat="false" ht="15" hidden="false" customHeight="true" outlineLevel="0" collapsed="false">
      <c r="B137" s="65" t="s">
        <v>581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582</v>
      </c>
    </row>
    <row r="138" customFormat="false" ht="15" hidden="false" customHeight="true" outlineLevel="0" collapsed="false">
      <c r="B138" s="65" t="s">
        <v>583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584</v>
      </c>
    </row>
    <row r="139" customFormat="false" ht="15" hidden="false" customHeight="true" outlineLevel="0" collapsed="false">
      <c r="B139" s="65" t="s">
        <v>585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586</v>
      </c>
    </row>
    <row r="140" customFormat="false" ht="15" hidden="false" customHeight="true" outlineLevel="0" collapsed="false">
      <c r="B140" s="65" t="s">
        <v>587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588</v>
      </c>
    </row>
    <row r="141" customFormat="false" ht="15" hidden="false" customHeight="true" outlineLevel="0" collapsed="false">
      <c r="B141" s="70" t="s">
        <v>589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590</v>
      </c>
    </row>
    <row r="142" customFormat="false" ht="15" hidden="false" customHeight="true" outlineLevel="0" collapsed="false">
      <c r="B142" s="72" t="s">
        <v>591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592</v>
      </c>
    </row>
    <row r="145" customFormat="false" ht="15.75" hidden="false" customHeight="true" outlineLevel="0" collapsed="false">
      <c r="A145" s="77" t="s">
        <v>593</v>
      </c>
    </row>
    <row r="146" customFormat="false" ht="15" hidden="false" customHeight="true" outlineLevel="0" collapsed="false">
      <c r="B146" s="17" t="s">
        <v>594</v>
      </c>
      <c r="D146" s="78" t="s">
        <v>595</v>
      </c>
      <c r="E146" s="78"/>
      <c r="F146" s="78"/>
      <c r="G146" s="78"/>
      <c r="H146" s="78"/>
      <c r="I146" s="78"/>
      <c r="J146" s="78"/>
      <c r="K146" s="19" t="s">
        <v>596</v>
      </c>
    </row>
    <row r="147" customFormat="false" ht="15" hidden="false" customHeight="true" outlineLevel="0" collapsed="false">
      <c r="B147" s="79" t="s">
        <v>597</v>
      </c>
      <c r="E147" s="80" t="s">
        <v>598</v>
      </c>
      <c r="I147" s="79" t="s">
        <v>599</v>
      </c>
    </row>
    <row r="148" customFormat="false" ht="24" hidden="false" customHeight="true" outlineLevel="0" collapsed="false">
      <c r="A148" s="81" t="s">
        <v>600</v>
      </c>
      <c r="B148" s="82" t="s">
        <v>601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602</v>
      </c>
      <c r="B149" s="82" t="s">
        <v>603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604</v>
      </c>
      <c r="B150" s="82" t="s">
        <v>605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606</v>
      </c>
      <c r="B151" s="82" t="s">
        <v>607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608</v>
      </c>
      <c r="B152" s="82" t="s">
        <v>609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610</v>
      </c>
      <c r="B153" s="82" t="s">
        <v>611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612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613</v>
      </c>
    </row>
    <row r="2" customFormat="false" ht="15" hidden="false" customHeight="false" outlineLevel="0" collapsed="false">
      <c r="B2" s="87" t="s">
        <v>614</v>
      </c>
      <c r="C2" s="88" t="s">
        <v>615</v>
      </c>
    </row>
    <row r="3" customFormat="false" ht="15" hidden="false" customHeight="false" outlineLevel="0" collapsed="false">
      <c r="B3" s="87" t="s">
        <v>616</v>
      </c>
      <c r="C3" s="88" t="s">
        <v>617</v>
      </c>
    </row>
    <row r="4" customFormat="false" ht="15" hidden="false" customHeight="false" outlineLevel="0" collapsed="false">
      <c r="B4" s="89" t="s">
        <v>618</v>
      </c>
      <c r="C4" s="88" t="s">
        <v>619</v>
      </c>
    </row>
    <row r="5" customFormat="false" ht="15" hidden="false" customHeight="false" outlineLevel="0" collapsed="false">
      <c r="H5" s="90" t="s">
        <v>620</v>
      </c>
      <c r="I5" s="90"/>
      <c r="J5" s="90" t="s">
        <v>621</v>
      </c>
      <c r="K5" s="90"/>
      <c r="L5" s="90"/>
      <c r="M5" s="90"/>
      <c r="N5" s="90"/>
      <c r="O5" s="90" t="s">
        <v>622</v>
      </c>
      <c r="P5" s="90"/>
      <c r="Q5" s="90"/>
      <c r="R5" s="90"/>
      <c r="S5" s="90" t="s">
        <v>623</v>
      </c>
      <c r="T5" s="90"/>
      <c r="U5" s="90"/>
      <c r="V5" s="90"/>
      <c r="W5" s="90"/>
      <c r="X5" s="90" t="s">
        <v>624</v>
      </c>
      <c r="Y5" s="90"/>
      <c r="Z5" s="90"/>
      <c r="AA5" s="90"/>
      <c r="AB5" s="90" t="s">
        <v>625</v>
      </c>
      <c r="AC5" s="90"/>
      <c r="AD5" s="90"/>
      <c r="AE5" s="90"/>
      <c r="AF5" s="90" t="s">
        <v>626</v>
      </c>
      <c r="AG5" s="90"/>
      <c r="AH5" s="90"/>
      <c r="AI5" s="90"/>
      <c r="AJ5" s="90"/>
      <c r="AK5" s="90" t="s">
        <v>627</v>
      </c>
      <c r="AL5" s="90"/>
      <c r="AM5" s="90"/>
      <c r="AN5" s="90"/>
      <c r="AO5" s="90" t="s">
        <v>628</v>
      </c>
      <c r="AP5" s="90"/>
      <c r="AQ5" s="90"/>
      <c r="AR5" s="90"/>
      <c r="AS5" s="90" t="s">
        <v>629</v>
      </c>
      <c r="AT5" s="90"/>
      <c r="AU5" s="90"/>
      <c r="AV5" s="90"/>
      <c r="AW5" s="90" t="s">
        <v>630</v>
      </c>
      <c r="AX5" s="90"/>
      <c r="AY5" s="90"/>
      <c r="AZ5" s="90"/>
      <c r="BA5" s="90"/>
      <c r="BB5" s="90" t="s">
        <v>631</v>
      </c>
      <c r="BC5" s="90"/>
      <c r="BD5" s="90"/>
      <c r="BE5" s="90"/>
      <c r="BF5" s="90" t="s">
        <v>632</v>
      </c>
      <c r="BG5" s="90"/>
      <c r="BH5" s="90"/>
      <c r="BI5" s="90"/>
      <c r="BJ5" s="90"/>
      <c r="BK5" s="90" t="s">
        <v>633</v>
      </c>
      <c r="BL5" s="90"/>
      <c r="BM5" s="90"/>
      <c r="BN5" s="90"/>
      <c r="BO5" s="90" t="s">
        <v>634</v>
      </c>
      <c r="BP5" s="90"/>
      <c r="BQ5" s="90"/>
      <c r="BR5" s="90"/>
      <c r="BS5" s="90" t="s">
        <v>635</v>
      </c>
      <c r="BT5" s="90"/>
      <c r="BU5" s="90"/>
      <c r="BV5" s="90"/>
      <c r="BW5" s="90"/>
      <c r="BX5" s="90" t="s">
        <v>636</v>
      </c>
      <c r="BY5" s="90"/>
    </row>
    <row r="6" customFormat="false" ht="43.5" hidden="false" customHeight="true" outlineLevel="0" collapsed="false">
      <c r="A6" s="91" t="s">
        <v>637</v>
      </c>
      <c r="B6" s="91" t="s">
        <v>638</v>
      </c>
      <c r="C6" s="91" t="s">
        <v>639</v>
      </c>
      <c r="D6" s="91" t="s">
        <v>640</v>
      </c>
      <c r="E6" s="91" t="s">
        <v>641</v>
      </c>
      <c r="F6" s="91" t="s">
        <v>642</v>
      </c>
      <c r="G6" s="91" t="s">
        <v>643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644</v>
      </c>
      <c r="C8" s="95" t="s">
        <v>645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646</v>
      </c>
      <c r="D9" s="96"/>
      <c r="E9" s="99" t="n">
        <v>46214</v>
      </c>
      <c r="F9" s="99" t="n">
        <v>46214</v>
      </c>
      <c r="G9" s="100"/>
      <c r="H9" s="101"/>
      <c r="I9" s="101"/>
      <c r="J9" s="101"/>
      <c r="K9" s="101"/>
      <c r="L9" s="101"/>
      <c r="M9" s="101"/>
      <c r="N9" s="101"/>
      <c r="O9" s="101" t="n">
        <v>0.5</v>
      </c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647</v>
      </c>
      <c r="C10" s="95" t="s">
        <v>645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646</v>
      </c>
      <c r="D11" s="96"/>
      <c r="E11" s="99" t="n">
        <v>46221</v>
      </c>
      <c r="F11" s="99" t="n">
        <v>46230</v>
      </c>
      <c r="G11" s="100"/>
      <c r="H11" s="101"/>
      <c r="I11" s="101"/>
      <c r="J11" s="101"/>
      <c r="K11" s="101"/>
      <c r="L11" s="101"/>
      <c r="M11" s="101"/>
      <c r="N11" s="101"/>
      <c r="O11" s="101"/>
      <c r="P11" s="101" t="n">
        <v>0.3333</v>
      </c>
      <c r="Q11" s="101" t="n">
        <v>0.3333</v>
      </c>
      <c r="R11" s="101" t="n">
        <v>0.3333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648</v>
      </c>
      <c r="C12" s="95" t="s">
        <v>645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646</v>
      </c>
      <c r="D13" s="96"/>
      <c r="E13" s="99" t="n">
        <v>46244</v>
      </c>
      <c r="F13" s="99" t="n">
        <v>46244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 t="n">
        <v>0.5</v>
      </c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649</v>
      </c>
      <c r="C14" s="95" t="s">
        <v>645</v>
      </c>
      <c r="D14" s="96" t="n">
        <v>1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0.5</v>
      </c>
      <c r="R14" s="98" t="n">
        <f aca="false">IF($E14="",0,IF(R$6+6&lt;$E14,0,IF(R$6&gt;$F14,0,$D14*(IF(R$6+6&lt;$F14,R$6+6,$F14)-IF(R$6&gt;$E14,R$6,$E14)+1)/($F14-$E14+1))))</f>
        <v>0.357142857142857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646</v>
      </c>
      <c r="D15" s="96"/>
      <c r="E15" s="99" t="n">
        <v>46221</v>
      </c>
      <c r="F15" s="99" t="n">
        <v>46234</v>
      </c>
      <c r="G15" s="100"/>
      <c r="H15" s="101"/>
      <c r="I15" s="101"/>
      <c r="J15" s="101"/>
      <c r="K15" s="101"/>
      <c r="L15" s="101"/>
      <c r="M15" s="101"/>
      <c r="N15" s="101"/>
      <c r="O15" s="101"/>
      <c r="P15" s="101" t="n">
        <v>0.3333</v>
      </c>
      <c r="Q15" s="101" t="n">
        <v>0.3333</v>
      </c>
      <c r="R15" s="101" t="n">
        <v>0.3333</v>
      </c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650</v>
      </c>
      <c r="C16" s="95" t="s">
        <v>645</v>
      </c>
      <c r="D16" s="96" t="n">
        <v>1</v>
      </c>
      <c r="E16" s="97" t="n">
        <v>46277</v>
      </c>
      <c r="F16" s="97" t="n">
        <v>46277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1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646</v>
      </c>
      <c r="D17" s="96"/>
      <c r="E17" s="99" t="n">
        <v>46295</v>
      </c>
      <c r="F17" s="99" t="n">
        <v>46295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 t="n">
        <v>1</v>
      </c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651</v>
      </c>
      <c r="C18" s="95" t="s">
        <v>645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652</v>
      </c>
      <c r="B20" s="95" t="s">
        <v>653</v>
      </c>
      <c r="C20" s="95" t="s">
        <v>645</v>
      </c>
      <c r="D20" s="96" t="n">
        <v>1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0.0434782608695652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0.152173913043478</v>
      </c>
      <c r="AC20" s="98" t="n">
        <f aca="false">IF($E20="",0,IF(AC$6+6&lt;$E20,0,IF(AC$6&gt;$F20,0,$D20*(IF(AC$6+6&lt;$F20,AC$6+6,$F20)-IF(AC$6&gt;$E20,AC$6,$E20)+1)/($F20-$E20+1))))</f>
        <v>0.152173913043478</v>
      </c>
      <c r="AD20" s="98" t="n">
        <f aca="false">IF($E20="",0,IF(AD$6+6&lt;$E20,0,IF(AD$6&gt;$F20,0,$D20*(IF(AD$6+6&lt;$F20,AD$6+6,$F20)-IF(AD$6&gt;$E20,AD$6,$E20)+1)/($F20-$E20+1))))</f>
        <v>0.152173913043478</v>
      </c>
      <c r="AE20" s="98" t="n">
        <f aca="false">IF($E20="",0,IF(AE$6+6&lt;$E20,0,IF(AE$6&gt;$F20,0,$D20*(IF(AE$6+6&lt;$F20,AE$6+6,$F20)-IF(AE$6&gt;$E20,AE$6,$E20)+1)/($F20-$E20+1))))</f>
        <v>0.0434782608695652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646</v>
      </c>
      <c r="D21" s="96"/>
      <c r="E21" s="99" t="n">
        <v>46309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0.5</v>
      </c>
      <c r="AD21" s="101" t="n">
        <v>0.5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654</v>
      </c>
      <c r="C23" s="95" t="s">
        <v>645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646</v>
      </c>
      <c r="D24" s="96"/>
      <c r="E24" s="99" t="n">
        <v>46219</v>
      </c>
      <c r="F24" s="99" t="n">
        <v>46264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2.8571</v>
      </c>
      <c r="Q24" s="101" t="n">
        <v>2.8571</v>
      </c>
      <c r="R24" s="101" t="n">
        <v>2.8571</v>
      </c>
      <c r="S24" s="101" t="n">
        <v>2.8571</v>
      </c>
      <c r="T24" s="101" t="n">
        <v>2.8571</v>
      </c>
      <c r="U24" s="101" t="n">
        <v>2.8571</v>
      </c>
      <c r="V24" s="101" t="n">
        <v>2.8571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655</v>
      </c>
      <c r="C25" s="95" t="s">
        <v>645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646</v>
      </c>
      <c r="D26" s="96"/>
      <c r="E26" s="99" t="n">
        <v>46271</v>
      </c>
      <c r="F26" s="99" t="n">
        <v>46274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5</v>
      </c>
      <c r="X26" s="101" t="n">
        <v>5</v>
      </c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656</v>
      </c>
      <c r="C27" s="95" t="s">
        <v>645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646</v>
      </c>
      <c r="D28" s="96"/>
      <c r="E28" s="99" t="n">
        <v>46257</v>
      </c>
      <c r="F28" s="99" t="n">
        <v>46274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5</v>
      </c>
      <c r="V28" s="101" t="n">
        <v>5</v>
      </c>
      <c r="W28" s="101" t="n">
        <v>5</v>
      </c>
      <c r="X28" s="101" t="n">
        <v>5</v>
      </c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657</v>
      </c>
      <c r="C29" s="95" t="s">
        <v>645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646</v>
      </c>
      <c r="D30" s="96"/>
      <c r="E30" s="99" t="n">
        <v>46269</v>
      </c>
      <c r="F30" s="99" t="n">
        <v>46271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 t="n">
        <v>2.5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658</v>
      </c>
      <c r="C31" s="95" t="s">
        <v>645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646</v>
      </c>
      <c r="D32" s="96"/>
      <c r="E32" s="99" t="n">
        <v>46269</v>
      </c>
      <c r="F32" s="99" t="n">
        <v>46272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 t="n">
        <v>7.5</v>
      </c>
      <c r="X32" s="101" t="n">
        <v>7.5</v>
      </c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659</v>
      </c>
      <c r="C33" s="95" t="s">
        <v>645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646</v>
      </c>
      <c r="D34" s="96"/>
      <c r="E34" s="99" t="n">
        <v>46270</v>
      </c>
      <c r="F34" s="99" t="n">
        <v>46273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 t="n">
        <v>5</v>
      </c>
      <c r="X34" s="101" t="n">
        <v>5</v>
      </c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660</v>
      </c>
      <c r="C35" s="95" t="s">
        <v>645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646</v>
      </c>
      <c r="D36" s="96"/>
      <c r="E36" s="99" t="n">
        <v>46271</v>
      </c>
      <c r="F36" s="99" t="n">
        <v>46273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2.5</v>
      </c>
      <c r="X36" s="101" t="n">
        <v>2.5</v>
      </c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661</v>
      </c>
      <c r="C37" s="95" t="s">
        <v>645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646</v>
      </c>
      <c r="D38" s="96"/>
      <c r="E38" s="99" t="n">
        <v>46272</v>
      </c>
      <c r="F38" s="99" t="n">
        <v>46274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 t="n">
        <v>5</v>
      </c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478</v>
      </c>
      <c r="B39" s="95" t="s">
        <v>662</v>
      </c>
      <c r="C39" s="95" t="s">
        <v>645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646</v>
      </c>
      <c r="D40" s="96"/>
      <c r="E40" s="99" t="n">
        <v>46274</v>
      </c>
      <c r="F40" s="99" t="n">
        <v>46275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 t="n">
        <v>2.5</v>
      </c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664</v>
      </c>
      <c r="C42" s="95" t="s">
        <v>645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665</v>
      </c>
      <c r="C44" s="95" t="s">
        <v>645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666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0.342857142857143</v>
      </c>
      <c r="Q47" s="103" t="n">
        <f aca="false">SUMIF($C$7:$C$45,"Plan",Q$7:Q$45)</f>
        <v>1.2</v>
      </c>
      <c r="R47" s="103" t="n">
        <f aca="false">SUMIF($C$7:$C$45,"Plan",R$7:R$45)</f>
        <v>0.457142857142857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21.3053830227743</v>
      </c>
      <c r="Y47" s="103" t="n">
        <f aca="false">SUMIF($C$7:$C$45,"Plan",Y$7:Y$45)</f>
        <v>0.985507246376812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0.152173913043478</v>
      </c>
      <c r="AC47" s="103" t="n">
        <f aca="false">SUMIF($C$7:$C$45,"Plan",AC$7:AC$45)</f>
        <v>0.152173913043478</v>
      </c>
      <c r="AD47" s="103" t="n">
        <f aca="false">SUMIF($C$7:$C$45,"Plan",AD$7:AD$45)</f>
        <v>0.152173913043478</v>
      </c>
      <c r="AE47" s="103" t="n">
        <f aca="false">SUMIF($C$7:$C$45,"Plan",AE$7:AE$45)</f>
        <v>0.400621118012422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0.5</v>
      </c>
      <c r="P48" s="103" t="n">
        <f aca="false">SUMIF($C$7:$C$45,"Actual",P$7:P$45)</f>
        <v>3.5237</v>
      </c>
      <c r="Q48" s="103" t="n">
        <f aca="false">SUMIF($C$7:$C$45,"Actual",Q$7:Q$45)</f>
        <v>3.5237</v>
      </c>
      <c r="R48" s="103" t="n">
        <f aca="false">SUMIF($C$7:$C$45,"Actual",R$7:R$45)</f>
        <v>3.5237</v>
      </c>
      <c r="S48" s="103" t="n">
        <f aca="false">SUMIF($C$7:$C$45,"Actual",S$7:S$45)</f>
        <v>2.8571</v>
      </c>
      <c r="T48" s="103" t="n">
        <f aca="false">SUMIF($C$7:$C$45,"Actual",T$7:T$45)</f>
        <v>3.3571</v>
      </c>
      <c r="U48" s="103" t="n">
        <f aca="false">SUMIF($C$7:$C$45,"Actual",U$7:U$45)</f>
        <v>7.8571</v>
      </c>
      <c r="V48" s="103" t="n">
        <f aca="false">SUMIF($C$7:$C$45,"Actual",V$7:V$45)</f>
        <v>7.8571</v>
      </c>
      <c r="W48" s="103" t="n">
        <f aca="false">SUMIF($C$7:$C$45,"Actual",W$7:W$45)</f>
        <v>27.5</v>
      </c>
      <c r="X48" s="103" t="n">
        <f aca="false">SUMIF($C$7:$C$45,"Actual",X$7:X$45)</f>
        <v>32.5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1</v>
      </c>
      <c r="AB48" s="103" t="n">
        <f aca="false">SUMIF($C$7:$C$45,"Actual",AB$7:AB$45)</f>
        <v>0</v>
      </c>
      <c r="AC48" s="103" t="n">
        <f aca="false">SUMIF($C$7:$C$45,"Actual",AC$7:AC$45)</f>
        <v>0.5</v>
      </c>
      <c r="AD48" s="103" t="n">
        <f aca="false">SUMIF($C$7:$C$45,"Actual",AD$7:AD$45)</f>
        <v>0.5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668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0.842857142857143</v>
      </c>
      <c r="Q49" s="105" t="n">
        <f aca="false">P49+Q47</f>
        <v>2.04285714285714</v>
      </c>
      <c r="R49" s="105" t="n">
        <f aca="false">Q49+R47</f>
        <v>2.5</v>
      </c>
      <c r="S49" s="105" t="n">
        <f aca="false">R49+S47</f>
        <v>2.5</v>
      </c>
      <c r="T49" s="105" t="n">
        <f aca="false">S49+T47</f>
        <v>7.44444444444445</v>
      </c>
      <c r="U49" s="105" t="n">
        <f aca="false">T49+U47</f>
        <v>15.2222222222222</v>
      </c>
      <c r="V49" s="105" t="n">
        <f aca="false">U49+V47</f>
        <v>25.6666666666667</v>
      </c>
      <c r="W49" s="105" t="n">
        <f aca="false">V49+W47</f>
        <v>74.4047619047619</v>
      </c>
      <c r="X49" s="105" t="n">
        <f aca="false">W49+X47</f>
        <v>95.7101449275362</v>
      </c>
      <c r="Y49" s="105" t="n">
        <f aca="false">X49+Y47</f>
        <v>96.695652173913</v>
      </c>
      <c r="Z49" s="105" t="n">
        <f aca="false">Y49+Z47</f>
        <v>96.8478260869565</v>
      </c>
      <c r="AA49" s="105" t="n">
        <f aca="false">Z49+AA47</f>
        <v>97</v>
      </c>
      <c r="AB49" s="105" t="n">
        <f aca="false">AA49+AB47</f>
        <v>97.1521739130435</v>
      </c>
      <c r="AC49" s="105" t="n">
        <f aca="false">AB49+AC47</f>
        <v>97.304347826087</v>
      </c>
      <c r="AD49" s="105" t="n">
        <f aca="false">AC49+AD47</f>
        <v>97.4565217391305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669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</v>
      </c>
      <c r="O50" s="105" t="n">
        <f aca="false">IF(O$6&gt;46314,"",N50+O48)</f>
        <v>0.5</v>
      </c>
      <c r="P50" s="105" t="n">
        <f aca="false">IF(P$6&gt;46314,"",O50+P48)</f>
        <v>4.0237</v>
      </c>
      <c r="Q50" s="105" t="n">
        <f aca="false">IF(Q$6&gt;46314,"",P50+Q48)</f>
        <v>7.5474</v>
      </c>
      <c r="R50" s="105" t="n">
        <f aca="false">IF(R$6&gt;46314,"",Q50+R48)</f>
        <v>11.0711</v>
      </c>
      <c r="S50" s="105" t="n">
        <f aca="false">IF(S$6&gt;46314,"",R50+S48)</f>
        <v>13.9282</v>
      </c>
      <c r="T50" s="105" t="n">
        <f aca="false">IF(T$6&gt;46314,"",S50+T48)</f>
        <v>17.2853</v>
      </c>
      <c r="U50" s="105" t="n">
        <f aca="false">IF(U$6&gt;46314,"",T50+U48)</f>
        <v>25.1424</v>
      </c>
      <c r="V50" s="105" t="n">
        <f aca="false">IF(V$6&gt;46314,"",U50+V48)</f>
        <v>32.9995</v>
      </c>
      <c r="W50" s="105" t="n">
        <f aca="false">IF(W$6&gt;46314,"",V50+W48)</f>
        <v>60.4995</v>
      </c>
      <c r="X50" s="105" t="n">
        <f aca="false">IF(X$6&gt;46314,"",W50+X48)</f>
        <v>92.9995</v>
      </c>
      <c r="Y50" s="105" t="n">
        <f aca="false">IF(Y$6&gt;46314,"",X50+Y48)</f>
        <v>92.9995</v>
      </c>
      <c r="Z50" s="105" t="n">
        <f aca="false">IF(Z$6&gt;46314,"",Y50+Z48)</f>
        <v>92.9995</v>
      </c>
      <c r="AA50" s="105" t="n">
        <f aca="false">IF(AA$6&gt;46314,"",Z50+AA48)</f>
        <v>93.9995</v>
      </c>
      <c r="AB50" s="105" t="n">
        <f aca="false">IF(AB$6&gt;46314,"",AA50+AB48)</f>
        <v>93.9995</v>
      </c>
      <c r="AC50" s="105" t="n">
        <f aca="false">IF(AC$6&gt;46314,"",AB50+AC48)</f>
        <v>94.4995</v>
      </c>
      <c r="AD50" s="105" t="n">
        <f aca="false">IF(AD$6&gt;46314,"",AC50+AD48)</f>
        <v>94.9995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2026-10-26T04:40:50Z</dcterms:created>
  <dc:creator>openpyxl</dc:creator>
  <dc:description/>
  <dc:language>en-US</dc:language>
  <cp:lastModifiedBy/>
  <dcterms:modified xsi:type="dcterms:W3CDTF">2026-10-26T11:45:36Z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