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46328</definedName>
    <definedName function="false" hidden="false" name="GANTT_START" vbProcedure="false">46321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<sst xmlns="http://schemas.openxmlformats.org/spreadsheetml/2006/main" count="1333" uniqueCount="712">
  <si>
    <t xml:space="preserve">แผนโครงการ P9-018 – แม่แบบ Carport · กันย้อน HV · Inverter ≥ 200 kVA 280.44 kWp</t>
  </si>
  <si>
    <t xml:space="preserve">กปภ.สาขา (ตัวอย่าง) · ตัวอย่าง · กฟภ. เขต ตย.18 · Inverter 250 kW (ต้องยื่น พค.2) · Zero export HV · คำขอ - · วิศวกร วศ.18 · Admin Admin · ผรม. 18</t>
  </si>
  <si>
    <t xml:space="preserve">สรุป</t>
  </si>
  <si>
    <t xml:space="preserve">กำหนดส่งมอบ รอบ 9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</si>
  <si>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</si>
  <si>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</si>
  <si>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</si>
  <si>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</si>
  <si>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</si>
  <si>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</si>
  <si>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</si>
  <si>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</si>
  <si>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</si>
  <si>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</si>
  <si>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</si>
  <si>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</si>
  <si>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</si>
  <si>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บันไดเซอร์วิสที่ต้องติด</t>
  </si>
  <si>
    <t xml:space="preserve">0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</si>
  <si>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</si>
  <si>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 ·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</si>
  <si>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 </t>
    </r>
    <r>
      <rPr>
        <b val="true"/>
        <sz val="10"/>
        <color rgb="FF7030A0"/>
        <rFont val="Tahoma"/>
        <family val="0"/>
        <charset val="1"/>
      </rPr>
      <t xml:space="preserve">·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</si>
  <si>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</si>
  <si>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</si>
  <si>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จุด</t>
    </r>
  </si>
  <si>
    <t xml:space="preserve">ถัดไป:</t>
  </si>
  <si>
    <t xml:space="preserve">จัดหาและรับอุปกรณ์ (หนังสือส่งแผง + ตรวจรับของ)</t>
  </si>
  <si>
    <t xml:space="preserve">วันจริง/นัดของงานหลัก กรอกที่ ‘อัปเดตรายสัปดาห์’ (ปุ่ม ✎) · งานย่อย (ตัวอักษรเล็ก) ติ๊ก Y ในชีตนี้ได้ → % งานหลักขยับตามน้ำหนัก · Baseline ล็อก ณ 19 ต.ค. 69 · วันคาดการณ์ของ milestone มาจาก Master Plan (คิวทั้งเฟส, เลื่อนเป็นวันทำงาน) · Gantt: เขียว เสร็จ · ส้ม นัดแล้ว · น้ำเงิน คาดการณ์ · เทา Baseline · แดง สัปดาห์ปัจจุบัน · ดูง่าย: แสดงเฉพาะงาน MP · กด [+] ซ้ายมือเพื่อดูงานย่อย / [+] เหนือหัวตารางเพื่อดูหลักฐาน ผู้อนุมัติ ความเสี่ยง · ไฟล์นำเข้า TCRoof: โฟลเดอร์ TCRoof_แผนงาน_MP › P9-018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</si>
  <si>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</si>
  <si>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</si>
  <si>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</si>
  <si>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</si>
  <si>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 ·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</si>
  <si>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</si>
  <si>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</si>
  <si>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</si>
  <si>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</si>
  <si>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</si>
  <si>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</si>
  <si>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</si>
  <si>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</si>
  <si>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</si>
  <si>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</si>
  <si>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</si>
  <si>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</si>
  <si>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พ.ค. 70</t>
  </si>
  <si>
    <t xml:space="preserve">มิ.ย. 70</t>
  </si>
  <si>
    <t xml:space="preserve">ก.ค. 70</t>
  </si>
  <si>
    <t xml:space="preserve">ส.ค. 70</t>
  </si>
  <si>
    <t xml:space="preserve">ก.ย.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</si>
  <si>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</si>
  <si>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</si>
  <si>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</si>
  <si>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</si>
  <si>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</si>
  <si>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</si>
  <si>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</si>
  <si>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</si>
  <si>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</si>
  <si>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</si>
  <si>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 ·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</si>
  <si>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</si>
  <si>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</si>
  <si>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</si>
  <si>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</si>
  <si>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</si>
  <si>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</si>
  <si>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</si>
  <si>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</si>
  <si>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</si>
  <si>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</si>
  <si>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</si>
  <si>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</si>
  <si>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</si>
  <si>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</si>
  <si>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</si>
  <si>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</si>
  <si>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วศ.18</t>
  </si>
  <si>
    <t xml:space="preserve">PM</t>
  </si>
  <si>
    <t xml:space="preserve">งานแก้ไข/ทดสอบซ้ำ (นับในงานเดิม ไม่แยกเป็นรายการ) · งานออกแบบ (1.2) ·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</si>
  <si>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</si>
  <si>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</si>
  <si>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</si>
  <si>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</si>
  <si>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</si>
  <si>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WBS'!L1400</t>
    </r>
  </si>
  <si>
    <t xml:space="preserve">PMI WBS Practice Std; ISO 21511; EIA-748</t>
  </si>
  <si>
    <t xml:space="preserve">0.1.2</t>
  </si>
  <si>
    <t xml:space="preserve">    แผนความปลอดภัย (HSE Plan · JSA ·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</si>
  <si>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</si>
  <si>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</si>
  <si>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WBS'!L1401</t>
    </r>
  </si>
  <si>
    <t xml:space="preserve">SolarPower Europe EPC Guidelines (H&amp;S)</t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</si>
  <si>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</si>
  <si>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</si>
  <si>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</si>
  <si>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WBS'!L1402</t>
    </r>
  </si>
  <si>
    <t xml:space="preserve">ใบตรวจรับงาน (ICL)</t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</si>
  <si>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</si>
  <si>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</si>
  <si>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</si>
  <si>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WBS'!L1403</t>
    </r>
  </si>
  <si>
    <r>
      <rPr>
        <sz val="8"/>
        <color rgb="FF404040"/>
        <rFont val="Tahoma"/>
        <family val="0"/>
        <charset val="1"/>
      </rPr>
      <t xml:space="preserve">IEC 61215/61730; IEC 62109-1/-2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pv_datasheet, inverter_datasheet, other_equipment</t>
    </r>
  </si>
  <si>
    <t xml:space="preserve">0.1.5</t>
  </si>
  <si>
    <t xml:space="preserve">    รายงานประจำ R1–R4</t>
  </si>
  <si>
    <t xml:space="preserve">ส่งตรงเวลาทุกงวด ·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</si>
  <si>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WBS'!L1404</t>
    </r>
  </si>
  <si>
    <t xml:space="preserve">ยังไม่เริ่ม</t>
  </si>
  <si>
    <t xml:space="preserve">รายงานประจำ (RoutineReport) · R2 ที่ลงนามเท่านั้นขยับแผน MP</t>
  </si>
  <si>
    <t xml:space="preserve">NS</t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</si>
  <si>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</si>
  <si>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</si>
  <si>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</si>
  <si>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WBS'!L1405</t>
    </r>
  </si>
  <si>
    <t xml:space="preserve">หลักฐาน: punch_list</t>
  </si>
  <si>
    <t xml:space="preserve">0.2</t>
  </si>
  <si>
    <t xml:space="preserve">Admin</t>
  </si>
  <si>
    <t xml:space="preserve">ย้อนจาก 2.10 (25 วัน)</t>
  </si>
  <si>
    <t xml:space="preserve">การยกขึ้นหลังคาและติดตั้ง (2.1–2.9) ·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</si>
  <si>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</si>
  <si>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</si>
  <si>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</si>
  <si>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</si>
  <si>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WBS'!L1406</t>
    </r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</si>
  <si>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</si>
  <si>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</si>
  <si>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</si>
  <si>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WBS'!L1407</t>
    </r>
  </si>
  <si>
    <t xml:space="preserve">0.2.3</t>
  </si>
  <si>
    <t xml:space="preserve">    แผง + Inverter ถึงหน้างาน (ตรวจรับ + S/N)</t>
  </si>
  <si>
    <t xml:space="preserve">จำนวนตรง BOM · ไม่มีชำรุด ·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</si>
  <si>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WBS'!L1408</t>
    </r>
  </si>
  <si>
    <t xml:space="preserve">สแกนอุปกรณ์ (Device scan)</t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</si>
  <si>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</si>
  <si>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</si>
  <si>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</si>
  <si>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WBS'!L1409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</si>
  <si>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</si>
  <si>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</si>
  <si>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</si>
  <si>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WBS'!L1410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</si>
  <si>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</si>
  <si>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</si>
  <si>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</si>
  <si>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WBS'!L1411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</si>
  <si>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</si>
  <si>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</si>
  <si>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</si>
  <si>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WBS'!L1412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</si>
  <si>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</si>
  <si>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</si>
  <si>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</si>
  <si>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WBS'!L1413</t>
    </r>
  </si>
  <si>
    <t xml:space="preserve">0.3</t>
  </si>
  <si>
    <t xml:space="preserve">หนังสือแจ้งขอดับไฟ</t>
  </si>
  <si>
    <t xml:space="preserve">ย้อนจาก 2.10 (20 วัน)</t>
  </si>
  <si>
    <t xml:space="preserve">การดับไฟจริงและงานเชื่อมจุดต่อ (2.10) ·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</si>
  <si>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</si>
  <si>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</si>
  <si>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</si>
  <si>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</si>
  <si>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WBS'!L1414</t>
    </r>
  </si>
  <si>
    <t xml:space="preserve">เอกสารสถานี › ร่างหนังสือแจ้งดับไฟ (OutageLetterSheet)</t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</si>
  <si>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</si>
  <si>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</si>
  <si>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</si>
  <si>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WBS'!L1415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</si>
  <si>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</si>
  <si>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</si>
  <si>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</si>
  <si>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WBS'!L1416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</si>
  <si>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</si>
  <si>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</si>
  <si>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</si>
  <si>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</si>
  <si>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</si>
  <si>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 ·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</si>
  <si>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</si>
  <si>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</si>
  <si>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</si>
  <si>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WBS'!L1417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</si>
  <si>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</si>
  <si>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</si>
  <si>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</si>
  <si>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WBS'!L1418</t>
    </r>
  </si>
  <si>
    <t xml:space="preserve">สร้างงาน › โมดูล กปภ. · JobAccessCard</t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</si>
  <si>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</si>
  <si>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</si>
  <si>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</si>
  <si>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WBS'!L1419</t>
    </r>
  </si>
  <si>
    <t xml:space="preserve">หลักฐาน: site_map</t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</si>
  <si>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</si>
  <si>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</si>
  <si>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</si>
  <si>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 ·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 ·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</si>
  <si>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</si>
  <si>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</si>
  <si>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</si>
  <si>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WBS'!L1420</t>
    </r>
  </si>
  <si>
    <r>
      <rPr>
        <sz val="8"/>
        <color rgb="FF404040"/>
        <rFont val="Tahoma"/>
        <family val="0"/>
        <charset val="1"/>
      </rPr>
      <t xml:space="preserve">IEC 62548-1; IEC 60364-7-712; </t>
    </r>
    <r>
      <rPr>
        <sz val="8"/>
        <color rgb="FF404040"/>
        <rFont val="FreeSans"/>
        <family val="2"/>
      </rPr>
      <t xml:space="preserve">วสท</t>
    </r>
    <r>
      <rPr>
        <sz val="8"/>
        <color rgb="FF404040"/>
        <rFont val="Tahoma"/>
        <family val="0"/>
        <charset val="1"/>
      </rPr>
      <t xml:space="preserve">. 022013-22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sld, layout_plan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</si>
  <si>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</si>
  <si>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</si>
  <si>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</si>
  <si>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WBS'!L1421</t>
    </r>
  </si>
  <si>
    <t xml:space="preserve">หลักฐาน: elec_calc, structural_calc, structural_plan</t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</si>
  <si>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</si>
  <si>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</si>
  <si>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</si>
  <si>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WBS'!L1422</t>
    </r>
  </si>
  <si>
    <t xml:space="preserve">ระเบียบ กฟภ. 2559 ข้อ 7.1.8, 7.1.15</t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</si>
  <si>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</si>
  <si>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</si>
  <si>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</si>
  <si>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WBS'!L1423</t>
    </r>
  </si>
  <si>
    <r>
      <rPr>
        <sz val="8"/>
        <color rgb="FF404040"/>
        <rFont val="Tahoma"/>
        <family val="0"/>
        <charset val="1"/>
      </rPr>
      <t xml:space="preserve">REV </t>
    </r>
    <r>
      <rPr>
        <sz val="8"/>
        <color rgb="FF404040"/>
        <rFont val="FreeSans"/>
        <family val="2"/>
      </rPr>
      <t xml:space="preserve">และรายการแก้ไข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</si>
  <si>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</si>
  <si>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</si>
  <si>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</si>
  <si>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 ·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</si>
  <si>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</si>
  <si>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</si>
  <si>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</si>
  <si>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WBS'!L1424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</si>
  <si>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</si>
  <si>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</si>
  <si>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</si>
  <si>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WBS'!L1425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</si>
  <si>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</si>
  <si>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</si>
  <si>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</si>
  <si>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WBS'!L1426</t>
    </r>
  </si>
  <si>
    <r>
      <rPr>
        <sz val="8"/>
        <color rgb="FF404040"/>
        <rFont val="Tahoma"/>
        <family val="0"/>
        <charset val="1"/>
      </rPr>
      <t xml:space="preserve">R1 (WeeklyRequest) › </t>
    </r>
    <r>
      <rPr>
        <sz val="8"/>
        <color rgb="FF404040"/>
        <rFont val="FreeSans"/>
        <family val="2"/>
      </rPr>
      <t xml:space="preserve">ส่งขออนุมัติ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</si>
  <si>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</si>
  <si>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</si>
  <si>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</si>
  <si>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</si>
  <si>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</si>
  <si>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</si>
  <si>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</si>
  <si>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WBS'!L1427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</si>
  <si>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</si>
  <si>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</si>
  <si>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</si>
  <si>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WBS'!L1428</t>
    </r>
  </si>
  <si>
    <t xml:space="preserve">หลักฐาน: building_permit_request, building_exempt_notice, poa_letter</t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</si>
  <si>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</si>
  <si>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</si>
  <si>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</si>
  <si>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WBS'!L1429</t>
    </r>
  </si>
  <si>
    <t xml:space="preserve">หลักฐาน: building_permit_o1</t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</si>
  <si>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</si>
  <si>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</si>
  <si>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</si>
  <si>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 ·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</si>
  <si>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</si>
  <si>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</si>
  <si>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</si>
  <si>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</si>
  <si>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WBS'!L1430</t>
    </r>
  </si>
  <si>
    <t xml:space="preserve">เอกสารสถานี › Check list พค.2</t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</si>
  <si>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</si>
  <si>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</si>
  <si>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</si>
  <si>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WBS'!L1431</t>
    </r>
  </si>
  <si>
    <t xml:space="preserve">หลักฐาน: erc_qr</t>
  </si>
  <si>
    <t xml:space="preserve">1.5.3</t>
  </si>
  <si>
    <t xml:space="preserve">◆ ความเห็น พพ. (≤ 30 วัน)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</si>
  <si>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</si>
  <si>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</si>
  <si>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</si>
  <si>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</si>
  <si>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WBS'!L1432</t>
    </r>
  </si>
  <si>
    <t xml:space="preserve">เอกสารสถานี (expiresAt)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</si>
  <si>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</si>
  <si>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</si>
  <si>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</si>
  <si>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</si>
  <si>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 ·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</si>
  <si>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</si>
  <si>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</si>
  <si>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</si>
  <si>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WBS'!L1433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</si>
  <si>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</si>
  <si>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</si>
  <si>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</si>
  <si>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WBS'!L1434</t>
    </r>
  </si>
  <si>
    <t xml:space="preserve">1.7.1</t>
  </si>
  <si>
    <t xml:space="preserve">คำขอขนานไฟ PPIM (ชุด 11 ไฟล์)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</si>
  <si>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</si>
  <si>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</si>
  <si>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</si>
  <si>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</si>
  <si>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</si>
  <si>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</si>
  <si>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</si>
  <si>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</si>
  <si>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</si>
  <si>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</si>
  <si>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</si>
  <si>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</si>
  <si>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</si>
  <si>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</si>
  <si>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</si>
  <si>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</si>
  <si>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</si>
  <si>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</si>
  <si>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</si>
  <si>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18</t>
  </si>
  <si>
    <t xml:space="preserve">ย้อนจาก 2.10 (13 วัน)</t>
  </si>
  <si>
    <t xml:space="preserve">การยึดแผง (2.3.2) · รางเดินสาย DC (2.2.1) · Bonding โครง (2.2.4) ·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</si>
  <si>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</si>
  <si>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</si>
  <si>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</si>
  <si>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</si>
  <si>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WBS'!L1435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</si>
  <si>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</si>
  <si>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</si>
  <si>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</si>
  <si>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WBS'!L1436</t>
    </r>
  </si>
  <si>
    <t xml:space="preserve">แบบ C18 · แบบ กปภ. ‘แบบการติดตั้งบันไดเซอร์วิส’ PEA-EMD-03-2024C18 แผ่น 1–2</t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</si>
  <si>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</si>
  <si>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</si>
  <si>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 · ฐานคอนกรีตบ่มครบ 7 วัน (ถ้ามี) ·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</si>
  <si>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WBS'!L1437</t>
    </r>
  </si>
  <si>
    <t xml:space="preserve">รายการคำนวณโยธา · รอบ่มคอนกรีต 7 วัน</t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</si>
  <si>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</si>
  <si>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</si>
  <si>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</si>
  <si>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WBS'!L1438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</si>
  <si>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</si>
  <si>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</si>
  <si>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</si>
  <si>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WBS'!L1439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</si>
  <si>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</si>
  <si>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</si>
  <si>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</si>
  <si>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WBS'!L1440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</si>
  <si>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</si>
  <si>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</si>
  <si>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</si>
  <si>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WBS'!L1441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</si>
  <si>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</si>
  <si>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</si>
  <si>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</si>
  <si>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 · ตู้ FTS / Rapid shutdown (2.4) ·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</si>
  <si>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</si>
  <si>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</si>
  <si>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</si>
  <si>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WBS'!L1442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</si>
  <si>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</si>
  <si>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</si>
  <si>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</si>
  <si>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WBS'!L1443</t>
    </r>
  </si>
  <si>
    <t xml:space="preserve">แบบ E10</t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</si>
  <si>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</si>
  <si>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</si>
  <si>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</si>
  <si>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WBS'!L1444</t>
    </r>
  </si>
  <si>
    <t xml:space="preserve">แบบ E10 (ตู้ 70×100×25 ต่อ Inverter 60–125 kW)</t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</si>
  <si>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</si>
  <si>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</si>
  <si>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</si>
  <si>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WBS'!L1445</t>
    </r>
  </si>
  <si>
    <t xml:space="preserve">แบบ E10 · IEC 62305; วสท. 022013-22</t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</si>
  <si>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</si>
  <si>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</si>
  <si>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</si>
  <si>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WBS'!L1446</t>
    </r>
  </si>
  <si>
    <t xml:space="preserve">แบบ E10 · IEC 62446-1 (Continuity / Polarity) · จุดตรวจ E10</t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</si>
  <si>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</si>
  <si>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</si>
  <si>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</si>
  <si>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 ·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</si>
  <si>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</si>
  <si>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</si>
  <si>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</si>
  <si>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WBS'!L1447</t>
    </r>
  </si>
  <si>
    <r>
      <rPr>
        <sz val="8"/>
        <color rgb="FF404040"/>
        <rFont val="Tahoma"/>
        <family val="0"/>
        <charset val="1"/>
      </rPr>
      <t xml:space="preserve">Lifting plan </t>
    </r>
    <r>
      <rPr>
        <sz val="8"/>
        <color rgb="FF404040"/>
        <rFont val="FreeSans"/>
        <family val="2"/>
      </rPr>
      <t xml:space="preserve">ใน </t>
    </r>
    <r>
      <rPr>
        <sz val="8"/>
        <color rgb="FF404040"/>
        <rFont val="Tahoma"/>
        <family val="0"/>
        <charset val="1"/>
      </rPr>
      <t xml:space="preserve">HSE (0.1.2)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</si>
  <si>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</si>
  <si>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</si>
  <si>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</si>
  <si>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WBS'!L1448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</si>
  <si>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</si>
  <si>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</si>
  <si>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 ·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</si>
  <si>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WBS'!L1449</t>
    </r>
  </si>
  <si>
    <r>
      <rPr>
        <sz val="8"/>
        <color rgb="FF404040"/>
        <rFont val="Tahoma"/>
        <family val="0"/>
        <charset val="1"/>
      </rPr>
      <t xml:space="preserve">String map </t>
    </r>
    <r>
      <rPr>
        <sz val="8"/>
        <color rgb="FF404040"/>
        <rFont val="FreeSans"/>
        <family val="2"/>
      </rPr>
      <t xml:space="preserve">ตาม </t>
    </r>
    <r>
      <rPr>
        <sz val="8"/>
        <color rgb="FF404040"/>
        <rFont val="Tahoma"/>
        <family val="0"/>
        <charset val="1"/>
      </rPr>
      <t xml:space="preserve">SLD (1.2)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</si>
  <si>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</si>
  <si>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</si>
  <si>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</si>
  <si>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WBS'!L1450</t>
    </r>
  </si>
  <si>
    <t xml:space="preserve">รายงาน 9 ภาพถ่ายติดตั้งระบบ</t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</si>
  <si>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</si>
  <si>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</si>
  <si>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</si>
  <si>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WBS'!L1451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</si>
  <si>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</si>
  <si>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</si>
  <si>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</si>
  <si>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 ·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</si>
  <si>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</si>
  <si>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</si>
  <si>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</si>
  <si>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WBS'!L1452</t>
    </r>
  </si>
  <si>
    <t xml:space="preserve">แบบ E11</t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</si>
  <si>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</si>
  <si>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</si>
  <si>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</si>
  <si>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WBS'!L1453</t>
    </r>
  </si>
  <si>
    <t xml:space="preserve">2.5</t>
  </si>
  <si>
    <t xml:space="preserve">ติดตั้ง Inverter</t>
  </si>
  <si>
    <t xml:space="preserve">Inverter 250 kW</t>
  </si>
  <si>
    <t xml:space="preserve">ตู้ AC-DB (2.7.1) · สาย AC-DB → MDB (2.6.1) ·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</si>
  <si>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</si>
  <si>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</si>
  <si>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</si>
  <si>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WBS'!L1454</t>
    </r>
  </si>
  <si>
    <r>
      <rPr>
        <sz val="8"/>
        <color rgb="FF404040"/>
        <rFont val="FreeSans"/>
        <family val="2"/>
      </rPr>
      <t xml:space="preserve">สร้างใหม่ </t>
    </r>
    <r>
      <rPr>
        <sz val="8"/>
        <color rgb="FF404040"/>
        <rFont val="Tahoma"/>
        <family val="0"/>
        <charset val="1"/>
      </rPr>
      <t xml:space="preserve">(E09) · </t>
    </r>
    <r>
      <rPr>
        <sz val="8"/>
        <color rgb="FF404040"/>
        <rFont val="FreeSans"/>
        <family val="2"/>
      </rPr>
      <t xml:space="preserve">แบบ </t>
    </r>
    <r>
      <rPr>
        <sz val="8"/>
        <color rgb="FF404040"/>
        <rFont val="Tahoma"/>
        <family val="0"/>
        <charset val="1"/>
      </rPr>
      <t xml:space="preserve">E09 · </t>
    </r>
    <r>
      <rPr>
        <sz val="8"/>
        <color rgb="FF404040"/>
        <rFont val="FreeSans"/>
        <family val="2"/>
      </rPr>
      <t xml:space="preserve">แบบ </t>
    </r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ของสถานี </t>
    </r>
    <r>
      <rPr>
        <sz val="8"/>
        <color rgb="FF404040"/>
        <rFont val="Tahoma"/>
        <family val="0"/>
        <charset val="1"/>
      </rPr>
      <t xml:space="preserve">(1.2)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</si>
  <si>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</si>
  <si>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</si>
  <si>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</si>
  <si>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WBS'!L1455</t>
    </r>
  </si>
  <si>
    <t xml:space="preserve">แบบ E09 · คู่มือติดตั้งของผู้ผลิต Inverter</t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</si>
  <si>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</si>
  <si>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</si>
  <si>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</si>
  <si>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WBS'!L1456</t>
    </r>
  </si>
  <si>
    <t xml:space="preserve">แบบ E09 · SLD (1.2) · วสท. 022013-22</t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</si>
  <si>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</si>
  <si>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</si>
  <si>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</si>
  <si>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WBS'!L1457</t>
    </r>
  </si>
  <si>
    <t xml:space="preserve">คู่มือติดตั้งของผู้ผลิต Inverter · วสท. 022013-22</t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</si>
  <si>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</si>
  <si>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</si>
  <si>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</si>
  <si>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 · อุปกรณ์ 22 kV (2.8.2) ·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</si>
  <si>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</si>
  <si>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</si>
  <si>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</si>
  <si>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WBS'!L1458</t>
    </r>
  </si>
  <si>
    <t xml:space="preserve">แบบ E18 · SLD (1.2) · วสท. · ท่อ PVC ลงเสาตามแบบ E18 (ฝั่ง HV)</t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</si>
  <si>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</si>
  <si>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</si>
  <si>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</si>
  <si>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WBS'!L1459</t>
    </r>
  </si>
  <si>
    <r>
      <rPr>
        <sz val="8"/>
        <color rgb="FF404040"/>
        <rFont val="Tahoma"/>
        <family val="0"/>
        <charset val="1"/>
      </rPr>
      <t xml:space="preserve">SLD · LOTO </t>
    </r>
    <r>
      <rPr>
        <sz val="8"/>
        <color rgb="FF404040"/>
        <rFont val="FreeSans"/>
        <family val="2"/>
      </rPr>
      <t xml:space="preserve">ตามแผนดับไฟ </t>
    </r>
    <r>
      <rPr>
        <sz val="8"/>
        <color rgb="FF404040"/>
        <rFont val="Tahoma"/>
        <family val="0"/>
        <charset val="1"/>
      </rPr>
      <t xml:space="preserve">(0.3)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</si>
  <si>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</si>
  <si>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</si>
  <si>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</si>
  <si>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WBS'!L1460</t>
    </r>
  </si>
  <si>
    <r>
      <rPr>
        <sz val="8"/>
        <color rgb="FF404040"/>
        <rFont val="Tahoma"/>
        <family val="0"/>
        <charset val="1"/>
      </rPr>
      <t xml:space="preserve">IEC 62305; </t>
    </r>
    <r>
      <rPr>
        <sz val="8"/>
        <color rgb="FF404040"/>
        <rFont val="FreeSans"/>
        <family val="2"/>
      </rPr>
      <t xml:space="preserve">วสท</t>
    </r>
    <r>
      <rPr>
        <sz val="8"/>
        <color rgb="FF404040"/>
        <rFont val="Tahoma"/>
        <family val="0"/>
        <charset val="1"/>
      </rPr>
      <t xml:space="preserve">.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</si>
  <si>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</si>
  <si>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</si>
  <si>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</si>
  <si>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WBS'!L1461</t>
    </r>
  </si>
  <si>
    <t xml:space="preserve">แบบ E09 · วสท.</t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</si>
  <si>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</si>
  <si>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</si>
  <si>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</si>
  <si>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WBS'!L1462</t>
    </r>
  </si>
  <si>
    <t xml:space="preserve">วสท. · IEC 62305</t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</si>
  <si>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</si>
  <si>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</si>
  <si>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 · PQM / Zero export controller (2.8.3)</t>
    </r>
  </si>
  <si>
    <t xml:space="preserve">2.7.1</t>
  </si>
  <si>
    <t xml:space="preserve">    ตู้ AC-DB (MCCB · ELR · SPD ·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</si>
  <si>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</si>
  <si>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WBS'!L1463</t>
    </r>
  </si>
  <si>
    <r>
      <rPr>
        <sz val="8"/>
        <color rgb="FF404040"/>
        <rFont val="Tahoma"/>
        <family val="0"/>
        <charset val="1"/>
      </rPr>
      <t xml:space="preserve">SLD / </t>
    </r>
    <r>
      <rPr>
        <sz val="8"/>
        <color rgb="FF404040"/>
        <rFont val="FreeSans"/>
        <family val="2"/>
      </rPr>
      <t xml:space="preserve">แบบตู้ </t>
    </r>
    <r>
      <rPr>
        <sz val="8"/>
        <color rgb="FF404040"/>
        <rFont val="Tahoma"/>
        <family val="0"/>
        <charset val="1"/>
      </rPr>
      <t xml:space="preserve">AC-DB </t>
    </r>
    <r>
      <rPr>
        <sz val="8"/>
        <color rgb="FF404040"/>
        <rFont val="FreeSans"/>
        <family val="2"/>
      </rPr>
      <t xml:space="preserve">ของสถานี </t>
    </r>
    <r>
      <rPr>
        <sz val="8"/>
        <color rgb="FF404040"/>
        <rFont val="Tahoma"/>
        <family val="0"/>
        <charset val="1"/>
      </rPr>
      <t xml:space="preserve">(1.2)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</si>
  <si>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</si>
  <si>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</si>
  <si>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</si>
  <si>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WBS'!L1464</t>
    </r>
  </si>
  <si>
    <t xml:space="preserve">แบบ E16</t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</si>
  <si>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</si>
  <si>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</si>
  <si>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</si>
  <si>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WBS'!L1465</t>
    </r>
  </si>
  <si>
    <t xml:space="preserve">แบบ E16 · จุดตรวจ E16</t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</si>
  <si>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</si>
  <si>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</si>
  <si>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</si>
  <si>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</si>
  <si>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 · Data logger และการเชื่อม Data center (2.9) · การทดสอบ Zero export (3.1.5)</t>
  </si>
  <si>
    <t xml:space="preserve">2.8.1</t>
  </si>
  <si>
    <t xml:space="preserve">    ◆ อนุญาตเข้าทำงานเสา 22 kV (กฟภ.)</t>
  </si>
  <si>
    <t xml:space="preserve">แบบ E18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</si>
  <si>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</si>
  <si>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</si>
  <si>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 ·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</si>
  <si>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WBS'!L1466</t>
    </r>
  </si>
  <si>
    <t xml:space="preserve">แบบ E18 · ระเบียบ กฟภ. สิ่งแนบ 6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</si>
  <si>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</si>
  <si>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</si>
  <si>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</si>
  <si>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ไม่ต้องทำ</t>
  </si>
  <si>
    <t xml:space="preserve">NA</t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</si>
  <si>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</si>
  <si>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</si>
  <si>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</si>
  <si>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WBS'!L1467</t>
    </r>
  </si>
  <si>
    <t xml:space="preserve">แบบ E13 · PQM บังคับเมื่อเกิน 250 kW (Grid Code ข้อ 8.6.2)</t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</si>
  <si>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</si>
  <si>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</si>
  <si>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</si>
  <si>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WBS'!L1468</t>
    </r>
  </si>
  <si>
    <t xml:space="preserve">แบบ E13, E16</t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</si>
  <si>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</si>
  <si>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</si>
  <si>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</si>
  <si>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WBS'!L1469</t>
    </r>
  </si>
  <si>
    <t xml:space="preserve">แบบ E13, E18 · จุดตรวจ E13 / E17 / E18</t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</si>
  <si>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</si>
  <si>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</si>
  <si>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 ·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</si>
  <si>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</si>
  <si>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</si>
  <si>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</si>
  <si>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WBS'!L1470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</si>
  <si>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</si>
  <si>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</si>
  <si>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</si>
  <si>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WBS'!L1471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</si>
  <si>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</si>
  <si>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</si>
  <si>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</si>
  <si>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WBS'!L1472</t>
    </r>
  </si>
  <si>
    <r>
      <rPr>
        <sz val="8"/>
        <color rgb="FF404040"/>
        <rFont val="Tahoma"/>
        <family val="0"/>
        <charset val="1"/>
      </rPr>
      <t xml:space="preserve">IEC 61724-1 (</t>
    </r>
    <r>
      <rPr>
        <sz val="8"/>
        <color rgb="FF404040"/>
        <rFont val="FreeSans"/>
        <family val="2"/>
      </rPr>
      <t xml:space="preserve">ข้อมูลสำหรับ </t>
    </r>
    <r>
      <rPr>
        <sz val="8"/>
        <color rgb="FF404040"/>
        <rFont val="Tahoma"/>
        <family val="0"/>
        <charset val="1"/>
      </rPr>
      <t xml:space="preserve">PR test 4.3)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</si>
  <si>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</si>
  <si>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</si>
  <si>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 · ขนานไฟกับ กฟภ. (1.7.6) — Tie-in คือเชื่อมกับระบบของสถานี ไม่ใช่การได้ COD</t>
  </si>
  <si>
    <t xml:space="preserve">R05 ·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</si>
  <si>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</si>
  <si>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</si>
  <si>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</si>
  <si>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WBS'!L1473</t>
    </r>
  </si>
  <si>
    <r>
      <rPr>
        <sz val="8"/>
        <color rgb="FF404040"/>
        <rFont val="Tahoma"/>
        <family val="0"/>
        <charset val="1"/>
      </rPr>
      <t xml:space="preserve">LOTO · </t>
    </r>
    <r>
      <rPr>
        <sz val="8"/>
        <color rgb="FF404040"/>
        <rFont val="FreeSans"/>
        <family val="2"/>
      </rPr>
      <t xml:space="preserve">แผนดับไฟ </t>
    </r>
    <r>
      <rPr>
        <sz val="8"/>
        <color rgb="FF404040"/>
        <rFont val="Tahoma"/>
        <family val="0"/>
        <charset val="1"/>
      </rPr>
      <t xml:space="preserve">(0.3)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</si>
  <si>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</si>
  <si>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</si>
  <si>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</si>
  <si>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WBS'!L1474</t>
    </r>
  </si>
  <si>
    <t xml:space="preserve">แผนดับไฟ (0.3)</t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</si>
  <si>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</si>
  <si>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</si>
  <si>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</si>
  <si>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</si>
  <si>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 · การตรวจระบบของ กฟภ. เพื่อขนานไฟ (1.7.5–1.7.6)</t>
  </si>
  <si>
    <t xml:space="preserve">R07 ·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</si>
  <si>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</si>
  <si>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</si>
  <si>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 </t>
    </r>
    <r>
      <rPr>
        <sz val="8"/>
        <color rgb="FF404040"/>
        <rFont val="Tahoma"/>
        <family val="0"/>
        <charset val="1"/>
      </rPr>
      <t xml:space="preserve">·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</si>
  <si>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WBS'!L1475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</si>
  <si>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</si>
  <si>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</si>
  <si>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</si>
  <si>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WBS'!L1476</t>
    </r>
  </si>
  <si>
    <t xml:space="preserve">IEC 62446-1:2016+AMD1:2018</t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</si>
  <si>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</si>
  <si>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</si>
  <si>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</si>
  <si>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WBS'!L1477</t>
    </r>
  </si>
  <si>
    <r>
      <rPr>
        <sz val="8"/>
        <color rgb="FF404040"/>
        <rFont val="Tahoma"/>
        <family val="0"/>
        <charset val="1"/>
      </rPr>
      <t xml:space="preserve">IEC 62446-3:2017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thermal_report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</si>
  <si>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</si>
  <si>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</si>
  <si>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</si>
  <si>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WBS'!L1478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</si>
  <si>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</si>
  <si>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</si>
  <si>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</si>
  <si>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WBS'!L1479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</si>
  <si>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</si>
  <si>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</si>
  <si>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 ·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</si>
  <si>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WBS'!L1480</t>
    </r>
  </si>
  <si>
    <t xml:space="preserve">IEC 61724-1</t>
  </si>
  <si>
    <t xml:space="preserve">3.1.7</t>
  </si>
  <si>
    <t xml:space="preserve">◆ ตรวจรับตามนัด (กปภ. / กฟภ.)</t>
  </si>
  <si>
    <t xml:space="preserve">R04 · R07 · R13</t>
  </si>
  <si>
    <t xml:space="preserve">3.1.8</t>
  </si>
  <si>
    <t xml:space="preserve">แบบ As-built + รายการคำนวณ</t>
  </si>
  <si>
    <t xml:space="preserve">R07 · R09 · R13</t>
  </si>
  <si>
    <t xml:space="preserve">3.2</t>
  </si>
  <si>
    <t xml:space="preserve">อบรมการใช้งาน · ส่งมอบงาน · PAC</t>
  </si>
  <si>
    <t xml:space="preserve">3.2.7, 3.2.6</t>
  </si>
  <si>
    <t xml:space="preserve">การทดสอบ (3.1) ·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</si>
  <si>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</si>
  <si>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</si>
  <si>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</si>
  <si>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WBS'!L1481</t>
    </r>
  </si>
  <si>
    <t xml:space="preserve">หลักฐาน: om_manual</t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</si>
  <si>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</si>
  <si>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</si>
  <si>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</si>
  <si>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WBS'!L1482</t>
    </r>
  </si>
  <si>
    <t xml:space="preserve">หลักฐาน: asbuilt, iec62446_report, om_manual, install_photo_report</t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</si>
  <si>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</si>
  <si>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</si>
  <si>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</si>
  <si>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WBS'!L1483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</si>
  <si>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</si>
  <si>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</si>
  <si>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</si>
  <si>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</si>
  <si>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</si>
  <si>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</si>
  <si>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</si>
  <si>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</si>
  <si>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</si>
  <si>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</si>
  <si>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</si>
  <si>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</si>
  <si>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</si>
  <si>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</si>
  <si>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</si>
  <si>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</si>
  <si>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</si>
  <si>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</si>
  <si>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</si>
  <si>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</si>
  <si>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</si>
  <si>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</si>
  <si>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</si>
  <si>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</si>
  <si>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</si>
  <si>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</si>
  <si>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</si>
  <si>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</si>
  <si>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</si>
  <si>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</si>
  <si>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</si>
  <si>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0/1</t>
  </si>
  <si>
    <t xml:space="preserve">แบบเฉพาะสถานี</t>
  </si>
  <si>
    <t xml:space="preserve">รวม</t>
  </si>
  <si>
    <t xml:space="preserve">ยังไม่ระบุจุด = แผนใช้ % จากชีตนี้ตามเดิม ·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</si>
  <si>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</si>
  <si>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</si>
  <si>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</si>
  <si>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125+125 kW · โรงเรือน 9.00 × 2.50 ม. · โรงเรือนบนพื้นดินตามแบบ E09 ·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</si>
  <si>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</si>
  <si>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</si>
  <si>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</si>
  <si>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</si>
  <si>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 ·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</si>
  <si>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</si>
  <si>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</si>
  <si>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</si>
  <si>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</si>
  <si>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</si>
  <si>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</si>
  <si>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</si>
  <si>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</si>
  <si>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</si>
  <si>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 ·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</si>
  <si>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</si>
  <si>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</si>
  <si>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</si>
  <si>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แม่แบบ </t>
    </r>
    <r>
      <rPr>
        <sz val="10"/>
        <rFont val="Tahoma"/>
        <family val="0"/>
        <charset val="1"/>
      </rPr>
      <t xml:space="preserve">Carport · </t>
    </r>
    <r>
      <rPr>
        <sz val="10"/>
        <rFont val="FreeSans"/>
        <family val="2"/>
      </rPr>
      <t xml:space="preserve">กันย้อน </t>
    </r>
    <r>
      <rPr>
        <sz val="10"/>
        <rFont val="Tahoma"/>
        <family val="0"/>
        <charset val="1"/>
      </rPr>
      <t xml:space="preserve">HV · Inverter ≥ 200 kVA </t>
    </r>
    <r>
      <rPr>
        <sz val="10"/>
        <rFont val="FreeSans"/>
        <family val="2"/>
      </rPr>
      <t xml:space="preserve">การประปาส่วนภูมิภาคสาขา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ตัวอย่าง</t>
    </r>
    <r>
      <rPr>
        <sz val="10"/>
        <rFont val="Tahoma"/>
        <family val="0"/>
        <charset val="1"/>
      </rPr>
      <t xml:space="preserve">) </t>
    </r>
    <r>
      <rPr>
        <sz val="10"/>
        <rFont val="FreeSans"/>
        <family val="2"/>
      </rPr>
      <t xml:space="preserve">ขนาดกำลังผลิต </t>
    </r>
    <r>
      <rPr>
        <sz val="10"/>
        <rFont val="Tahoma"/>
        <family val="0"/>
        <charset val="1"/>
      </rPr>
      <t xml:space="preserve">280.44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</si>
  <si>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</si>
  <si>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</si>
  <si>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</si>
  <si>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P9-018 ·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18 · </t>
    </r>
    <r>
      <rPr>
        <sz val="10"/>
        <rFont val="FreeSans"/>
        <family val="2"/>
      </rPr>
      <t xml:space="preserve">วิศวกร วศ</t>
    </r>
    <r>
      <rPr>
        <sz val="10"/>
        <rFont val="Tahoma"/>
        <family val="0"/>
        <charset val="1"/>
      </rPr>
      <t xml:space="preserve">.18 ·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02/11/2026 (Plan = Baseline)</t>
    </r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</si>
  <si>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</si>
  <si>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</si>
  <si>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</si>
  <si>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</si>
  <si>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</si>
  <si>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</si>
  <si>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</si>
  <si>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</si>
  <si>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</si>
  <si>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</si>
  <si>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</si>
  <si>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</si>
  <si>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Oct 27</t>
  </si>
  <si>
    <t xml:space="preserve">Nov 27</t>
  </si>
  <si>
    <t xml:space="preserve">Dec 27</t>
  </si>
  <si>
    <t xml:space="preserve">Jan 28</t>
  </si>
  <si>
    <t xml:space="preserve">Feb 28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</si>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</sst>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1.7</c:v>
                </c:pt>
                <c:pt idx="3">
                  <c:v>2.5</c:v>
                </c:pt>
                <c:pt idx="4">
                  <c:v>2.5</c:v>
                </c:pt>
                <c:pt idx="5">
                  <c:v>5.22222222222222</c:v>
                </c:pt>
                <c:pt idx="6">
                  <c:v>13</c:v>
                </c:pt>
                <c:pt idx="7">
                  <c:v>20.7777777777778</c:v>
                </c:pt>
                <c:pt idx="8">
                  <c:v>58.2261904761905</c:v>
                </c:pt>
                <c:pt idx="9">
                  <c:v>93</c:v>
                </c:pt>
                <c:pt idx="10">
                  <c:v>96.6521739130435</c:v>
                </c:pt>
                <c:pt idx="11">
                  <c:v>96.804347826087</c:v>
                </c:pt>
                <c:pt idx="12">
                  <c:v>96.9565217391305</c:v>
                </c:pt>
                <c:pt idx="13">
                  <c:v>97.1086956521739</c:v>
                </c:pt>
                <c:pt idx="14">
                  <c:v>97.2608695652174</c:v>
                </c:pt>
                <c:pt idx="15">
                  <c:v>97.4130434782609</c:v>
                </c:pt>
                <c:pt idx="16">
                  <c:v>97.5</c:v>
                </c:pt>
                <c:pt idx="17">
                  <c:v>98.75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1092065"/>
        <c:axId val="22913506"/>
      </c:lineChart>
      <c:catAx>
        <c:axId val="21092065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913506"/>
        <c:crosses val="autoZero"/>
        <c:auto val="1"/>
        <c:lblAlgn val="ctr"/>
        <c:lblOffset val="100"/>
        <c:noMultiLvlLbl val="0"/>
      </c:catAx>
      <c:valAx>
        <c:axId val="229135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09206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</row>
    <row r="4" customFormat="false" ht="21.75" hidden="false" customHeight="true" outlineLevel="0" collapsed="false">
      <c r="C4" s="9" t="n">
        <v>46403</v>
      </c>
      <c r="D4" s="9" t="n">
        <v>46328</v>
      </c>
      <c r="E4" s="9"/>
      <c r="F4" s="10" t="n">
        <v>46433</v>
      </c>
      <c r="G4" s="10"/>
      <c r="H4" s="10"/>
      <c r="J4" s="11" t="n">
        <v>0</v>
      </c>
      <c r="K4" s="11"/>
      <c r="L4" s="12" t="n">
        <v>-36</v>
      </c>
      <c r="M4" s="12"/>
      <c r="N4" s="12" t="n">
        <v>-3</v>
      </c>
      <c r="O4" s="12"/>
      <c r="P4" s="13" t="s">
        <v>18</v>
      </c>
      <c r="Q4" s="13"/>
      <c r="R4" s="6" t="s">
        <v>19</v>
      </c>
      <c r="AA4" s="14" t="s">
        <v>20</v>
      </c>
      <c r="AB4" s="14"/>
      <c r="AC4" s="14"/>
      <c r="AD4" s="14"/>
      <c r="AE4" s="14"/>
      <c r="AF4" s="14" t="s">
        <v>21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22</v>
      </c>
      <c r="AQ4" s="14"/>
      <c r="AR4" s="14"/>
      <c r="AS4" s="14"/>
      <c r="AT4" s="14"/>
      <c r="AU4" s="14" t="s">
        <v>23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4" t="s">
        <v>24</v>
      </c>
      <c r="BF4" s="14"/>
      <c r="BG4" s="14"/>
      <c r="BH4" s="14"/>
      <c r="BI4" s="14"/>
    </row>
    <row r="5" customFormat="false" ht="15" hidden="false" customHeight="true" outlineLevel="0" collapsed="false">
      <c r="A5" s="16" t="s">
        <v>25</v>
      </c>
      <c r="B5" s="17" t="s">
        <v>26</v>
      </c>
      <c r="C5" s="18" t="s">
        <v>27</v>
      </c>
      <c r="AA5" s="19" t="s">
        <v>28</v>
      </c>
      <c r="AB5" s="20" t="s">
        <v>29</v>
      </c>
      <c r="AC5" s="20"/>
      <c r="AD5" s="20"/>
      <c r="AE5" s="20"/>
      <c r="AF5" s="19" t="s">
        <v>30</v>
      </c>
      <c r="AG5" s="20"/>
      <c r="AH5" s="20"/>
      <c r="AI5" s="20"/>
      <c r="AJ5" s="20"/>
      <c r="AK5" s="19" t="s">
        <v>31</v>
      </c>
      <c r="AL5" s="21"/>
      <c r="AM5" s="21"/>
      <c r="AN5" s="21"/>
      <c r="AO5" s="21"/>
      <c r="AP5" s="22" t="s">
        <v>32</v>
      </c>
    </row>
    <row r="6" customFormat="false" ht="15" hidden="false" customHeight="true" outlineLevel="0" collapsed="false">
      <c r="A6" s="23" t="s">
        <v>33</v>
      </c>
      <c r="B6" s="23"/>
      <c r="C6" s="23"/>
      <c r="D6" s="23"/>
      <c r="E6" s="23" t="s">
        <v>34</v>
      </c>
      <c r="F6" s="23"/>
      <c r="G6" s="23"/>
      <c r="H6" s="23"/>
      <c r="I6" s="24" t="s">
        <v>35</v>
      </c>
      <c r="J6" s="24"/>
      <c r="K6" s="23" t="s">
        <v>36</v>
      </c>
      <c r="L6" s="23"/>
      <c r="M6" s="23"/>
      <c r="N6" s="23" t="s">
        <v>37</v>
      </c>
      <c r="O6" s="23"/>
      <c r="P6" s="23"/>
      <c r="Q6" s="23"/>
      <c r="R6" s="25"/>
      <c r="AA6" s="26" t="s">
        <v>38</v>
      </c>
      <c r="AB6" s="26" t="s">
        <v>39</v>
      </c>
      <c r="AC6" s="26"/>
      <c r="AD6" s="26"/>
      <c r="AE6" s="26"/>
      <c r="AF6" s="26"/>
      <c r="AG6" s="26" t="s">
        <v>40</v>
      </c>
      <c r="AH6" s="26"/>
      <c r="AI6" s="26"/>
      <c r="AJ6" s="26"/>
      <c r="AK6" s="26" t="s">
        <v>41</v>
      </c>
      <c r="AL6" s="26"/>
      <c r="AM6" s="26"/>
      <c r="AN6" s="26"/>
      <c r="AO6" s="26" t="s">
        <v>42</v>
      </c>
      <c r="AP6" s="26"/>
      <c r="AQ6" s="26"/>
      <c r="AR6" s="26"/>
      <c r="AS6" s="26" t="s">
        <v>43</v>
      </c>
      <c r="AT6" s="26"/>
      <c r="AU6" s="26"/>
      <c r="AV6" s="26"/>
      <c r="AW6" s="26"/>
      <c r="AX6" s="26" t="s">
        <v>44</v>
      </c>
      <c r="AY6" s="26"/>
      <c r="AZ6" s="26"/>
      <c r="BA6" s="26"/>
      <c r="BB6" s="26" t="s">
        <v>45</v>
      </c>
      <c r="BC6" s="26"/>
      <c r="BD6" s="26"/>
      <c r="BE6" s="26"/>
      <c r="BF6" s="26"/>
      <c r="BG6" s="26" t="s">
        <v>46</v>
      </c>
      <c r="BH6" s="26"/>
      <c r="BI6" s="26"/>
      <c r="BJ6" s="26"/>
      <c r="BK6" s="26" t="s">
        <v>47</v>
      </c>
      <c r="BL6" s="26"/>
      <c r="BM6" s="26"/>
      <c r="BN6" s="26"/>
      <c r="BO6" s="26" t="s">
        <v>48</v>
      </c>
      <c r="BP6" s="26"/>
      <c r="BQ6" s="26"/>
      <c r="BR6" s="26"/>
      <c r="BS6" s="26"/>
      <c r="BT6" s="26" t="s">
        <v>49</v>
      </c>
      <c r="BU6" s="26"/>
      <c r="BV6" s="26"/>
    </row>
    <row r="7" customFormat="false" ht="30" hidden="false" customHeight="true" outlineLevel="0" collapsed="false">
      <c r="A7" s="27" t="s">
        <v>50</v>
      </c>
      <c r="B7" s="28" t="s">
        <v>33</v>
      </c>
      <c r="C7" s="28" t="s">
        <v>51</v>
      </c>
      <c r="D7" s="28" t="s">
        <v>52</v>
      </c>
      <c r="E7" s="28" t="s">
        <v>53</v>
      </c>
      <c r="F7" s="28" t="s">
        <v>54</v>
      </c>
      <c r="G7" s="28" t="s">
        <v>55</v>
      </c>
      <c r="H7" s="28" t="s">
        <v>56</v>
      </c>
      <c r="I7" s="28" t="s">
        <v>57</v>
      </c>
      <c r="J7" s="28" t="s">
        <v>58</v>
      </c>
      <c r="K7" s="28" t="s">
        <v>57</v>
      </c>
      <c r="L7" s="28" t="s">
        <v>59</v>
      </c>
      <c r="M7" s="28" t="s">
        <v>60</v>
      </c>
      <c r="N7" s="28" t="s">
        <v>57</v>
      </c>
      <c r="O7" s="28" t="s">
        <v>58</v>
      </c>
      <c r="P7" s="28" t="s">
        <v>61</v>
      </c>
      <c r="Q7" s="28" t="s">
        <v>62</v>
      </c>
      <c r="R7" s="28" t="s">
        <v>63</v>
      </c>
      <c r="S7" s="28" t="s">
        <v>64</v>
      </c>
      <c r="T7" s="27" t="s">
        <v>65</v>
      </c>
      <c r="U7" s="27" t="s">
        <v>66</v>
      </c>
      <c r="V7" s="27" t="s">
        <v>67</v>
      </c>
      <c r="W7" s="28" t="s">
        <v>68</v>
      </c>
      <c r="X7" s="28" t="s">
        <v>69</v>
      </c>
      <c r="Y7" s="28" t="s">
        <v>70</v>
      </c>
      <c r="AA7" s="29" t="n">
        <v>46321</v>
      </c>
      <c r="AB7" s="29" t="n">
        <v>46328</v>
      </c>
      <c r="AC7" s="29" t="n">
        <v>46335</v>
      </c>
      <c r="AD7" s="29" t="n">
        <v>46342</v>
      </c>
      <c r="AE7" s="29" t="n">
        <v>46349</v>
      </c>
      <c r="AF7" s="29" t="n">
        <v>46356</v>
      </c>
      <c r="AG7" s="29" t="n">
        <v>46363</v>
      </c>
      <c r="AH7" s="29" t="n">
        <v>46370</v>
      </c>
      <c r="AI7" s="29" t="n">
        <v>46377</v>
      </c>
      <c r="AJ7" s="29" t="n">
        <v>46384</v>
      </c>
      <c r="AK7" s="29" t="n">
        <v>46391</v>
      </c>
      <c r="AL7" s="29" t="n">
        <v>46398</v>
      </c>
      <c r="AM7" s="29" t="n">
        <v>46405</v>
      </c>
      <c r="AN7" s="29" t="n">
        <v>46412</v>
      </c>
      <c r="AO7" s="29" t="n">
        <v>46419</v>
      </c>
      <c r="AP7" s="29" t="n">
        <v>46426</v>
      </c>
      <c r="AQ7" s="29" t="n">
        <v>46433</v>
      </c>
      <c r="AR7" s="29" t="n">
        <v>46440</v>
      </c>
      <c r="AS7" s="29" t="n">
        <v>46447</v>
      </c>
      <c r="AT7" s="29" t="n">
        <v>46454</v>
      </c>
      <c r="AU7" s="29" t="n">
        <v>46461</v>
      </c>
      <c r="AV7" s="29" t="n">
        <v>46468</v>
      </c>
      <c r="AW7" s="29" t="n">
        <v>46475</v>
      </c>
      <c r="AX7" s="29" t="n">
        <v>46482</v>
      </c>
      <c r="AY7" s="29" t="n">
        <v>46489</v>
      </c>
      <c r="AZ7" s="29" t="n">
        <v>46496</v>
      </c>
      <c r="BA7" s="29" t="n">
        <v>46503</v>
      </c>
      <c r="BB7" s="29" t="n">
        <v>46510</v>
      </c>
      <c r="BC7" s="29" t="n">
        <v>46517</v>
      </c>
      <c r="BD7" s="29" t="n">
        <v>46524</v>
      </c>
      <c r="BE7" s="29" t="n">
        <v>46531</v>
      </c>
      <c r="BF7" s="29" t="n">
        <v>46538</v>
      </c>
      <c r="BG7" s="29" t="n">
        <v>46545</v>
      </c>
      <c r="BH7" s="29" t="n">
        <v>46552</v>
      </c>
      <c r="BI7" s="29" t="n">
        <v>46559</v>
      </c>
      <c r="BJ7" s="29" t="n">
        <v>46566</v>
      </c>
      <c r="BK7" s="29" t="n">
        <v>46573</v>
      </c>
      <c r="BL7" s="29" t="n">
        <v>46580</v>
      </c>
      <c r="BM7" s="29" t="n">
        <v>46587</v>
      </c>
      <c r="BN7" s="29" t="n">
        <v>46594</v>
      </c>
      <c r="BO7" s="29" t="n">
        <v>46601</v>
      </c>
      <c r="BP7" s="29" t="n">
        <v>46608</v>
      </c>
      <c r="BQ7" s="29" t="n">
        <v>46615</v>
      </c>
      <c r="BR7" s="29" t="n">
        <v>46622</v>
      </c>
      <c r="BS7" s="29" t="n">
        <v>46629</v>
      </c>
      <c r="BT7" s="29" t="n">
        <v>46636</v>
      </c>
      <c r="BU7" s="29" t="n">
        <v>46643</v>
      </c>
      <c r="BV7" s="29" t="n">
        <v>46650</v>
      </c>
    </row>
    <row r="8" customFormat="false" ht="15" hidden="false" customHeight="true" outlineLevel="0" collapsed="false">
      <c r="A8" s="30" t="s">
        <v>71</v>
      </c>
      <c r="B8" s="30" t="s">
        <v>72</v>
      </c>
      <c r="C8" s="30"/>
      <c r="D8" s="30"/>
      <c r="E8" s="31" t="n">
        <v>0</v>
      </c>
      <c r="F8" s="30"/>
      <c r="G8" s="30"/>
      <c r="H8" s="30"/>
      <c r="I8" s="32" t="n">
        <v>46328</v>
      </c>
      <c r="J8" s="32" t="n">
        <v>46453</v>
      </c>
      <c r="K8" s="30"/>
      <c r="L8" s="30"/>
      <c r="M8" s="30"/>
      <c r="N8" s="32" t="n">
        <v>46328</v>
      </c>
      <c r="O8" s="32" t="n">
        <v>46450</v>
      </c>
      <c r="P8" s="33" t="s">
        <v>73</v>
      </c>
      <c r="Q8" s="30" t="n">
        <v>-3</v>
      </c>
      <c r="R8" s="30"/>
      <c r="S8" s="30" t="n">
        <v>0</v>
      </c>
      <c r="T8" s="30" t="s">
        <v>74</v>
      </c>
      <c r="U8" s="30"/>
      <c r="V8" s="34" t="n">
        <v>0</v>
      </c>
      <c r="W8" s="30"/>
      <c r="X8" s="30"/>
      <c r="Y8" s="30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</row>
    <row r="9" customFormat="false" ht="15" hidden="false" customHeight="true" outlineLevel="0" collapsed="false">
      <c r="A9" s="36" t="s">
        <v>75</v>
      </c>
      <c r="B9" s="37" t="s">
        <v>76</v>
      </c>
      <c r="C9" s="38"/>
      <c r="D9" s="38" t="s">
        <v>77</v>
      </c>
      <c r="E9" s="39" t="n">
        <v>0</v>
      </c>
      <c r="F9" s="38"/>
      <c r="G9" s="36"/>
      <c r="H9" s="36" t="n">
        <v>1</v>
      </c>
      <c r="I9" s="40" t="n">
        <v>46328</v>
      </c>
      <c r="J9" s="40" t="n">
        <v>46453</v>
      </c>
      <c r="K9" s="41"/>
      <c r="L9" s="41"/>
      <c r="M9" s="42"/>
      <c r="N9" s="43" t="n">
        <v>46328</v>
      </c>
      <c r="O9" s="44" t="n">
        <v>46450</v>
      </c>
      <c r="P9" s="45" t="s">
        <v>73</v>
      </c>
      <c r="Q9" s="36" t="n">
        <v>-3</v>
      </c>
      <c r="R9" s="38"/>
      <c r="S9" s="38" t="n">
        <v>1</v>
      </c>
      <c r="T9" s="38" t="s">
        <v>74</v>
      </c>
      <c r="U9" s="38"/>
      <c r="V9" s="46" t="n">
        <v>0</v>
      </c>
      <c r="W9" s="37" t="s">
        <v>78</v>
      </c>
      <c r="X9" s="38" t="s">
        <v>79</v>
      </c>
      <c r="Y9" s="37" t="s">
        <v>80</v>
      </c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</row>
    <row r="10" customFormat="false" ht="15" hidden="true" customHeight="true" outlineLevel="1" collapsed="false">
      <c r="A10" s="48" t="s">
        <v>81</v>
      </c>
      <c r="B10" s="49" t="s">
        <v>82</v>
      </c>
      <c r="C10" s="49" t="s">
        <v>83</v>
      </c>
      <c r="D10" s="49" t="s">
        <v>84</v>
      </c>
      <c r="E10" s="50" t="n">
        <v>0</v>
      </c>
      <c r="F10" s="51"/>
      <c r="G10" s="51"/>
      <c r="H10" s="51"/>
      <c r="I10" s="52" t="n">
        <v>46328</v>
      </c>
      <c r="J10" s="52" t="n">
        <v>46340</v>
      </c>
      <c r="K10" s="51"/>
      <c r="L10" s="51"/>
      <c r="M10" s="53" t="s">
        <v>85</v>
      </c>
      <c r="N10" s="54" t="n">
        <v>46328</v>
      </c>
      <c r="O10" s="54" t="n">
        <v>46340</v>
      </c>
      <c r="P10" s="49" t="s">
        <v>73</v>
      </c>
      <c r="Q10" s="51" t="n">
        <v>0</v>
      </c>
      <c r="R10" s="51" t="s">
        <v>86</v>
      </c>
      <c r="S10" s="51" t="n">
        <v>2</v>
      </c>
      <c r="T10" s="51" t="s">
        <v>74</v>
      </c>
      <c r="U10" s="51"/>
      <c r="V10" s="55" t="n">
        <v>0</v>
      </c>
      <c r="W10" s="51" t="s">
        <v>78</v>
      </c>
      <c r="X10" s="51"/>
      <c r="Y10" s="51" t="s">
        <v>80</v>
      </c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</row>
    <row r="11" customFormat="false" ht="15" hidden="true" customHeight="true" outlineLevel="1" collapsed="false">
      <c r="A11" s="48" t="s">
        <v>87</v>
      </c>
      <c r="B11" s="49" t="s">
        <v>88</v>
      </c>
      <c r="C11" s="49" t="s">
        <v>89</v>
      </c>
      <c r="D11" s="49" t="s">
        <v>90</v>
      </c>
      <c r="E11" s="50" t="n">
        <v>0</v>
      </c>
      <c r="F11" s="51"/>
      <c r="G11" s="51"/>
      <c r="H11" s="51"/>
      <c r="I11" s="52" t="n">
        <v>46328</v>
      </c>
      <c r="J11" s="52" t="n">
        <v>46340</v>
      </c>
      <c r="K11" s="51"/>
      <c r="L11" s="51"/>
      <c r="M11" s="53" t="s">
        <v>91</v>
      </c>
      <c r="N11" s="54" t="n">
        <v>46328</v>
      </c>
      <c r="O11" s="54" t="n">
        <v>46340</v>
      </c>
      <c r="P11" s="49" t="s">
        <v>73</v>
      </c>
      <c r="Q11" s="51" t="n">
        <v>0</v>
      </c>
      <c r="R11" s="51" t="s">
        <v>92</v>
      </c>
      <c r="S11" s="51" t="n">
        <v>2</v>
      </c>
      <c r="T11" s="51" t="s">
        <v>74</v>
      </c>
      <c r="U11" s="51"/>
      <c r="V11" s="55" t="n">
        <v>0</v>
      </c>
      <c r="W11" s="49" t="s">
        <v>84</v>
      </c>
      <c r="X11" s="51"/>
      <c r="Y11" s="51" t="s">
        <v>80</v>
      </c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</row>
    <row r="12" customFormat="false" ht="15" hidden="true" customHeight="true" outlineLevel="1" collapsed="false">
      <c r="A12" s="48" t="s">
        <v>93</v>
      </c>
      <c r="B12" s="49" t="s">
        <v>94</v>
      </c>
      <c r="C12" s="51" t="s">
        <v>95</v>
      </c>
      <c r="D12" s="49" t="s">
        <v>90</v>
      </c>
      <c r="E12" s="50" t="n">
        <v>0</v>
      </c>
      <c r="F12" s="51"/>
      <c r="G12" s="51"/>
      <c r="H12" s="51"/>
      <c r="I12" s="52" t="n">
        <v>46328</v>
      </c>
      <c r="J12" s="52" t="n">
        <v>46340</v>
      </c>
      <c r="K12" s="51"/>
      <c r="L12" s="51"/>
      <c r="M12" s="53" t="s">
        <v>96</v>
      </c>
      <c r="N12" s="54" t="n">
        <v>46328</v>
      </c>
      <c r="O12" s="54" t="n">
        <v>46340</v>
      </c>
      <c r="P12" s="49" t="s">
        <v>73</v>
      </c>
      <c r="Q12" s="51" t="n">
        <v>0</v>
      </c>
      <c r="R12" s="49" t="s">
        <v>97</v>
      </c>
      <c r="S12" s="51" t="n">
        <v>2</v>
      </c>
      <c r="T12" s="51" t="s">
        <v>74</v>
      </c>
      <c r="U12" s="51"/>
      <c r="V12" s="55" t="n">
        <v>0</v>
      </c>
      <c r="W12" s="49" t="s">
        <v>84</v>
      </c>
      <c r="X12" s="51"/>
      <c r="Y12" s="51" t="s">
        <v>80</v>
      </c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</row>
    <row r="13" customFormat="false" ht="15" hidden="true" customHeight="true" outlineLevel="1" collapsed="false">
      <c r="A13" s="48" t="s">
        <v>98</v>
      </c>
      <c r="B13" s="49" t="s">
        <v>99</v>
      </c>
      <c r="C13" s="49" t="s">
        <v>100</v>
      </c>
      <c r="D13" s="49" t="s">
        <v>90</v>
      </c>
      <c r="E13" s="50" t="n">
        <v>0</v>
      </c>
      <c r="F13" s="51"/>
      <c r="G13" s="51"/>
      <c r="H13" s="51"/>
      <c r="I13" s="52" t="n">
        <v>46328</v>
      </c>
      <c r="J13" s="52" t="n">
        <v>46347</v>
      </c>
      <c r="K13" s="51"/>
      <c r="L13" s="51"/>
      <c r="M13" s="53" t="s">
        <v>101</v>
      </c>
      <c r="N13" s="54" t="n">
        <v>46328</v>
      </c>
      <c r="O13" s="54" t="n">
        <v>46346</v>
      </c>
      <c r="P13" s="49" t="s">
        <v>73</v>
      </c>
      <c r="Q13" s="51" t="n">
        <v>-1</v>
      </c>
      <c r="R13" s="51" t="s">
        <v>102</v>
      </c>
      <c r="S13" s="51" t="n">
        <v>2</v>
      </c>
      <c r="T13" s="51" t="s">
        <v>74</v>
      </c>
      <c r="U13" s="51"/>
      <c r="V13" s="55" t="n">
        <v>0</v>
      </c>
      <c r="W13" s="49" t="s">
        <v>84</v>
      </c>
      <c r="X13" s="51"/>
      <c r="Y13" s="51" t="s">
        <v>80</v>
      </c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</row>
    <row r="14" customFormat="false" ht="15" hidden="true" customHeight="true" outlineLevel="1" collapsed="false">
      <c r="A14" s="48" t="s">
        <v>103</v>
      </c>
      <c r="B14" s="49" t="s">
        <v>104</v>
      </c>
      <c r="C14" s="49" t="s">
        <v>105</v>
      </c>
      <c r="D14" s="49" t="s">
        <v>90</v>
      </c>
      <c r="E14" s="50" t="n">
        <v>0</v>
      </c>
      <c r="F14" s="51"/>
      <c r="G14" s="51"/>
      <c r="H14" s="51"/>
      <c r="I14" s="52" t="n">
        <v>46340</v>
      </c>
      <c r="J14" s="52" t="n">
        <v>46453</v>
      </c>
      <c r="K14" s="51"/>
      <c r="L14" s="51"/>
      <c r="M14" s="53" t="s">
        <v>106</v>
      </c>
      <c r="N14" s="54" t="n">
        <v>46340</v>
      </c>
      <c r="O14" s="54" t="n">
        <v>46450</v>
      </c>
      <c r="P14" s="49" t="s">
        <v>107</v>
      </c>
      <c r="Q14" s="51" t="n">
        <v>-3</v>
      </c>
      <c r="R14" s="49" t="s">
        <v>108</v>
      </c>
      <c r="S14" s="51" t="n">
        <v>2</v>
      </c>
      <c r="T14" s="51" t="s">
        <v>109</v>
      </c>
      <c r="U14" s="51"/>
      <c r="V14" s="55" t="n">
        <v>0</v>
      </c>
      <c r="W14" s="49" t="s">
        <v>84</v>
      </c>
      <c r="X14" s="51"/>
      <c r="Y14" s="51" t="s">
        <v>80</v>
      </c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</row>
    <row r="15" customFormat="false" ht="15" hidden="true" customHeight="true" outlineLevel="1" collapsed="false">
      <c r="A15" s="48" t="s">
        <v>110</v>
      </c>
      <c r="B15" s="49" t="s">
        <v>111</v>
      </c>
      <c r="C15" s="51" t="s">
        <v>112</v>
      </c>
      <c r="D15" s="49" t="s">
        <v>84</v>
      </c>
      <c r="E15" s="50" t="n">
        <v>0</v>
      </c>
      <c r="F15" s="51"/>
      <c r="G15" s="51"/>
      <c r="H15" s="51"/>
      <c r="I15" s="52" t="n">
        <v>46340</v>
      </c>
      <c r="J15" s="52" t="n">
        <v>46453</v>
      </c>
      <c r="K15" s="51"/>
      <c r="L15" s="51"/>
      <c r="M15" s="53" t="s">
        <v>113</v>
      </c>
      <c r="N15" s="54" t="n">
        <v>46340</v>
      </c>
      <c r="O15" s="54" t="n">
        <v>46450</v>
      </c>
      <c r="P15" s="49" t="s">
        <v>107</v>
      </c>
      <c r="Q15" s="51" t="n">
        <v>-3</v>
      </c>
      <c r="R15" s="49" t="s">
        <v>114</v>
      </c>
      <c r="S15" s="51" t="n">
        <v>2</v>
      </c>
      <c r="T15" s="51" t="s">
        <v>109</v>
      </c>
      <c r="U15" s="51"/>
      <c r="V15" s="55" t="n">
        <v>0</v>
      </c>
      <c r="W15" s="51" t="s">
        <v>78</v>
      </c>
      <c r="X15" s="51"/>
      <c r="Y15" s="51" t="s">
        <v>80</v>
      </c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</row>
    <row r="16" customFormat="false" ht="15" hidden="false" customHeight="true" outlineLevel="0" collapsed="false">
      <c r="A16" s="36" t="s">
        <v>115</v>
      </c>
      <c r="B16" s="38" t="s">
        <v>26</v>
      </c>
      <c r="C16" s="38"/>
      <c r="D16" s="37" t="s">
        <v>116</v>
      </c>
      <c r="E16" s="39" t="n">
        <v>0</v>
      </c>
      <c r="F16" s="38" t="s">
        <v>117</v>
      </c>
      <c r="G16" s="36"/>
      <c r="H16" s="36" t="n">
        <v>10</v>
      </c>
      <c r="I16" s="40" t="n">
        <v>46347</v>
      </c>
      <c r="J16" s="40" t="n">
        <v>46358</v>
      </c>
      <c r="K16" s="41"/>
      <c r="L16" s="41"/>
      <c r="M16" s="42"/>
      <c r="N16" s="43" t="n">
        <v>46328</v>
      </c>
      <c r="O16" s="44" t="n">
        <v>46328</v>
      </c>
      <c r="P16" s="45" t="s">
        <v>73</v>
      </c>
      <c r="Q16" s="36" t="n">
        <v>-30</v>
      </c>
      <c r="R16" s="38"/>
      <c r="S16" s="38" t="n">
        <v>1</v>
      </c>
      <c r="T16" s="38" t="s">
        <v>74</v>
      </c>
      <c r="U16" s="56" t="n">
        <v>46328.0016</v>
      </c>
      <c r="V16" s="46" t="n">
        <v>0</v>
      </c>
      <c r="W16" s="38" t="s">
        <v>84</v>
      </c>
      <c r="X16" s="38" t="s">
        <v>118</v>
      </c>
      <c r="Y16" s="37" t="s">
        <v>119</v>
      </c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7"/>
      <c r="BV16" s="47"/>
    </row>
    <row r="17" customFormat="false" ht="15" hidden="true" customHeight="true" outlineLevel="1" collapsed="false">
      <c r="A17" s="48" t="s">
        <v>120</v>
      </c>
      <c r="B17" s="49" t="s">
        <v>121</v>
      </c>
      <c r="C17" s="49" t="s">
        <v>122</v>
      </c>
      <c r="D17" s="51" t="s">
        <v>116</v>
      </c>
      <c r="E17" s="50" t="n">
        <v>0</v>
      </c>
      <c r="F17" s="51"/>
      <c r="G17" s="51"/>
      <c r="H17" s="51"/>
      <c r="I17" s="52" t="n">
        <v>46347</v>
      </c>
      <c r="J17" s="52" t="n">
        <v>46349</v>
      </c>
      <c r="K17" s="51"/>
      <c r="L17" s="51"/>
      <c r="M17" s="53" t="s">
        <v>123</v>
      </c>
      <c r="N17" s="54" t="n">
        <v>46328</v>
      </c>
      <c r="O17" s="54" t="n">
        <v>46328</v>
      </c>
      <c r="P17" s="49" t="s">
        <v>73</v>
      </c>
      <c r="Q17" s="51" t="n">
        <v>-21</v>
      </c>
      <c r="R17" s="51"/>
      <c r="S17" s="51" t="n">
        <v>2</v>
      </c>
      <c r="T17" s="51" t="s">
        <v>74</v>
      </c>
      <c r="U17" s="51"/>
      <c r="V17" s="55" t="n">
        <v>0</v>
      </c>
      <c r="W17" s="51" t="s">
        <v>78</v>
      </c>
      <c r="X17" s="51"/>
      <c r="Y17" s="51" t="s">
        <v>119</v>
      </c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</row>
    <row r="18" customFormat="false" ht="15" hidden="true" customHeight="true" outlineLevel="1" collapsed="false">
      <c r="A18" s="48" t="s">
        <v>124</v>
      </c>
      <c r="B18" s="49" t="s">
        <v>125</v>
      </c>
      <c r="C18" s="49" t="s">
        <v>126</v>
      </c>
      <c r="D18" s="49" t="s">
        <v>90</v>
      </c>
      <c r="E18" s="50" t="n">
        <v>0</v>
      </c>
      <c r="F18" s="51"/>
      <c r="G18" s="51"/>
      <c r="H18" s="51"/>
      <c r="I18" s="52" t="n">
        <v>46348</v>
      </c>
      <c r="J18" s="52" t="n">
        <v>46351</v>
      </c>
      <c r="K18" s="51"/>
      <c r="L18" s="51"/>
      <c r="M18" s="53" t="s">
        <v>127</v>
      </c>
      <c r="N18" s="54" t="n">
        <v>46328</v>
      </c>
      <c r="O18" s="54" t="n">
        <v>46328</v>
      </c>
      <c r="P18" s="49" t="s">
        <v>73</v>
      </c>
      <c r="Q18" s="51" t="n">
        <v>-23</v>
      </c>
      <c r="R18" s="51"/>
      <c r="S18" s="51" t="n">
        <v>2</v>
      </c>
      <c r="T18" s="51" t="s">
        <v>74</v>
      </c>
      <c r="U18" s="51"/>
      <c r="V18" s="55" t="n">
        <v>0</v>
      </c>
      <c r="W18" s="49" t="s">
        <v>84</v>
      </c>
      <c r="X18" s="51"/>
      <c r="Y18" s="51" t="s">
        <v>119</v>
      </c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</row>
    <row r="19" customFormat="false" ht="15" hidden="true" customHeight="true" outlineLevel="1" collapsed="false">
      <c r="A19" s="48" t="s">
        <v>128</v>
      </c>
      <c r="B19" s="49" t="s">
        <v>129</v>
      </c>
      <c r="C19" s="49" t="s">
        <v>130</v>
      </c>
      <c r="D19" s="49" t="s">
        <v>90</v>
      </c>
      <c r="E19" s="50" t="n">
        <v>0</v>
      </c>
      <c r="F19" s="51"/>
      <c r="G19" s="51"/>
      <c r="H19" s="51"/>
      <c r="I19" s="52" t="n">
        <v>46350</v>
      </c>
      <c r="J19" s="52" t="n">
        <v>46355</v>
      </c>
      <c r="K19" s="51"/>
      <c r="L19" s="51"/>
      <c r="M19" s="53" t="s">
        <v>131</v>
      </c>
      <c r="N19" s="54" t="n">
        <v>46328</v>
      </c>
      <c r="O19" s="54" t="n">
        <v>46328</v>
      </c>
      <c r="P19" s="49" t="s">
        <v>73</v>
      </c>
      <c r="Q19" s="51" t="n">
        <v>-27</v>
      </c>
      <c r="R19" s="49" t="s">
        <v>132</v>
      </c>
      <c r="S19" s="51" t="n">
        <v>2</v>
      </c>
      <c r="T19" s="51" t="s">
        <v>74</v>
      </c>
      <c r="U19" s="51"/>
      <c r="V19" s="55" t="n">
        <v>0</v>
      </c>
      <c r="W19" s="49" t="s">
        <v>84</v>
      </c>
      <c r="X19" s="51"/>
      <c r="Y19" s="51" t="s">
        <v>119</v>
      </c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BT19" s="47"/>
      <c r="BU19" s="47"/>
      <c r="BV19" s="47"/>
    </row>
    <row r="20" customFormat="false" ht="15" hidden="true" customHeight="true" outlineLevel="1" collapsed="false">
      <c r="A20" s="48" t="s">
        <v>133</v>
      </c>
      <c r="B20" s="49" t="s">
        <v>134</v>
      </c>
      <c r="C20" s="49" t="s">
        <v>135</v>
      </c>
      <c r="D20" s="49" t="s">
        <v>90</v>
      </c>
      <c r="E20" s="50" t="n">
        <v>0</v>
      </c>
      <c r="F20" s="51"/>
      <c r="G20" s="51"/>
      <c r="H20" s="51"/>
      <c r="I20" s="52" t="n">
        <v>46350</v>
      </c>
      <c r="J20" s="52" t="n">
        <v>46355</v>
      </c>
      <c r="K20" s="51"/>
      <c r="L20" s="51"/>
      <c r="M20" s="53" t="s">
        <v>136</v>
      </c>
      <c r="N20" s="54" t="n">
        <v>46328</v>
      </c>
      <c r="O20" s="54" t="n">
        <v>46328</v>
      </c>
      <c r="P20" s="49" t="s">
        <v>73</v>
      </c>
      <c r="Q20" s="51" t="n">
        <v>-27</v>
      </c>
      <c r="R20" s="51"/>
      <c r="S20" s="51" t="n">
        <v>2</v>
      </c>
      <c r="T20" s="51" t="s">
        <v>74</v>
      </c>
      <c r="U20" s="51"/>
      <c r="V20" s="55" t="n">
        <v>0</v>
      </c>
      <c r="W20" s="49" t="s">
        <v>84</v>
      </c>
      <c r="X20" s="51"/>
      <c r="Y20" s="51" t="s">
        <v>119</v>
      </c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</row>
    <row r="21" customFormat="false" ht="15" hidden="true" customHeight="true" outlineLevel="1" collapsed="false">
      <c r="A21" s="48" t="s">
        <v>137</v>
      </c>
      <c r="B21" s="49" t="s">
        <v>138</v>
      </c>
      <c r="C21" s="49" t="s">
        <v>139</v>
      </c>
      <c r="D21" s="49" t="s">
        <v>90</v>
      </c>
      <c r="E21" s="50" t="n">
        <v>0</v>
      </c>
      <c r="F21" s="51"/>
      <c r="G21" s="51"/>
      <c r="H21" s="51"/>
      <c r="I21" s="52" t="n">
        <v>46351</v>
      </c>
      <c r="J21" s="52" t="n">
        <v>46356</v>
      </c>
      <c r="K21" s="51"/>
      <c r="L21" s="51"/>
      <c r="M21" s="53" t="s">
        <v>140</v>
      </c>
      <c r="N21" s="54" t="n">
        <v>46328</v>
      </c>
      <c r="O21" s="54" t="n">
        <v>46328</v>
      </c>
      <c r="P21" s="49" t="s">
        <v>73</v>
      </c>
      <c r="Q21" s="51" t="n">
        <v>-28</v>
      </c>
      <c r="R21" s="51"/>
      <c r="S21" s="51" t="n">
        <v>2</v>
      </c>
      <c r="T21" s="51" t="s">
        <v>74</v>
      </c>
      <c r="U21" s="51"/>
      <c r="V21" s="55" t="n">
        <v>0</v>
      </c>
      <c r="W21" s="49" t="s">
        <v>84</v>
      </c>
      <c r="X21" s="51"/>
      <c r="Y21" s="51" t="s">
        <v>119</v>
      </c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</row>
    <row r="22" customFormat="false" ht="15" hidden="true" customHeight="true" outlineLevel="1" collapsed="false">
      <c r="A22" s="48" t="s">
        <v>141</v>
      </c>
      <c r="B22" s="49" t="s">
        <v>142</v>
      </c>
      <c r="C22" s="49" t="s">
        <v>143</v>
      </c>
      <c r="D22" s="49" t="s">
        <v>90</v>
      </c>
      <c r="E22" s="50" t="n">
        <v>0</v>
      </c>
      <c r="F22" s="51"/>
      <c r="G22" s="51"/>
      <c r="H22" s="51"/>
      <c r="I22" s="52" t="n">
        <v>46353</v>
      </c>
      <c r="J22" s="52" t="n">
        <v>46357</v>
      </c>
      <c r="K22" s="51"/>
      <c r="L22" s="51"/>
      <c r="M22" s="53" t="s">
        <v>144</v>
      </c>
      <c r="N22" s="54" t="n">
        <v>46328</v>
      </c>
      <c r="O22" s="54" t="n">
        <v>46328</v>
      </c>
      <c r="P22" s="49" t="s">
        <v>73</v>
      </c>
      <c r="Q22" s="51" t="n">
        <v>-29</v>
      </c>
      <c r="R22" s="51"/>
      <c r="S22" s="51" t="n">
        <v>2</v>
      </c>
      <c r="T22" s="51" t="s">
        <v>74</v>
      </c>
      <c r="U22" s="51"/>
      <c r="V22" s="55" t="n">
        <v>0</v>
      </c>
      <c r="W22" s="49" t="s">
        <v>84</v>
      </c>
      <c r="X22" s="51"/>
      <c r="Y22" s="51" t="s">
        <v>119</v>
      </c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</row>
    <row r="23" customFormat="false" ht="15" hidden="true" customHeight="true" outlineLevel="1" collapsed="false">
      <c r="A23" s="48" t="s">
        <v>145</v>
      </c>
      <c r="B23" s="49" t="s">
        <v>146</v>
      </c>
      <c r="C23" s="49" t="s">
        <v>147</v>
      </c>
      <c r="D23" s="49" t="s">
        <v>90</v>
      </c>
      <c r="E23" s="50" t="n">
        <v>0</v>
      </c>
      <c r="F23" s="51"/>
      <c r="G23" s="51"/>
      <c r="H23" s="51"/>
      <c r="I23" s="52" t="n">
        <v>46353</v>
      </c>
      <c r="J23" s="52" t="n">
        <v>46358</v>
      </c>
      <c r="K23" s="51"/>
      <c r="L23" s="51"/>
      <c r="M23" s="53" t="s">
        <v>148</v>
      </c>
      <c r="N23" s="54" t="n">
        <v>46328</v>
      </c>
      <c r="O23" s="54" t="n">
        <v>46328</v>
      </c>
      <c r="P23" s="49" t="s">
        <v>73</v>
      </c>
      <c r="Q23" s="51" t="n">
        <v>-30</v>
      </c>
      <c r="R23" s="51"/>
      <c r="S23" s="51" t="n">
        <v>2</v>
      </c>
      <c r="T23" s="51" t="s">
        <v>74</v>
      </c>
      <c r="U23" s="51"/>
      <c r="V23" s="55" t="n">
        <v>0</v>
      </c>
      <c r="W23" s="49" t="s">
        <v>84</v>
      </c>
      <c r="X23" s="51"/>
      <c r="Y23" s="51" t="s">
        <v>119</v>
      </c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</row>
    <row r="24" customFormat="false" ht="15" hidden="true" customHeight="true" outlineLevel="1" collapsed="false">
      <c r="A24" s="48" t="s">
        <v>149</v>
      </c>
      <c r="B24" s="49" t="s">
        <v>150</v>
      </c>
      <c r="C24" s="49" t="s">
        <v>151</v>
      </c>
      <c r="D24" s="49" t="s">
        <v>90</v>
      </c>
      <c r="E24" s="50" t="n">
        <v>0</v>
      </c>
      <c r="F24" s="51"/>
      <c r="G24" s="51"/>
      <c r="H24" s="51"/>
      <c r="I24" s="52" t="n">
        <v>46354</v>
      </c>
      <c r="J24" s="52" t="n">
        <v>46358</v>
      </c>
      <c r="K24" s="51"/>
      <c r="L24" s="51"/>
      <c r="M24" s="53" t="s">
        <v>152</v>
      </c>
      <c r="N24" s="54" t="n">
        <v>46328</v>
      </c>
      <c r="O24" s="54" t="n">
        <v>46328</v>
      </c>
      <c r="P24" s="49" t="s">
        <v>73</v>
      </c>
      <c r="Q24" s="51" t="n">
        <v>-30</v>
      </c>
      <c r="R24" s="51"/>
      <c r="S24" s="51" t="n">
        <v>2</v>
      </c>
      <c r="T24" s="51" t="s">
        <v>74</v>
      </c>
      <c r="U24" s="51"/>
      <c r="V24" s="55" t="n">
        <v>0</v>
      </c>
      <c r="W24" s="49" t="s">
        <v>84</v>
      </c>
      <c r="X24" s="51"/>
      <c r="Y24" s="51" t="s">
        <v>119</v>
      </c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</row>
    <row r="25" customFormat="false" ht="15" hidden="false" customHeight="true" outlineLevel="0" collapsed="false">
      <c r="A25" s="36" t="s">
        <v>153</v>
      </c>
      <c r="B25" s="38" t="s">
        <v>154</v>
      </c>
      <c r="C25" s="38"/>
      <c r="D25" s="37" t="s">
        <v>116</v>
      </c>
      <c r="E25" s="39" t="n">
        <v>0</v>
      </c>
      <c r="F25" s="38" t="s">
        <v>155</v>
      </c>
      <c r="G25" s="36"/>
      <c r="H25" s="36" t="n">
        <v>1</v>
      </c>
      <c r="I25" s="40" t="n">
        <v>46352</v>
      </c>
      <c r="J25" s="40" t="n">
        <v>46352</v>
      </c>
      <c r="K25" s="41"/>
      <c r="L25" s="41"/>
      <c r="M25" s="42"/>
      <c r="N25" s="43" t="n">
        <v>46329</v>
      </c>
      <c r="O25" s="44" t="n">
        <v>46329</v>
      </c>
      <c r="P25" s="45" t="s">
        <v>107</v>
      </c>
      <c r="Q25" s="36" t="n">
        <v>-23</v>
      </c>
      <c r="R25" s="38"/>
      <c r="S25" s="38" t="n">
        <v>1</v>
      </c>
      <c r="T25" s="38" t="s">
        <v>109</v>
      </c>
      <c r="U25" s="56" t="n">
        <v>46329.0025</v>
      </c>
      <c r="V25" s="46" t="n">
        <v>0</v>
      </c>
      <c r="W25" s="37" t="s">
        <v>78</v>
      </c>
      <c r="X25" s="38" t="s">
        <v>156</v>
      </c>
      <c r="Y25" s="37" t="s">
        <v>157</v>
      </c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</row>
    <row r="26" customFormat="false" ht="15" hidden="true" customHeight="true" outlineLevel="1" collapsed="false">
      <c r="A26" s="48" t="s">
        <v>158</v>
      </c>
      <c r="B26" s="49" t="s">
        <v>159</v>
      </c>
      <c r="C26" s="49" t="s">
        <v>160</v>
      </c>
      <c r="D26" s="51" t="s">
        <v>116</v>
      </c>
      <c r="E26" s="50" t="n">
        <v>0</v>
      </c>
      <c r="F26" s="51"/>
      <c r="G26" s="51"/>
      <c r="H26" s="51"/>
      <c r="I26" s="52" t="n">
        <v>46352</v>
      </c>
      <c r="J26" s="52" t="n">
        <v>46352</v>
      </c>
      <c r="K26" s="51"/>
      <c r="L26" s="51"/>
      <c r="M26" s="53" t="s">
        <v>161</v>
      </c>
      <c r="N26" s="54" t="n">
        <v>46329</v>
      </c>
      <c r="O26" s="54" t="n">
        <v>46329</v>
      </c>
      <c r="P26" s="49" t="s">
        <v>107</v>
      </c>
      <c r="Q26" s="51" t="n">
        <v>-23</v>
      </c>
      <c r="R26" s="49" t="s">
        <v>162</v>
      </c>
      <c r="S26" s="51" t="n">
        <v>2</v>
      </c>
      <c r="T26" s="51" t="s">
        <v>109</v>
      </c>
      <c r="U26" s="51"/>
      <c r="V26" s="55" t="n">
        <v>0</v>
      </c>
      <c r="W26" s="49" t="s">
        <v>84</v>
      </c>
      <c r="X26" s="51"/>
      <c r="Y26" s="51" t="s">
        <v>157</v>
      </c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7"/>
      <c r="BU26" s="47"/>
      <c r="BV26" s="47"/>
    </row>
    <row r="27" customFormat="false" ht="15" hidden="true" customHeight="true" outlineLevel="1" collapsed="false">
      <c r="A27" s="48" t="s">
        <v>163</v>
      </c>
      <c r="B27" s="49" t="s">
        <v>164</v>
      </c>
      <c r="C27" s="49" t="s">
        <v>165</v>
      </c>
      <c r="D27" s="51" t="s">
        <v>116</v>
      </c>
      <c r="E27" s="50" t="n">
        <v>0</v>
      </c>
      <c r="F27" s="51"/>
      <c r="G27" s="51"/>
      <c r="H27" s="51"/>
      <c r="I27" s="52" t="n">
        <v>46352</v>
      </c>
      <c r="J27" s="52" t="n">
        <v>46352</v>
      </c>
      <c r="K27" s="51"/>
      <c r="L27" s="51"/>
      <c r="M27" s="53" t="s">
        <v>166</v>
      </c>
      <c r="N27" s="54" t="n">
        <v>46329</v>
      </c>
      <c r="O27" s="54" t="n">
        <v>46329</v>
      </c>
      <c r="P27" s="49" t="s">
        <v>107</v>
      </c>
      <c r="Q27" s="51" t="n">
        <v>-23</v>
      </c>
      <c r="R27" s="51"/>
      <c r="S27" s="51" t="n">
        <v>2</v>
      </c>
      <c r="T27" s="51" t="s">
        <v>109</v>
      </c>
      <c r="U27" s="51"/>
      <c r="V27" s="55" t="n">
        <v>0</v>
      </c>
      <c r="W27" s="51" t="s">
        <v>78</v>
      </c>
      <c r="X27" s="51"/>
      <c r="Y27" s="51" t="s">
        <v>157</v>
      </c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</row>
    <row r="28" customFormat="false" ht="15" hidden="true" customHeight="true" outlineLevel="1" collapsed="false">
      <c r="A28" s="48" t="s">
        <v>167</v>
      </c>
      <c r="B28" s="49" t="s">
        <v>168</v>
      </c>
      <c r="C28" s="49" t="s">
        <v>169</v>
      </c>
      <c r="D28" s="49" t="s">
        <v>84</v>
      </c>
      <c r="E28" s="50" t="n">
        <v>0</v>
      </c>
      <c r="F28" s="51"/>
      <c r="G28" s="51"/>
      <c r="H28" s="51"/>
      <c r="I28" s="52" t="n">
        <v>46352</v>
      </c>
      <c r="J28" s="52" t="n">
        <v>46352</v>
      </c>
      <c r="K28" s="51"/>
      <c r="L28" s="51"/>
      <c r="M28" s="53" t="s">
        <v>170</v>
      </c>
      <c r="N28" s="54" t="n">
        <v>46329</v>
      </c>
      <c r="O28" s="54" t="n">
        <v>46329</v>
      </c>
      <c r="P28" s="49" t="s">
        <v>107</v>
      </c>
      <c r="Q28" s="51" t="n">
        <v>-23</v>
      </c>
      <c r="R28" s="51"/>
      <c r="S28" s="51" t="n">
        <v>2</v>
      </c>
      <c r="T28" s="51" t="s">
        <v>109</v>
      </c>
      <c r="U28" s="51"/>
      <c r="V28" s="55" t="n">
        <v>0</v>
      </c>
      <c r="W28" s="51" t="s">
        <v>78</v>
      </c>
      <c r="X28" s="51"/>
      <c r="Y28" s="51" t="s">
        <v>157</v>
      </c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7"/>
      <c r="BV28" s="47"/>
    </row>
    <row r="29" customFormat="false" ht="15" hidden="false" customHeight="true" outlineLevel="0" collapsed="false">
      <c r="A29" s="30" t="s">
        <v>171</v>
      </c>
      <c r="B29" s="30" t="s">
        <v>172</v>
      </c>
      <c r="C29" s="30"/>
      <c r="D29" s="30"/>
      <c r="E29" s="31" t="n">
        <v>5</v>
      </c>
      <c r="F29" s="30"/>
      <c r="G29" s="30"/>
      <c r="H29" s="30"/>
      <c r="I29" s="32" t="n">
        <v>46328</v>
      </c>
      <c r="J29" s="32" t="n">
        <v>46436</v>
      </c>
      <c r="K29" s="30"/>
      <c r="L29" s="30"/>
      <c r="M29" s="30"/>
      <c r="N29" s="32" t="n">
        <v>46328</v>
      </c>
      <c r="O29" s="32" t="n">
        <v>46433</v>
      </c>
      <c r="P29" s="33" t="s">
        <v>73</v>
      </c>
      <c r="Q29" s="30" t="n">
        <v>-3</v>
      </c>
      <c r="R29" s="30"/>
      <c r="S29" s="30" t="n">
        <v>0</v>
      </c>
      <c r="T29" s="30" t="s">
        <v>74</v>
      </c>
      <c r="U29" s="30"/>
      <c r="V29" s="34" t="n">
        <v>0</v>
      </c>
      <c r="W29" s="30"/>
      <c r="X29" s="30"/>
      <c r="Y29" s="30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</row>
    <row r="30" customFormat="false" ht="15" hidden="false" customHeight="true" outlineLevel="0" collapsed="false">
      <c r="A30" s="36" t="s">
        <v>173</v>
      </c>
      <c r="B30" s="37" t="s">
        <v>174</v>
      </c>
      <c r="C30" s="38"/>
      <c r="D30" s="38" t="s">
        <v>77</v>
      </c>
      <c r="E30" s="39" t="n">
        <v>0.5</v>
      </c>
      <c r="F30" s="38" t="s">
        <v>175</v>
      </c>
      <c r="G30" s="36"/>
      <c r="H30" s="36" t="n">
        <v>1</v>
      </c>
      <c r="I30" s="40" t="n">
        <v>46328</v>
      </c>
      <c r="J30" s="40" t="n">
        <v>46328</v>
      </c>
      <c r="K30" s="41"/>
      <c r="L30" s="41"/>
      <c r="M30" s="42"/>
      <c r="N30" s="43" t="n">
        <v>46328</v>
      </c>
      <c r="O30" s="44" t="n">
        <v>46328</v>
      </c>
      <c r="P30" s="45" t="s">
        <v>73</v>
      </c>
      <c r="Q30" s="36" t="n">
        <v>0</v>
      </c>
      <c r="R30" s="38"/>
      <c r="S30" s="38" t="n">
        <v>1</v>
      </c>
      <c r="T30" s="38" t="s">
        <v>74</v>
      </c>
      <c r="U30" s="56" t="n">
        <v>46328.003</v>
      </c>
      <c r="V30" s="46" t="n">
        <v>0</v>
      </c>
      <c r="W30" s="37" t="s">
        <v>78</v>
      </c>
      <c r="X30" s="38" t="s">
        <v>176</v>
      </c>
      <c r="Y30" s="38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47"/>
      <c r="BV30" s="47"/>
    </row>
    <row r="31" customFormat="false" ht="15" hidden="true" customHeight="true" outlineLevel="1" collapsed="false">
      <c r="A31" s="48" t="s">
        <v>177</v>
      </c>
      <c r="B31" s="49" t="s">
        <v>178</v>
      </c>
      <c r="C31" s="49" t="s">
        <v>179</v>
      </c>
      <c r="D31" s="49" t="s">
        <v>84</v>
      </c>
      <c r="E31" s="50" t="n">
        <v>0.2</v>
      </c>
      <c r="F31" s="51"/>
      <c r="G31" s="51"/>
      <c r="H31" s="51"/>
      <c r="I31" s="52" t="n">
        <v>46328</v>
      </c>
      <c r="J31" s="52" t="n">
        <v>46328</v>
      </c>
      <c r="K31" s="51"/>
      <c r="L31" s="51"/>
      <c r="M31" s="53" t="s">
        <v>180</v>
      </c>
      <c r="N31" s="54" t="n">
        <v>46328</v>
      </c>
      <c r="O31" s="54" t="n">
        <v>46328</v>
      </c>
      <c r="P31" s="49" t="s">
        <v>73</v>
      </c>
      <c r="Q31" s="51" t="n">
        <v>0</v>
      </c>
      <c r="R31" s="51"/>
      <c r="S31" s="51" t="n">
        <v>2</v>
      </c>
      <c r="T31" s="51" t="s">
        <v>74</v>
      </c>
      <c r="U31" s="51"/>
      <c r="V31" s="55" t="n">
        <v>0</v>
      </c>
      <c r="W31" s="51" t="s">
        <v>78</v>
      </c>
      <c r="X31" s="51"/>
      <c r="Y31" s="51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7"/>
      <c r="BU31" s="47"/>
      <c r="BV31" s="47"/>
    </row>
    <row r="32" customFormat="false" ht="15" hidden="true" customHeight="true" outlineLevel="1" collapsed="false">
      <c r="A32" s="48" t="s">
        <v>181</v>
      </c>
      <c r="B32" s="49" t="s">
        <v>182</v>
      </c>
      <c r="C32" s="49" t="s">
        <v>183</v>
      </c>
      <c r="D32" s="51" t="s">
        <v>116</v>
      </c>
      <c r="E32" s="50" t="n">
        <v>0.1</v>
      </c>
      <c r="F32" s="51"/>
      <c r="G32" s="51"/>
      <c r="H32" s="51"/>
      <c r="I32" s="52" t="n">
        <v>46328</v>
      </c>
      <c r="J32" s="52" t="n">
        <v>46328</v>
      </c>
      <c r="K32" s="51"/>
      <c r="L32" s="51"/>
      <c r="M32" s="53" t="s">
        <v>184</v>
      </c>
      <c r="N32" s="54" t="n">
        <v>46328</v>
      </c>
      <c r="O32" s="54" t="n">
        <v>46328</v>
      </c>
      <c r="P32" s="49" t="s">
        <v>73</v>
      </c>
      <c r="Q32" s="51" t="n">
        <v>0</v>
      </c>
      <c r="R32" s="49" t="s">
        <v>185</v>
      </c>
      <c r="S32" s="51" t="n">
        <v>2</v>
      </c>
      <c r="T32" s="51" t="s">
        <v>74</v>
      </c>
      <c r="U32" s="51"/>
      <c r="V32" s="55" t="n">
        <v>0</v>
      </c>
      <c r="W32" s="51" t="s">
        <v>78</v>
      </c>
      <c r="X32" s="51"/>
      <c r="Y32" s="51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47"/>
      <c r="BU32" s="47"/>
      <c r="BV32" s="47"/>
    </row>
    <row r="33" customFormat="false" ht="15" hidden="true" customHeight="true" outlineLevel="1" collapsed="false">
      <c r="A33" s="48" t="s">
        <v>186</v>
      </c>
      <c r="B33" s="49" t="s">
        <v>187</v>
      </c>
      <c r="C33" s="49" t="s">
        <v>188</v>
      </c>
      <c r="D33" s="49" t="s">
        <v>84</v>
      </c>
      <c r="E33" s="50" t="n">
        <v>0.2</v>
      </c>
      <c r="F33" s="51"/>
      <c r="G33" s="51"/>
      <c r="H33" s="51"/>
      <c r="I33" s="52" t="n">
        <v>46328</v>
      </c>
      <c r="J33" s="52" t="n">
        <v>46328</v>
      </c>
      <c r="K33" s="51"/>
      <c r="L33" s="51"/>
      <c r="M33" s="53" t="s">
        <v>189</v>
      </c>
      <c r="N33" s="54" t="n">
        <v>46328</v>
      </c>
      <c r="O33" s="54" t="n">
        <v>46328</v>
      </c>
      <c r="P33" s="49" t="s">
        <v>73</v>
      </c>
      <c r="Q33" s="51" t="n">
        <v>0</v>
      </c>
      <c r="R33" s="49" t="s">
        <v>190</v>
      </c>
      <c r="S33" s="51" t="n">
        <v>2</v>
      </c>
      <c r="T33" s="51" t="s">
        <v>74</v>
      </c>
      <c r="U33" s="51"/>
      <c r="V33" s="55" t="n">
        <v>0</v>
      </c>
      <c r="W33" s="51" t="s">
        <v>78</v>
      </c>
      <c r="X33" s="51"/>
      <c r="Y33" s="51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47"/>
      <c r="BM33" s="47"/>
      <c r="BN33" s="47"/>
      <c r="BO33" s="47"/>
      <c r="BP33" s="47"/>
      <c r="BQ33" s="47"/>
      <c r="BR33" s="47"/>
      <c r="BS33" s="47"/>
      <c r="BT33" s="47"/>
      <c r="BU33" s="47"/>
      <c r="BV33" s="47"/>
    </row>
    <row r="34" customFormat="false" ht="15" hidden="false" customHeight="true" outlineLevel="0" collapsed="false">
      <c r="A34" s="36" t="s">
        <v>191</v>
      </c>
      <c r="B34" s="37" t="s">
        <v>192</v>
      </c>
      <c r="C34" s="38"/>
      <c r="D34" s="38" t="s">
        <v>77</v>
      </c>
      <c r="E34" s="39" t="n">
        <v>1</v>
      </c>
      <c r="F34" s="38" t="s">
        <v>193</v>
      </c>
      <c r="G34" s="36"/>
      <c r="H34" s="36" t="n">
        <v>10</v>
      </c>
      <c r="I34" s="40" t="n">
        <v>46335</v>
      </c>
      <c r="J34" s="40" t="n">
        <v>46344</v>
      </c>
      <c r="K34" s="41"/>
      <c r="L34" s="41"/>
      <c r="M34" s="42"/>
      <c r="N34" s="43" t="n">
        <v>46328</v>
      </c>
      <c r="O34" s="44" t="n">
        <v>46328</v>
      </c>
      <c r="P34" s="45" t="s">
        <v>73</v>
      </c>
      <c r="Q34" s="36" t="n">
        <v>-16</v>
      </c>
      <c r="R34" s="38"/>
      <c r="S34" s="38" t="n">
        <v>1</v>
      </c>
      <c r="T34" s="38" t="s">
        <v>74</v>
      </c>
      <c r="U34" s="56" t="n">
        <v>46328.0034</v>
      </c>
      <c r="V34" s="46" t="n">
        <v>0</v>
      </c>
      <c r="W34" s="37" t="s">
        <v>78</v>
      </c>
      <c r="X34" s="37" t="s">
        <v>194</v>
      </c>
      <c r="Y34" s="38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47"/>
      <c r="BS34" s="47"/>
      <c r="BT34" s="47"/>
      <c r="BU34" s="47"/>
      <c r="BV34" s="47"/>
    </row>
    <row r="35" customFormat="false" ht="15" hidden="true" customHeight="true" outlineLevel="1" collapsed="false">
      <c r="A35" s="48" t="s">
        <v>195</v>
      </c>
      <c r="B35" s="51" t="s">
        <v>196</v>
      </c>
      <c r="C35" s="51" t="s">
        <v>197</v>
      </c>
      <c r="D35" s="49" t="s">
        <v>84</v>
      </c>
      <c r="E35" s="50" t="n">
        <v>0.3</v>
      </c>
      <c r="F35" s="51"/>
      <c r="G35" s="51"/>
      <c r="H35" s="51"/>
      <c r="I35" s="52" t="n">
        <v>46335</v>
      </c>
      <c r="J35" s="52" t="n">
        <v>46339</v>
      </c>
      <c r="K35" s="51"/>
      <c r="L35" s="51"/>
      <c r="M35" s="53" t="s">
        <v>198</v>
      </c>
      <c r="N35" s="54" t="n">
        <v>46328</v>
      </c>
      <c r="O35" s="54" t="n">
        <v>46328</v>
      </c>
      <c r="P35" s="49" t="s">
        <v>73</v>
      </c>
      <c r="Q35" s="51" t="n">
        <v>-11</v>
      </c>
      <c r="R35" s="51" t="s">
        <v>199</v>
      </c>
      <c r="S35" s="51" t="n">
        <v>2</v>
      </c>
      <c r="T35" s="51" t="s">
        <v>74</v>
      </c>
      <c r="U35" s="51"/>
      <c r="V35" s="55" t="n">
        <v>0</v>
      </c>
      <c r="W35" s="51" t="s">
        <v>78</v>
      </c>
      <c r="X35" s="51"/>
      <c r="Y35" s="51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  <c r="BT35" s="47"/>
      <c r="BU35" s="47"/>
      <c r="BV35" s="47"/>
    </row>
    <row r="36" customFormat="false" ht="15" hidden="true" customHeight="true" outlineLevel="1" collapsed="false">
      <c r="A36" s="48" t="s">
        <v>200</v>
      </c>
      <c r="B36" s="49" t="s">
        <v>201</v>
      </c>
      <c r="C36" s="49" t="s">
        <v>202</v>
      </c>
      <c r="D36" s="49" t="s">
        <v>84</v>
      </c>
      <c r="E36" s="50" t="n">
        <v>0.3</v>
      </c>
      <c r="F36" s="51"/>
      <c r="G36" s="51"/>
      <c r="H36" s="51"/>
      <c r="I36" s="52" t="n">
        <v>46335</v>
      </c>
      <c r="J36" s="52" t="n">
        <v>46340</v>
      </c>
      <c r="K36" s="51"/>
      <c r="L36" s="51"/>
      <c r="M36" s="53" t="s">
        <v>203</v>
      </c>
      <c r="N36" s="54" t="n">
        <v>46328</v>
      </c>
      <c r="O36" s="54" t="n">
        <v>46328</v>
      </c>
      <c r="P36" s="49" t="s">
        <v>73</v>
      </c>
      <c r="Q36" s="51" t="n">
        <v>-12</v>
      </c>
      <c r="R36" s="49" t="s">
        <v>204</v>
      </c>
      <c r="S36" s="51" t="n">
        <v>2</v>
      </c>
      <c r="T36" s="51" t="s">
        <v>74</v>
      </c>
      <c r="U36" s="51"/>
      <c r="V36" s="55" t="n">
        <v>0</v>
      </c>
      <c r="W36" s="51" t="s">
        <v>78</v>
      </c>
      <c r="X36" s="51"/>
      <c r="Y36" s="51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  <c r="BT36" s="47"/>
      <c r="BU36" s="47"/>
      <c r="BV36" s="47"/>
    </row>
    <row r="37" customFormat="false" ht="15" hidden="true" customHeight="true" outlineLevel="1" collapsed="false">
      <c r="A37" s="48" t="s">
        <v>205</v>
      </c>
      <c r="B37" s="49" t="s">
        <v>206</v>
      </c>
      <c r="C37" s="49" t="s">
        <v>207</v>
      </c>
      <c r="D37" s="49" t="s">
        <v>84</v>
      </c>
      <c r="E37" s="50" t="n">
        <v>0.1</v>
      </c>
      <c r="F37" s="51"/>
      <c r="G37" s="51"/>
      <c r="H37" s="51"/>
      <c r="I37" s="52" t="n">
        <v>46338</v>
      </c>
      <c r="J37" s="52" t="n">
        <v>46341</v>
      </c>
      <c r="K37" s="51"/>
      <c r="L37" s="51"/>
      <c r="M37" s="53" t="s">
        <v>208</v>
      </c>
      <c r="N37" s="54" t="n">
        <v>46328</v>
      </c>
      <c r="O37" s="54" t="n">
        <v>46328</v>
      </c>
      <c r="P37" s="49" t="s">
        <v>73</v>
      </c>
      <c r="Q37" s="51" t="n">
        <v>-13</v>
      </c>
      <c r="R37" s="49" t="s">
        <v>209</v>
      </c>
      <c r="S37" s="51" t="n">
        <v>2</v>
      </c>
      <c r="T37" s="51" t="s">
        <v>74</v>
      </c>
      <c r="U37" s="51"/>
      <c r="V37" s="55" t="n">
        <v>0</v>
      </c>
      <c r="W37" s="51" t="s">
        <v>78</v>
      </c>
      <c r="X37" s="51"/>
      <c r="Y37" s="51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7"/>
      <c r="BU37" s="47"/>
      <c r="BV37" s="47"/>
    </row>
    <row r="38" customFormat="false" ht="15" hidden="true" customHeight="true" outlineLevel="1" collapsed="false">
      <c r="A38" s="48" t="s">
        <v>210</v>
      </c>
      <c r="B38" s="49" t="s">
        <v>211</v>
      </c>
      <c r="C38" s="49" t="s">
        <v>212</v>
      </c>
      <c r="D38" s="49" t="s">
        <v>84</v>
      </c>
      <c r="E38" s="50" t="n">
        <v>0.3</v>
      </c>
      <c r="F38" s="51"/>
      <c r="G38" s="51"/>
      <c r="H38" s="51"/>
      <c r="I38" s="52" t="n">
        <v>46340</v>
      </c>
      <c r="J38" s="52" t="n">
        <v>46344</v>
      </c>
      <c r="K38" s="51"/>
      <c r="L38" s="51"/>
      <c r="M38" s="53" t="s">
        <v>213</v>
      </c>
      <c r="N38" s="54" t="n">
        <v>46328</v>
      </c>
      <c r="O38" s="54" t="n">
        <v>46328</v>
      </c>
      <c r="P38" s="49" t="s">
        <v>73</v>
      </c>
      <c r="Q38" s="51" t="n">
        <v>-16</v>
      </c>
      <c r="R38" s="51" t="s">
        <v>214</v>
      </c>
      <c r="S38" s="51" t="n">
        <v>2</v>
      </c>
      <c r="T38" s="51" t="s">
        <v>74</v>
      </c>
      <c r="U38" s="51"/>
      <c r="V38" s="55" t="n">
        <v>0</v>
      </c>
      <c r="W38" s="51" t="s">
        <v>78</v>
      </c>
      <c r="X38" s="51"/>
      <c r="Y38" s="51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7"/>
      <c r="BU38" s="47"/>
      <c r="BV38" s="47"/>
    </row>
    <row r="39" customFormat="false" ht="15" hidden="false" customHeight="true" outlineLevel="0" collapsed="false">
      <c r="A39" s="36" t="s">
        <v>215</v>
      </c>
      <c r="B39" s="38" t="s">
        <v>216</v>
      </c>
      <c r="C39" s="38"/>
      <c r="D39" s="38" t="s">
        <v>77</v>
      </c>
      <c r="E39" s="39" t="n">
        <v>0.5</v>
      </c>
      <c r="F39" s="38" t="s">
        <v>217</v>
      </c>
      <c r="G39" s="36"/>
      <c r="H39" s="36" t="n">
        <v>1</v>
      </c>
      <c r="I39" s="40" t="n">
        <v>46358</v>
      </c>
      <c r="J39" s="40" t="n">
        <v>46358</v>
      </c>
      <c r="K39" s="41"/>
      <c r="L39" s="41"/>
      <c r="M39" s="42"/>
      <c r="N39" s="43" t="n">
        <v>46328</v>
      </c>
      <c r="O39" s="44" t="n">
        <v>46328</v>
      </c>
      <c r="P39" s="45" t="s">
        <v>73</v>
      </c>
      <c r="Q39" s="36" t="n">
        <v>-30</v>
      </c>
      <c r="R39" s="38"/>
      <c r="S39" s="38" t="n">
        <v>1</v>
      </c>
      <c r="T39" s="38" t="s">
        <v>74</v>
      </c>
      <c r="U39" s="56" t="n">
        <v>46328.0039</v>
      </c>
      <c r="V39" s="46" t="n">
        <v>0</v>
      </c>
      <c r="W39" s="37" t="s">
        <v>78</v>
      </c>
      <c r="X39" s="38" t="s">
        <v>218</v>
      </c>
      <c r="Y39" s="38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7"/>
      <c r="BU39" s="47"/>
      <c r="BV39" s="47"/>
    </row>
    <row r="40" customFormat="false" ht="15" hidden="true" customHeight="true" outlineLevel="1" collapsed="false">
      <c r="A40" s="48" t="s">
        <v>219</v>
      </c>
      <c r="B40" s="49" t="s">
        <v>220</v>
      </c>
      <c r="C40" s="49" t="s">
        <v>221</v>
      </c>
      <c r="D40" s="49" t="s">
        <v>84</v>
      </c>
      <c r="E40" s="50" t="n">
        <v>0.2</v>
      </c>
      <c r="F40" s="51"/>
      <c r="G40" s="51"/>
      <c r="H40" s="51"/>
      <c r="I40" s="52" t="n">
        <v>46358</v>
      </c>
      <c r="J40" s="52" t="n">
        <v>46358</v>
      </c>
      <c r="K40" s="51"/>
      <c r="L40" s="51"/>
      <c r="M40" s="53" t="s">
        <v>222</v>
      </c>
      <c r="N40" s="54" t="n">
        <v>46328</v>
      </c>
      <c r="O40" s="54" t="n">
        <v>46328</v>
      </c>
      <c r="P40" s="49" t="s">
        <v>73</v>
      </c>
      <c r="Q40" s="51" t="n">
        <v>-30</v>
      </c>
      <c r="R40" s="51"/>
      <c r="S40" s="51" t="n">
        <v>2</v>
      </c>
      <c r="T40" s="51" t="s">
        <v>74</v>
      </c>
      <c r="U40" s="51"/>
      <c r="V40" s="55" t="n">
        <v>0</v>
      </c>
      <c r="W40" s="51" t="s">
        <v>78</v>
      </c>
      <c r="X40" s="51"/>
      <c r="Y40" s="51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</row>
    <row r="41" customFormat="false" ht="15" hidden="true" customHeight="true" outlineLevel="1" collapsed="false">
      <c r="A41" s="48" t="s">
        <v>223</v>
      </c>
      <c r="B41" s="49" t="s">
        <v>224</v>
      </c>
      <c r="C41" s="51" t="s">
        <v>225</v>
      </c>
      <c r="D41" s="49" t="s">
        <v>90</v>
      </c>
      <c r="E41" s="50" t="n">
        <v>0.2</v>
      </c>
      <c r="F41" s="51"/>
      <c r="G41" s="51"/>
      <c r="H41" s="51"/>
      <c r="I41" s="52" t="n">
        <v>46358</v>
      </c>
      <c r="J41" s="52" t="n">
        <v>46358</v>
      </c>
      <c r="K41" s="51"/>
      <c r="L41" s="51"/>
      <c r="M41" s="53" t="s">
        <v>226</v>
      </c>
      <c r="N41" s="54" t="n">
        <v>46328</v>
      </c>
      <c r="O41" s="54" t="n">
        <v>46328</v>
      </c>
      <c r="P41" s="49" t="s">
        <v>73</v>
      </c>
      <c r="Q41" s="51" t="n">
        <v>-30</v>
      </c>
      <c r="R41" s="51"/>
      <c r="S41" s="51" t="n">
        <v>2</v>
      </c>
      <c r="T41" s="51" t="s">
        <v>74</v>
      </c>
      <c r="U41" s="51"/>
      <c r="V41" s="55" t="n">
        <v>0</v>
      </c>
      <c r="W41" s="49" t="s">
        <v>84</v>
      </c>
      <c r="X41" s="51"/>
      <c r="Y41" s="51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</row>
    <row r="42" customFormat="false" ht="15" hidden="true" customHeight="true" outlineLevel="1" collapsed="false">
      <c r="A42" s="48" t="s">
        <v>227</v>
      </c>
      <c r="B42" s="49" t="s">
        <v>228</v>
      </c>
      <c r="C42" s="51" t="s">
        <v>229</v>
      </c>
      <c r="D42" s="49" t="s">
        <v>90</v>
      </c>
      <c r="E42" s="50" t="n">
        <v>0.1</v>
      </c>
      <c r="F42" s="51"/>
      <c r="G42" s="51"/>
      <c r="H42" s="51"/>
      <c r="I42" s="52" t="n">
        <v>46358</v>
      </c>
      <c r="J42" s="52" t="n">
        <v>46358</v>
      </c>
      <c r="K42" s="51"/>
      <c r="L42" s="51"/>
      <c r="M42" s="53" t="s">
        <v>230</v>
      </c>
      <c r="N42" s="54" t="n">
        <v>46328</v>
      </c>
      <c r="O42" s="54" t="n">
        <v>46328</v>
      </c>
      <c r="P42" s="49" t="s">
        <v>73</v>
      </c>
      <c r="Q42" s="51" t="n">
        <v>-30</v>
      </c>
      <c r="R42" s="51" t="s">
        <v>231</v>
      </c>
      <c r="S42" s="51" t="n">
        <v>2</v>
      </c>
      <c r="T42" s="51" t="s">
        <v>74</v>
      </c>
      <c r="U42" s="51"/>
      <c r="V42" s="55" t="n">
        <v>0</v>
      </c>
      <c r="W42" s="49" t="s">
        <v>84</v>
      </c>
      <c r="X42" s="51"/>
      <c r="Y42" s="51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</row>
    <row r="43" customFormat="false" ht="15" hidden="false" customHeight="true" outlineLevel="0" collapsed="false">
      <c r="A43" s="36" t="s">
        <v>232</v>
      </c>
      <c r="B43" s="38" t="s">
        <v>233</v>
      </c>
      <c r="C43" s="38"/>
      <c r="D43" s="37" t="s">
        <v>116</v>
      </c>
      <c r="E43" s="39" t="n">
        <v>1</v>
      </c>
      <c r="F43" s="38" t="s">
        <v>234</v>
      </c>
      <c r="G43" s="36"/>
      <c r="H43" s="36" t="n">
        <v>14</v>
      </c>
      <c r="I43" s="40" t="n">
        <v>46335</v>
      </c>
      <c r="J43" s="40" t="n">
        <v>46348</v>
      </c>
      <c r="K43" s="41"/>
      <c r="L43" s="41"/>
      <c r="M43" s="42"/>
      <c r="N43" s="43" t="n">
        <v>46328</v>
      </c>
      <c r="O43" s="44" t="n">
        <v>46328</v>
      </c>
      <c r="P43" s="45" t="s">
        <v>73</v>
      </c>
      <c r="Q43" s="36" t="n">
        <v>-20</v>
      </c>
      <c r="R43" s="38"/>
      <c r="S43" s="38" t="n">
        <v>1</v>
      </c>
      <c r="T43" s="38" t="s">
        <v>74</v>
      </c>
      <c r="U43" s="56" t="n">
        <v>46328.0043</v>
      </c>
      <c r="V43" s="46" t="n">
        <v>0</v>
      </c>
      <c r="W43" s="37" t="s">
        <v>78</v>
      </c>
      <c r="X43" s="38" t="s">
        <v>235</v>
      </c>
      <c r="Y43" s="38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</row>
    <row r="44" customFormat="false" ht="15" hidden="true" customHeight="true" outlineLevel="1" collapsed="false">
      <c r="A44" s="48" t="s">
        <v>236</v>
      </c>
      <c r="B44" s="49" t="s">
        <v>237</v>
      </c>
      <c r="C44" s="49" t="s">
        <v>238</v>
      </c>
      <c r="D44" s="49" t="s">
        <v>84</v>
      </c>
      <c r="E44" s="50" t="n">
        <v>0.2</v>
      </c>
      <c r="F44" s="51"/>
      <c r="G44" s="51"/>
      <c r="H44" s="51"/>
      <c r="I44" s="52" t="n">
        <v>46335</v>
      </c>
      <c r="J44" s="52" t="n">
        <v>46338</v>
      </c>
      <c r="K44" s="51"/>
      <c r="L44" s="51"/>
      <c r="M44" s="53" t="s">
        <v>239</v>
      </c>
      <c r="N44" s="54" t="n">
        <v>46328</v>
      </c>
      <c r="O44" s="54" t="n">
        <v>46328</v>
      </c>
      <c r="P44" s="49" t="s">
        <v>73</v>
      </c>
      <c r="Q44" s="51" t="n">
        <v>-10</v>
      </c>
      <c r="R44" s="51"/>
      <c r="S44" s="51" t="n">
        <v>2</v>
      </c>
      <c r="T44" s="51" t="s">
        <v>74</v>
      </c>
      <c r="U44" s="51"/>
      <c r="V44" s="55" t="n">
        <v>0</v>
      </c>
      <c r="W44" s="51" t="s">
        <v>78</v>
      </c>
      <c r="X44" s="51"/>
      <c r="Y44" s="51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</row>
    <row r="45" customFormat="false" ht="15" hidden="true" customHeight="true" outlineLevel="1" collapsed="false">
      <c r="A45" s="48" t="s">
        <v>240</v>
      </c>
      <c r="B45" s="49" t="s">
        <v>241</v>
      </c>
      <c r="C45" s="49" t="s">
        <v>242</v>
      </c>
      <c r="D45" s="51" t="s">
        <v>116</v>
      </c>
      <c r="E45" s="50" t="n">
        <v>0.4</v>
      </c>
      <c r="F45" s="51"/>
      <c r="G45" s="51"/>
      <c r="H45" s="51"/>
      <c r="I45" s="52" t="n">
        <v>46336</v>
      </c>
      <c r="J45" s="52" t="n">
        <v>46341</v>
      </c>
      <c r="K45" s="51"/>
      <c r="L45" s="51"/>
      <c r="M45" s="53" t="s">
        <v>243</v>
      </c>
      <c r="N45" s="54" t="n">
        <v>46328</v>
      </c>
      <c r="O45" s="54" t="n">
        <v>46328</v>
      </c>
      <c r="P45" s="49" t="s">
        <v>73</v>
      </c>
      <c r="Q45" s="51" t="n">
        <v>-13</v>
      </c>
      <c r="R45" s="49" t="s">
        <v>244</v>
      </c>
      <c r="S45" s="51" t="n">
        <v>2</v>
      </c>
      <c r="T45" s="51" t="s">
        <v>74</v>
      </c>
      <c r="U45" s="51"/>
      <c r="V45" s="55" t="n">
        <v>0</v>
      </c>
      <c r="W45" s="49" t="s">
        <v>84</v>
      </c>
      <c r="X45" s="51"/>
      <c r="Y45" s="51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</row>
    <row r="46" customFormat="false" ht="15" hidden="true" customHeight="true" outlineLevel="1" collapsed="false">
      <c r="A46" s="48" t="s">
        <v>245</v>
      </c>
      <c r="B46" s="49" t="s">
        <v>246</v>
      </c>
      <c r="C46" s="49" t="s">
        <v>247</v>
      </c>
      <c r="D46" s="51" t="s">
        <v>116</v>
      </c>
      <c r="E46" s="50" t="n">
        <v>0.4</v>
      </c>
      <c r="F46" s="51"/>
      <c r="G46" s="51"/>
      <c r="H46" s="51"/>
      <c r="I46" s="52" t="n">
        <v>46341</v>
      </c>
      <c r="J46" s="52" t="n">
        <v>46348</v>
      </c>
      <c r="K46" s="51"/>
      <c r="L46" s="51"/>
      <c r="M46" s="53" t="s">
        <v>248</v>
      </c>
      <c r="N46" s="54" t="n">
        <v>46328</v>
      </c>
      <c r="O46" s="54" t="n">
        <v>46328</v>
      </c>
      <c r="P46" s="49" t="s">
        <v>73</v>
      </c>
      <c r="Q46" s="51" t="n">
        <v>-20</v>
      </c>
      <c r="R46" s="49" t="s">
        <v>249</v>
      </c>
      <c r="S46" s="51" t="n">
        <v>2</v>
      </c>
      <c r="T46" s="51" t="s">
        <v>74</v>
      </c>
      <c r="U46" s="51"/>
      <c r="V46" s="55" t="n">
        <v>0</v>
      </c>
      <c r="W46" s="51" t="s">
        <v>78</v>
      </c>
      <c r="X46" s="51"/>
      <c r="Y46" s="51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7"/>
      <c r="BU46" s="47"/>
      <c r="BV46" s="47"/>
    </row>
    <row r="47" customFormat="false" ht="15" hidden="false" customHeight="true" outlineLevel="0" collapsed="false">
      <c r="A47" s="36" t="s">
        <v>250</v>
      </c>
      <c r="B47" s="38" t="s">
        <v>251</v>
      </c>
      <c r="C47" s="38"/>
      <c r="D47" s="37" t="s">
        <v>116</v>
      </c>
      <c r="E47" s="39" t="n">
        <v>1</v>
      </c>
      <c r="F47" s="37" t="s">
        <v>252</v>
      </c>
      <c r="G47" s="36"/>
      <c r="H47" s="36" t="n">
        <v>1</v>
      </c>
      <c r="I47" s="40" t="n">
        <v>46391</v>
      </c>
      <c r="J47" s="40" t="n">
        <v>46391</v>
      </c>
      <c r="K47" s="41"/>
      <c r="L47" s="41"/>
      <c r="M47" s="42"/>
      <c r="N47" s="43" t="n">
        <v>46356</v>
      </c>
      <c r="O47" s="44" t="n">
        <v>46356</v>
      </c>
      <c r="P47" s="45" t="s">
        <v>107</v>
      </c>
      <c r="Q47" s="36" t="n">
        <v>-35</v>
      </c>
      <c r="R47" s="38"/>
      <c r="S47" s="38" t="n">
        <v>1</v>
      </c>
      <c r="T47" s="38" t="s">
        <v>109</v>
      </c>
      <c r="U47" s="56" t="n">
        <v>46356.0047</v>
      </c>
      <c r="V47" s="46" t="n">
        <v>0</v>
      </c>
      <c r="W47" s="37" t="s">
        <v>78</v>
      </c>
      <c r="X47" s="38" t="s">
        <v>253</v>
      </c>
      <c r="Y47" s="37" t="s">
        <v>254</v>
      </c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</row>
    <row r="48" customFormat="false" ht="15" hidden="true" customHeight="true" outlineLevel="1" collapsed="false">
      <c r="A48" s="48" t="s">
        <v>255</v>
      </c>
      <c r="B48" s="51" t="s">
        <v>256</v>
      </c>
      <c r="C48" s="51" t="s">
        <v>257</v>
      </c>
      <c r="D48" s="51" t="s">
        <v>116</v>
      </c>
      <c r="E48" s="50" t="n">
        <v>0.2</v>
      </c>
      <c r="F48" s="51"/>
      <c r="G48" s="51"/>
      <c r="H48" s="51"/>
      <c r="I48" s="52" t="n">
        <v>46391</v>
      </c>
      <c r="J48" s="52" t="n">
        <v>46391</v>
      </c>
      <c r="K48" s="51"/>
      <c r="L48" s="51"/>
      <c r="M48" s="53" t="s">
        <v>258</v>
      </c>
      <c r="N48" s="54" t="n">
        <v>46356</v>
      </c>
      <c r="O48" s="54" t="n">
        <v>46356</v>
      </c>
      <c r="P48" s="49" t="s">
        <v>107</v>
      </c>
      <c r="Q48" s="51" t="n">
        <v>-35</v>
      </c>
      <c r="R48" s="49" t="s">
        <v>259</v>
      </c>
      <c r="S48" s="51" t="n">
        <v>2</v>
      </c>
      <c r="T48" s="51" t="s">
        <v>109</v>
      </c>
      <c r="U48" s="51"/>
      <c r="V48" s="55" t="n">
        <v>0</v>
      </c>
      <c r="W48" s="49" t="s">
        <v>84</v>
      </c>
      <c r="X48" s="51"/>
      <c r="Y48" s="51" t="s">
        <v>254</v>
      </c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47"/>
      <c r="BV48" s="47"/>
    </row>
    <row r="49" customFormat="false" ht="15" hidden="true" customHeight="true" outlineLevel="1" collapsed="false">
      <c r="A49" s="48" t="s">
        <v>260</v>
      </c>
      <c r="B49" s="49" t="s">
        <v>261</v>
      </c>
      <c r="C49" s="49" t="s">
        <v>262</v>
      </c>
      <c r="D49" s="51" t="s">
        <v>116</v>
      </c>
      <c r="E49" s="50" t="n">
        <v>0.4</v>
      </c>
      <c r="F49" s="51"/>
      <c r="G49" s="51"/>
      <c r="H49" s="51"/>
      <c r="I49" s="52" t="n">
        <v>46391</v>
      </c>
      <c r="J49" s="52" t="n">
        <v>46391</v>
      </c>
      <c r="K49" s="51"/>
      <c r="L49" s="51"/>
      <c r="M49" s="53" t="s">
        <v>263</v>
      </c>
      <c r="N49" s="54" t="n">
        <v>46356</v>
      </c>
      <c r="O49" s="54" t="n">
        <v>46356</v>
      </c>
      <c r="P49" s="49" t="s">
        <v>107</v>
      </c>
      <c r="Q49" s="51" t="n">
        <v>-35</v>
      </c>
      <c r="R49" s="49" t="s">
        <v>264</v>
      </c>
      <c r="S49" s="51" t="n">
        <v>2</v>
      </c>
      <c r="T49" s="51" t="s">
        <v>109</v>
      </c>
      <c r="U49" s="51"/>
      <c r="V49" s="55" t="n">
        <v>0</v>
      </c>
      <c r="W49" s="51" t="s">
        <v>78</v>
      </c>
      <c r="X49" s="51"/>
      <c r="Y49" s="51" t="s">
        <v>254</v>
      </c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</row>
    <row r="50" customFormat="false" ht="15" hidden="false" customHeight="true" outlineLevel="0" collapsed="false">
      <c r="A50" s="36" t="s">
        <v>265</v>
      </c>
      <c r="B50" s="38" t="s">
        <v>266</v>
      </c>
      <c r="C50" s="38"/>
      <c r="D50" s="38" t="s">
        <v>267</v>
      </c>
      <c r="E50" s="39" t="n">
        <v>0</v>
      </c>
      <c r="F50" s="37" t="s">
        <v>250</v>
      </c>
      <c r="G50" s="36" t="n">
        <v>0</v>
      </c>
      <c r="H50" s="57" t="n">
        <v>30</v>
      </c>
      <c r="I50" s="40" t="n">
        <v>46392</v>
      </c>
      <c r="J50" s="40" t="n">
        <v>46421</v>
      </c>
      <c r="K50" s="41"/>
      <c r="L50" s="41"/>
      <c r="M50" s="42"/>
      <c r="N50" s="43" t="n">
        <v>46357</v>
      </c>
      <c r="O50" s="44" t="n">
        <v>46386</v>
      </c>
      <c r="P50" s="45" t="s">
        <v>107</v>
      </c>
      <c r="Q50" s="36" t="n">
        <v>-35</v>
      </c>
      <c r="R50" s="38"/>
      <c r="S50" s="38" t="n">
        <v>1</v>
      </c>
      <c r="T50" s="38" t="s">
        <v>109</v>
      </c>
      <c r="U50" s="56" t="n">
        <v>46357.005</v>
      </c>
      <c r="V50" s="46" t="n">
        <v>0</v>
      </c>
      <c r="W50" s="37" t="s">
        <v>78</v>
      </c>
      <c r="X50" s="38"/>
      <c r="Y50" s="37" t="s">
        <v>254</v>
      </c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</row>
    <row r="51" customFormat="false" ht="15" hidden="true" customHeight="true" outlineLevel="1" collapsed="false">
      <c r="A51" s="48" t="s">
        <v>268</v>
      </c>
      <c r="B51" s="49" t="s">
        <v>269</v>
      </c>
      <c r="C51" s="49" t="s">
        <v>270</v>
      </c>
      <c r="D51" s="51" t="s">
        <v>116</v>
      </c>
      <c r="E51" s="50" t="n">
        <v>0.4</v>
      </c>
      <c r="F51" s="51"/>
      <c r="G51" s="51"/>
      <c r="H51" s="51"/>
      <c r="I51" s="52" t="n">
        <v>46391</v>
      </c>
      <c r="J51" s="52" t="n">
        <v>46391</v>
      </c>
      <c r="K51" s="51"/>
      <c r="L51" s="51"/>
      <c r="M51" s="53" t="s">
        <v>271</v>
      </c>
      <c r="N51" s="54" t="n">
        <v>46356</v>
      </c>
      <c r="O51" s="54" t="n">
        <v>46356</v>
      </c>
      <c r="P51" s="49" t="s">
        <v>107</v>
      </c>
      <c r="Q51" s="51" t="n">
        <v>-35</v>
      </c>
      <c r="R51" s="49" t="s">
        <v>272</v>
      </c>
      <c r="S51" s="51" t="n">
        <v>2</v>
      </c>
      <c r="T51" s="51" t="s">
        <v>109</v>
      </c>
      <c r="U51" s="51"/>
      <c r="V51" s="55" t="n">
        <v>0</v>
      </c>
      <c r="W51" s="51" t="s">
        <v>78</v>
      </c>
      <c r="X51" s="51"/>
      <c r="Y51" s="51" t="s">
        <v>254</v>
      </c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</row>
    <row r="52" customFormat="false" ht="15" hidden="false" customHeight="true" outlineLevel="0" collapsed="false">
      <c r="A52" s="36" t="s">
        <v>273</v>
      </c>
      <c r="B52" s="37" t="s">
        <v>274</v>
      </c>
      <c r="C52" s="38"/>
      <c r="D52" s="37" t="s">
        <v>116</v>
      </c>
      <c r="E52" s="39" t="n">
        <v>0</v>
      </c>
      <c r="F52" s="38"/>
      <c r="G52" s="36"/>
      <c r="H52" s="36" t="n">
        <v>1</v>
      </c>
      <c r="I52" s="40"/>
      <c r="J52" s="40"/>
      <c r="K52" s="41"/>
      <c r="L52" s="41"/>
      <c r="M52" s="42"/>
      <c r="N52" s="43"/>
      <c r="O52" s="44"/>
      <c r="P52" s="37" t="s">
        <v>275</v>
      </c>
      <c r="Q52" s="36"/>
      <c r="R52" s="38"/>
      <c r="S52" s="38" t="n">
        <v>1</v>
      </c>
      <c r="T52" s="38" t="s">
        <v>276</v>
      </c>
      <c r="U52" s="38"/>
      <c r="V52" s="46" t="n">
        <v>0</v>
      </c>
      <c r="W52" s="37" t="s">
        <v>78</v>
      </c>
      <c r="X52" s="38" t="s">
        <v>277</v>
      </c>
      <c r="Y52" s="38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</row>
    <row r="53" customFormat="false" ht="15" hidden="true" customHeight="true" outlineLevel="1" collapsed="false">
      <c r="A53" s="48" t="s">
        <v>278</v>
      </c>
      <c r="B53" s="49" t="s">
        <v>279</v>
      </c>
      <c r="C53" s="49" t="s">
        <v>280</v>
      </c>
      <c r="D53" s="51" t="s">
        <v>116</v>
      </c>
      <c r="E53" s="50" t="n">
        <v>0</v>
      </c>
      <c r="F53" s="51"/>
      <c r="G53" s="51"/>
      <c r="H53" s="51"/>
      <c r="I53" s="52"/>
      <c r="J53" s="52"/>
      <c r="K53" s="51"/>
      <c r="L53" s="51"/>
      <c r="M53" s="53" t="s">
        <v>281</v>
      </c>
      <c r="N53" s="54"/>
      <c r="O53" s="54"/>
      <c r="P53" s="49" t="s">
        <v>275</v>
      </c>
      <c r="Q53" s="51"/>
      <c r="R53" s="51"/>
      <c r="S53" s="51" t="n">
        <v>2</v>
      </c>
      <c r="T53" s="51" t="s">
        <v>276</v>
      </c>
      <c r="U53" s="51"/>
      <c r="V53" s="55" t="n">
        <v>0</v>
      </c>
      <c r="W53" s="49" t="s">
        <v>84</v>
      </c>
      <c r="X53" s="51"/>
      <c r="Y53" s="51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7"/>
      <c r="BV53" s="47"/>
    </row>
    <row r="54" customFormat="false" ht="15" hidden="true" customHeight="true" outlineLevel="1" collapsed="false">
      <c r="A54" s="48" t="s">
        <v>282</v>
      </c>
      <c r="B54" s="49" t="s">
        <v>283</v>
      </c>
      <c r="C54" s="49" t="s">
        <v>284</v>
      </c>
      <c r="D54" s="51" t="s">
        <v>116</v>
      </c>
      <c r="E54" s="50" t="n">
        <v>0</v>
      </c>
      <c r="F54" s="51"/>
      <c r="G54" s="51"/>
      <c r="H54" s="51"/>
      <c r="I54" s="52"/>
      <c r="J54" s="52"/>
      <c r="K54" s="51"/>
      <c r="L54" s="51"/>
      <c r="M54" s="53" t="s">
        <v>285</v>
      </c>
      <c r="N54" s="54"/>
      <c r="O54" s="54"/>
      <c r="P54" s="49" t="s">
        <v>275</v>
      </c>
      <c r="Q54" s="51"/>
      <c r="R54" s="51"/>
      <c r="S54" s="51" t="n">
        <v>2</v>
      </c>
      <c r="T54" s="51" t="s">
        <v>276</v>
      </c>
      <c r="U54" s="51"/>
      <c r="V54" s="55" t="n">
        <v>0</v>
      </c>
      <c r="W54" s="51" t="s">
        <v>78</v>
      </c>
      <c r="X54" s="51"/>
      <c r="Y54" s="51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7"/>
      <c r="BU54" s="47"/>
      <c r="BV54" s="47"/>
    </row>
    <row r="55" customFormat="false" ht="15" hidden="false" customHeight="true" outlineLevel="0" collapsed="false">
      <c r="A55" s="36" t="s">
        <v>286</v>
      </c>
      <c r="B55" s="38" t="s">
        <v>287</v>
      </c>
      <c r="C55" s="38"/>
      <c r="D55" s="37" t="s">
        <v>116</v>
      </c>
      <c r="E55" s="39" t="n">
        <v>1</v>
      </c>
      <c r="F55" s="37" t="s">
        <v>252</v>
      </c>
      <c r="G55" s="36"/>
      <c r="H55" s="36" t="n">
        <v>1</v>
      </c>
      <c r="I55" s="40" t="n">
        <v>46391</v>
      </c>
      <c r="J55" s="40" t="n">
        <v>46391</v>
      </c>
      <c r="K55" s="41"/>
      <c r="L55" s="41"/>
      <c r="M55" s="42"/>
      <c r="N55" s="43" t="n">
        <v>46356</v>
      </c>
      <c r="O55" s="44" t="n">
        <v>46356</v>
      </c>
      <c r="P55" s="45" t="s">
        <v>107</v>
      </c>
      <c r="Q55" s="36" t="n">
        <v>-35</v>
      </c>
      <c r="R55" s="38"/>
      <c r="S55" s="38" t="n">
        <v>1</v>
      </c>
      <c r="T55" s="38" t="s">
        <v>109</v>
      </c>
      <c r="U55" s="56" t="n">
        <v>46356.0055</v>
      </c>
      <c r="V55" s="46" t="n">
        <v>0</v>
      </c>
      <c r="W55" s="37" t="s">
        <v>78</v>
      </c>
      <c r="X55" s="38"/>
      <c r="Y55" s="37" t="s">
        <v>288</v>
      </c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</row>
    <row r="56" customFormat="false" ht="15" hidden="false" customHeight="true" outlineLevel="0" collapsed="false">
      <c r="A56" s="36" t="s">
        <v>289</v>
      </c>
      <c r="B56" s="38" t="s">
        <v>290</v>
      </c>
      <c r="C56" s="38"/>
      <c r="D56" s="37" t="s">
        <v>116</v>
      </c>
      <c r="E56" s="39" t="n">
        <v>0</v>
      </c>
      <c r="F56" s="38"/>
      <c r="G56" s="36"/>
      <c r="H56" s="36" t="n">
        <v>1</v>
      </c>
      <c r="I56" s="40"/>
      <c r="J56" s="40"/>
      <c r="K56" s="41"/>
      <c r="L56" s="41"/>
      <c r="M56" s="42"/>
      <c r="N56" s="43"/>
      <c r="O56" s="44"/>
      <c r="P56" s="37" t="s">
        <v>275</v>
      </c>
      <c r="Q56" s="36"/>
      <c r="R56" s="38"/>
      <c r="S56" s="38" t="n">
        <v>1</v>
      </c>
      <c r="T56" s="38" t="s">
        <v>276</v>
      </c>
      <c r="U56" s="38"/>
      <c r="V56" s="46" t="n">
        <v>0</v>
      </c>
      <c r="W56" s="37" t="s">
        <v>78</v>
      </c>
      <c r="X56" s="38"/>
      <c r="Y56" s="37" t="s">
        <v>288</v>
      </c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7"/>
      <c r="BU56" s="47"/>
      <c r="BV56" s="47"/>
    </row>
    <row r="57" customFormat="false" ht="15" hidden="false" customHeight="true" outlineLevel="0" collapsed="false">
      <c r="A57" s="36" t="s">
        <v>291</v>
      </c>
      <c r="B57" s="38" t="s">
        <v>292</v>
      </c>
      <c r="C57" s="38"/>
      <c r="D57" s="38" t="s">
        <v>293</v>
      </c>
      <c r="E57" s="39" t="n">
        <v>0</v>
      </c>
      <c r="F57" s="37" t="s">
        <v>252</v>
      </c>
      <c r="G57" s="36"/>
      <c r="H57" s="36" t="n">
        <v>21</v>
      </c>
      <c r="I57" s="40" t="n">
        <v>46392</v>
      </c>
      <c r="J57" s="40" t="n">
        <v>46412</v>
      </c>
      <c r="K57" s="41"/>
      <c r="L57" s="41"/>
      <c r="M57" s="42"/>
      <c r="N57" s="43" t="n">
        <v>46359</v>
      </c>
      <c r="O57" s="44" t="n">
        <v>46379</v>
      </c>
      <c r="P57" s="45" t="s">
        <v>107</v>
      </c>
      <c r="Q57" s="36" t="n">
        <v>-33</v>
      </c>
      <c r="R57" s="38"/>
      <c r="S57" s="38" t="n">
        <v>1</v>
      </c>
      <c r="T57" s="38" t="s">
        <v>109</v>
      </c>
      <c r="U57" s="56" t="n">
        <v>46359.0057</v>
      </c>
      <c r="V57" s="46" t="n">
        <v>0</v>
      </c>
      <c r="W57" s="37" t="s">
        <v>78</v>
      </c>
      <c r="X57" s="38"/>
      <c r="Y57" s="37" t="s">
        <v>288</v>
      </c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7"/>
      <c r="BU57" s="47"/>
      <c r="BV57" s="47"/>
    </row>
    <row r="58" customFormat="false" ht="15" hidden="false" customHeight="true" outlineLevel="0" collapsed="false">
      <c r="A58" s="36" t="s">
        <v>294</v>
      </c>
      <c r="B58" s="38" t="s">
        <v>295</v>
      </c>
      <c r="C58" s="38"/>
      <c r="D58" s="37" t="s">
        <v>116</v>
      </c>
      <c r="E58" s="39" t="n">
        <v>0</v>
      </c>
      <c r="F58" s="37" t="s">
        <v>252</v>
      </c>
      <c r="G58" s="36"/>
      <c r="H58" s="57" t="n">
        <v>7</v>
      </c>
      <c r="I58" s="40" t="n">
        <v>46413</v>
      </c>
      <c r="J58" s="40" t="n">
        <v>46419</v>
      </c>
      <c r="K58" s="41"/>
      <c r="L58" s="41"/>
      <c r="M58" s="42"/>
      <c r="N58" s="43" t="n">
        <v>46380</v>
      </c>
      <c r="O58" s="44" t="n">
        <v>46386</v>
      </c>
      <c r="P58" s="45" t="s">
        <v>107</v>
      </c>
      <c r="Q58" s="36" t="n">
        <v>-33</v>
      </c>
      <c r="R58" s="38"/>
      <c r="S58" s="38" t="n">
        <v>1</v>
      </c>
      <c r="T58" s="38" t="s">
        <v>109</v>
      </c>
      <c r="U58" s="56" t="n">
        <v>46380.0058</v>
      </c>
      <c r="V58" s="46" t="n">
        <v>0</v>
      </c>
      <c r="W58" s="37" t="s">
        <v>78</v>
      </c>
      <c r="X58" s="38"/>
      <c r="Y58" s="37" t="s">
        <v>296</v>
      </c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7"/>
      <c r="BU58" s="47"/>
      <c r="BV58" s="47"/>
    </row>
    <row r="59" customFormat="false" ht="15" hidden="false" customHeight="true" outlineLevel="0" collapsed="false">
      <c r="A59" s="36" t="s">
        <v>297</v>
      </c>
      <c r="B59" s="38" t="s">
        <v>298</v>
      </c>
      <c r="C59" s="38"/>
      <c r="D59" s="37" t="s">
        <v>116</v>
      </c>
      <c r="E59" s="39" t="n">
        <v>0</v>
      </c>
      <c r="F59" s="37" t="s">
        <v>252</v>
      </c>
      <c r="G59" s="36"/>
      <c r="H59" s="36" t="n">
        <v>1</v>
      </c>
      <c r="I59" s="40" t="n">
        <v>46420</v>
      </c>
      <c r="J59" s="40" t="n">
        <v>46420</v>
      </c>
      <c r="K59" s="41"/>
      <c r="L59" s="41"/>
      <c r="M59" s="42"/>
      <c r="N59" s="43" t="n">
        <v>46391</v>
      </c>
      <c r="O59" s="44" t="n">
        <v>46391</v>
      </c>
      <c r="P59" s="45" t="s">
        <v>107</v>
      </c>
      <c r="Q59" s="36" t="n">
        <v>-29</v>
      </c>
      <c r="R59" s="38"/>
      <c r="S59" s="38" t="n">
        <v>1</v>
      </c>
      <c r="T59" s="38" t="s">
        <v>109</v>
      </c>
      <c r="U59" s="56" t="n">
        <v>46391.0059</v>
      </c>
      <c r="V59" s="46" t="n">
        <v>0</v>
      </c>
      <c r="W59" s="38" t="s">
        <v>84</v>
      </c>
      <c r="X59" s="38"/>
      <c r="Y59" s="37" t="s">
        <v>299</v>
      </c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7"/>
      <c r="BU59" s="47"/>
      <c r="BV59" s="47"/>
    </row>
    <row r="60" customFormat="false" ht="15" hidden="false" customHeight="true" outlineLevel="0" collapsed="false">
      <c r="A60" s="36" t="s">
        <v>300</v>
      </c>
      <c r="B60" s="58" t="s">
        <v>301</v>
      </c>
      <c r="C60" s="38"/>
      <c r="D60" s="38" t="s">
        <v>77</v>
      </c>
      <c r="E60" s="39" t="n">
        <v>0</v>
      </c>
      <c r="F60" s="37" t="s">
        <v>252</v>
      </c>
      <c r="G60" s="36"/>
      <c r="H60" s="36" t="n">
        <v>42</v>
      </c>
      <c r="I60" s="40" t="n">
        <v>46421</v>
      </c>
      <c r="J60" s="40" t="n">
        <v>46436</v>
      </c>
      <c r="K60" s="41"/>
      <c r="L60" s="41"/>
      <c r="M60" s="42"/>
      <c r="N60" s="43" t="n">
        <v>46392</v>
      </c>
      <c r="O60" s="59" t="n">
        <v>46433</v>
      </c>
      <c r="P60" s="45" t="s">
        <v>107</v>
      </c>
      <c r="Q60" s="36" t="n">
        <v>-3</v>
      </c>
      <c r="R60" s="38"/>
      <c r="S60" s="38" t="n">
        <v>1</v>
      </c>
      <c r="T60" s="38" t="s">
        <v>109</v>
      </c>
      <c r="U60" s="56" t="n">
        <v>46392.006</v>
      </c>
      <c r="V60" s="46" t="n">
        <v>0</v>
      </c>
      <c r="W60" s="37" t="s">
        <v>78</v>
      </c>
      <c r="X60" s="38"/>
      <c r="Y60" s="37" t="s">
        <v>299</v>
      </c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7"/>
      <c r="BU60" s="47"/>
      <c r="BV60" s="47"/>
    </row>
    <row r="61" customFormat="false" ht="15" hidden="false" customHeight="true" outlineLevel="0" collapsed="false">
      <c r="A61" s="30" t="s">
        <v>302</v>
      </c>
      <c r="B61" s="30" t="s">
        <v>303</v>
      </c>
      <c r="C61" s="30"/>
      <c r="D61" s="30"/>
      <c r="E61" s="31" t="n">
        <v>90</v>
      </c>
      <c r="F61" s="30"/>
      <c r="G61" s="30"/>
      <c r="H61" s="30"/>
      <c r="I61" s="32" t="n">
        <v>46361</v>
      </c>
      <c r="J61" s="32" t="n">
        <v>46390</v>
      </c>
      <c r="K61" s="30"/>
      <c r="L61" s="30"/>
      <c r="M61" s="30"/>
      <c r="N61" s="32" t="n">
        <v>46328</v>
      </c>
      <c r="O61" s="32" t="n">
        <v>46349</v>
      </c>
      <c r="P61" s="33" t="s">
        <v>73</v>
      </c>
      <c r="Q61" s="30" t="n">
        <v>-41</v>
      </c>
      <c r="R61" s="30"/>
      <c r="S61" s="30" t="n">
        <v>0</v>
      </c>
      <c r="T61" s="30" t="s">
        <v>74</v>
      </c>
      <c r="U61" s="30"/>
      <c r="V61" s="34" t="n">
        <v>0</v>
      </c>
      <c r="W61" s="30"/>
      <c r="X61" s="30"/>
      <c r="Y61" s="30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</row>
    <row r="62" customFormat="false" ht="15" hidden="false" customHeight="true" outlineLevel="0" collapsed="false">
      <c r="A62" s="36" t="s">
        <v>304</v>
      </c>
      <c r="B62" s="38" t="s">
        <v>305</v>
      </c>
      <c r="C62" s="38" t="s">
        <v>306</v>
      </c>
      <c r="D62" s="38" t="s">
        <v>307</v>
      </c>
      <c r="E62" s="39" t="n">
        <v>20</v>
      </c>
      <c r="F62" s="38" t="s">
        <v>308</v>
      </c>
      <c r="G62" s="36"/>
      <c r="H62" s="36" t="n">
        <v>28</v>
      </c>
      <c r="I62" s="40" t="n">
        <v>46361</v>
      </c>
      <c r="J62" s="40" t="n">
        <v>46378</v>
      </c>
      <c r="K62" s="41"/>
      <c r="L62" s="41"/>
      <c r="M62" s="42"/>
      <c r="N62" s="43" t="n">
        <v>46328</v>
      </c>
      <c r="O62" s="44" t="n">
        <v>46336</v>
      </c>
      <c r="P62" s="45" t="s">
        <v>73</v>
      </c>
      <c r="Q62" s="36" t="n">
        <v>-42</v>
      </c>
      <c r="R62" s="38"/>
      <c r="S62" s="38" t="n">
        <v>1</v>
      </c>
      <c r="T62" s="38" t="s">
        <v>74</v>
      </c>
      <c r="U62" s="56" t="n">
        <v>46328.0062</v>
      </c>
      <c r="V62" s="46" t="n">
        <v>0</v>
      </c>
      <c r="W62" s="38" t="s">
        <v>84</v>
      </c>
      <c r="X62" s="38" t="s">
        <v>309</v>
      </c>
      <c r="Y62" s="37" t="s">
        <v>310</v>
      </c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7"/>
      <c r="BU62" s="47"/>
      <c r="BV62" s="47"/>
    </row>
    <row r="63" customFormat="false" ht="15" hidden="true" customHeight="true" outlineLevel="1" collapsed="false">
      <c r="A63" s="48" t="s">
        <v>311</v>
      </c>
      <c r="B63" s="49" t="s">
        <v>312</v>
      </c>
      <c r="C63" s="49" t="s">
        <v>313</v>
      </c>
      <c r="D63" s="49" t="s">
        <v>90</v>
      </c>
      <c r="E63" s="50" t="n">
        <v>1</v>
      </c>
      <c r="F63" s="51"/>
      <c r="G63" s="51"/>
      <c r="H63" s="51"/>
      <c r="I63" s="52" t="n">
        <v>46361</v>
      </c>
      <c r="J63" s="52" t="n">
        <v>46363</v>
      </c>
      <c r="K63" s="51"/>
      <c r="L63" s="51"/>
      <c r="M63" s="53" t="s">
        <v>314</v>
      </c>
      <c r="N63" s="54" t="n">
        <v>46328</v>
      </c>
      <c r="O63" s="54" t="n">
        <v>46329</v>
      </c>
      <c r="P63" s="49" t="s">
        <v>73</v>
      </c>
      <c r="Q63" s="51" t="n">
        <v>-34</v>
      </c>
      <c r="R63" s="51"/>
      <c r="S63" s="51" t="n">
        <v>2</v>
      </c>
      <c r="T63" s="51" t="s">
        <v>74</v>
      </c>
      <c r="U63" s="51"/>
      <c r="V63" s="55" t="n">
        <v>0</v>
      </c>
      <c r="W63" s="49" t="s">
        <v>84</v>
      </c>
      <c r="X63" s="51"/>
      <c r="Y63" s="51" t="s">
        <v>310</v>
      </c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47"/>
      <c r="BU63" s="47"/>
      <c r="BV63" s="47"/>
    </row>
    <row r="64" customFormat="false" ht="15" hidden="true" customHeight="true" outlineLevel="1" collapsed="false">
      <c r="A64" s="48" t="s">
        <v>315</v>
      </c>
      <c r="B64" s="49" t="s">
        <v>316</v>
      </c>
      <c r="C64" s="49" t="s">
        <v>317</v>
      </c>
      <c r="D64" s="49" t="s">
        <v>90</v>
      </c>
      <c r="E64" s="50" t="n">
        <v>2.5</v>
      </c>
      <c r="F64" s="51"/>
      <c r="G64" s="51"/>
      <c r="H64" s="51"/>
      <c r="I64" s="52" t="n">
        <v>46361</v>
      </c>
      <c r="J64" s="52" t="n">
        <v>46364</v>
      </c>
      <c r="K64" s="51"/>
      <c r="L64" s="51"/>
      <c r="M64" s="53" t="s">
        <v>318</v>
      </c>
      <c r="N64" s="54" t="n">
        <v>46328</v>
      </c>
      <c r="O64" s="54" t="n">
        <v>46330</v>
      </c>
      <c r="P64" s="49" t="s">
        <v>73</v>
      </c>
      <c r="Q64" s="51" t="n">
        <v>-34</v>
      </c>
      <c r="R64" s="49" t="s">
        <v>319</v>
      </c>
      <c r="S64" s="51" t="n">
        <v>2</v>
      </c>
      <c r="T64" s="51" t="s">
        <v>74</v>
      </c>
      <c r="U64" s="51"/>
      <c r="V64" s="55" t="n">
        <v>0</v>
      </c>
      <c r="W64" s="49" t="s">
        <v>84</v>
      </c>
      <c r="X64" s="51"/>
      <c r="Y64" s="51" t="s">
        <v>310</v>
      </c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7"/>
      <c r="BU64" s="47"/>
      <c r="BV64" s="47"/>
    </row>
    <row r="65" customFormat="false" ht="15" hidden="true" customHeight="true" outlineLevel="1" collapsed="false">
      <c r="A65" s="48" t="s">
        <v>320</v>
      </c>
      <c r="B65" s="49" t="s">
        <v>321</v>
      </c>
      <c r="C65" s="49" t="s">
        <v>322</v>
      </c>
      <c r="D65" s="49" t="s">
        <v>90</v>
      </c>
      <c r="E65" s="50" t="n">
        <v>5</v>
      </c>
      <c r="F65" s="51"/>
      <c r="G65" s="51"/>
      <c r="H65" s="51"/>
      <c r="I65" s="52" t="n">
        <v>46363</v>
      </c>
      <c r="J65" s="52" t="n">
        <v>46369</v>
      </c>
      <c r="K65" s="51"/>
      <c r="L65" s="51"/>
      <c r="M65" s="53" t="s">
        <v>323</v>
      </c>
      <c r="N65" s="54" t="n">
        <v>46329</v>
      </c>
      <c r="O65" s="54" t="n">
        <v>46332</v>
      </c>
      <c r="P65" s="49" t="s">
        <v>107</v>
      </c>
      <c r="Q65" s="51" t="n">
        <v>-37</v>
      </c>
      <c r="R65" s="49" t="s">
        <v>324</v>
      </c>
      <c r="S65" s="51" t="n">
        <v>2</v>
      </c>
      <c r="T65" s="51" t="s">
        <v>109</v>
      </c>
      <c r="U65" s="51"/>
      <c r="V65" s="55" t="n">
        <v>0</v>
      </c>
      <c r="W65" s="49" t="s">
        <v>84</v>
      </c>
      <c r="X65" s="51"/>
      <c r="Y65" s="51" t="s">
        <v>310</v>
      </c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7"/>
      <c r="BU65" s="47"/>
      <c r="BV65" s="47"/>
    </row>
    <row r="66" customFormat="false" ht="15" hidden="true" customHeight="true" outlineLevel="1" collapsed="false">
      <c r="A66" s="48" t="s">
        <v>325</v>
      </c>
      <c r="B66" s="49" t="s">
        <v>326</v>
      </c>
      <c r="C66" s="51" t="s">
        <v>327</v>
      </c>
      <c r="D66" s="49" t="s">
        <v>90</v>
      </c>
      <c r="E66" s="50" t="n">
        <v>7</v>
      </c>
      <c r="F66" s="51"/>
      <c r="G66" s="51"/>
      <c r="H66" s="51"/>
      <c r="I66" s="52" t="n">
        <v>46368</v>
      </c>
      <c r="J66" s="52" t="n">
        <v>46375</v>
      </c>
      <c r="K66" s="51"/>
      <c r="L66" s="51"/>
      <c r="M66" s="53" t="s">
        <v>328</v>
      </c>
      <c r="N66" s="54" t="n">
        <v>46331</v>
      </c>
      <c r="O66" s="54" t="n">
        <v>46335</v>
      </c>
      <c r="P66" s="49" t="s">
        <v>107</v>
      </c>
      <c r="Q66" s="51" t="n">
        <v>-40</v>
      </c>
      <c r="R66" s="51"/>
      <c r="S66" s="51" t="n">
        <v>2</v>
      </c>
      <c r="T66" s="51" t="s">
        <v>109</v>
      </c>
      <c r="U66" s="51"/>
      <c r="V66" s="55" t="n">
        <v>0</v>
      </c>
      <c r="W66" s="49" t="s">
        <v>84</v>
      </c>
      <c r="X66" s="51"/>
      <c r="Y66" s="51" t="s">
        <v>310</v>
      </c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7"/>
      <c r="BU66" s="47"/>
      <c r="BV66" s="47"/>
    </row>
    <row r="67" customFormat="false" ht="15" hidden="true" customHeight="true" outlineLevel="1" collapsed="false">
      <c r="A67" s="48" t="s">
        <v>329</v>
      </c>
      <c r="B67" s="51" t="s">
        <v>330</v>
      </c>
      <c r="C67" s="51" t="s">
        <v>331</v>
      </c>
      <c r="D67" s="49" t="s">
        <v>90</v>
      </c>
      <c r="E67" s="50" t="n">
        <v>3</v>
      </c>
      <c r="F67" s="51"/>
      <c r="G67" s="51"/>
      <c r="H67" s="51"/>
      <c r="I67" s="52" t="n">
        <v>46371</v>
      </c>
      <c r="J67" s="52" t="n">
        <v>46377</v>
      </c>
      <c r="K67" s="51"/>
      <c r="L67" s="51"/>
      <c r="M67" s="53" t="s">
        <v>332</v>
      </c>
      <c r="N67" s="54" t="n">
        <v>46333</v>
      </c>
      <c r="O67" s="54" t="n">
        <v>46336</v>
      </c>
      <c r="P67" s="49" t="s">
        <v>107</v>
      </c>
      <c r="Q67" s="51" t="n">
        <v>-41</v>
      </c>
      <c r="R67" s="51"/>
      <c r="S67" s="51" t="n">
        <v>2</v>
      </c>
      <c r="T67" s="51" t="s">
        <v>109</v>
      </c>
      <c r="U67" s="51"/>
      <c r="V67" s="55" t="n">
        <v>0</v>
      </c>
      <c r="W67" s="49" t="s">
        <v>84</v>
      </c>
      <c r="X67" s="51"/>
      <c r="Y67" s="51" t="s">
        <v>310</v>
      </c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7"/>
      <c r="BU67" s="47"/>
      <c r="BV67" s="47"/>
    </row>
    <row r="68" customFormat="false" ht="15" hidden="true" customHeight="true" outlineLevel="1" collapsed="false">
      <c r="A68" s="48" t="s">
        <v>333</v>
      </c>
      <c r="B68" s="49" t="s">
        <v>334</v>
      </c>
      <c r="C68" s="49" t="s">
        <v>335</v>
      </c>
      <c r="D68" s="49" t="s">
        <v>90</v>
      </c>
      <c r="E68" s="50" t="n">
        <v>0.5</v>
      </c>
      <c r="F68" s="51"/>
      <c r="G68" s="51"/>
      <c r="H68" s="51"/>
      <c r="I68" s="52" t="n">
        <v>46375</v>
      </c>
      <c r="J68" s="52" t="n">
        <v>46378</v>
      </c>
      <c r="K68" s="51"/>
      <c r="L68" s="51"/>
      <c r="M68" s="53" t="s">
        <v>336</v>
      </c>
      <c r="N68" s="54" t="n">
        <v>46334</v>
      </c>
      <c r="O68" s="54" t="n">
        <v>46336</v>
      </c>
      <c r="P68" s="49" t="s">
        <v>107</v>
      </c>
      <c r="Q68" s="51" t="n">
        <v>-42</v>
      </c>
      <c r="R68" s="51"/>
      <c r="S68" s="51" t="n">
        <v>2</v>
      </c>
      <c r="T68" s="51" t="s">
        <v>109</v>
      </c>
      <c r="U68" s="51"/>
      <c r="V68" s="55" t="n">
        <v>0</v>
      </c>
      <c r="W68" s="49" t="s">
        <v>84</v>
      </c>
      <c r="X68" s="51"/>
      <c r="Y68" s="51" t="s">
        <v>310</v>
      </c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7"/>
      <c r="BU68" s="47"/>
      <c r="BV68" s="47"/>
    </row>
    <row r="69" customFormat="false" ht="15" hidden="true" customHeight="true" outlineLevel="1" collapsed="false">
      <c r="A69" s="48" t="s">
        <v>337</v>
      </c>
      <c r="B69" s="51" t="s">
        <v>338</v>
      </c>
      <c r="C69" s="49" t="s">
        <v>339</v>
      </c>
      <c r="D69" s="49" t="s">
        <v>90</v>
      </c>
      <c r="E69" s="50" t="n">
        <v>1</v>
      </c>
      <c r="F69" s="51"/>
      <c r="G69" s="51"/>
      <c r="H69" s="51"/>
      <c r="I69" s="52" t="n">
        <v>46377</v>
      </c>
      <c r="J69" s="52" t="n">
        <v>46378</v>
      </c>
      <c r="K69" s="51"/>
      <c r="L69" s="51"/>
      <c r="M69" s="53" t="s">
        <v>340</v>
      </c>
      <c r="N69" s="54" t="n">
        <v>46336</v>
      </c>
      <c r="O69" s="54" t="n">
        <v>46336</v>
      </c>
      <c r="P69" s="49" t="s">
        <v>107</v>
      </c>
      <c r="Q69" s="51" t="n">
        <v>-42</v>
      </c>
      <c r="R69" s="49" t="s">
        <v>97</v>
      </c>
      <c r="S69" s="51" t="n">
        <v>2</v>
      </c>
      <c r="T69" s="51" t="s">
        <v>109</v>
      </c>
      <c r="U69" s="51"/>
      <c r="V69" s="55" t="n">
        <v>0</v>
      </c>
      <c r="W69" s="49" t="s">
        <v>84</v>
      </c>
      <c r="X69" s="51"/>
      <c r="Y69" s="51" t="s">
        <v>310</v>
      </c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7"/>
      <c r="BV69" s="47"/>
    </row>
    <row r="70" customFormat="false" ht="15" hidden="false" customHeight="true" outlineLevel="0" collapsed="false">
      <c r="A70" s="36" t="s">
        <v>341</v>
      </c>
      <c r="B70" s="38" t="s">
        <v>342</v>
      </c>
      <c r="C70" s="38" t="s">
        <v>306</v>
      </c>
      <c r="D70" s="38" t="s">
        <v>307</v>
      </c>
      <c r="E70" s="39" t="n">
        <v>10</v>
      </c>
      <c r="F70" s="38" t="s">
        <v>343</v>
      </c>
      <c r="G70" s="36"/>
      <c r="H70" s="36" t="n">
        <v>4</v>
      </c>
      <c r="I70" s="40" t="n">
        <v>46379</v>
      </c>
      <c r="J70" s="40" t="n">
        <v>46388</v>
      </c>
      <c r="K70" s="41"/>
      <c r="L70" s="41"/>
      <c r="M70" s="42"/>
      <c r="N70" s="43" t="n">
        <v>46343</v>
      </c>
      <c r="O70" s="44" t="n">
        <v>46346</v>
      </c>
      <c r="P70" s="45" t="s">
        <v>107</v>
      </c>
      <c r="Q70" s="36" t="n">
        <v>-42</v>
      </c>
      <c r="R70" s="38"/>
      <c r="S70" s="38" t="n">
        <v>1</v>
      </c>
      <c r="T70" s="38" t="s">
        <v>109</v>
      </c>
      <c r="U70" s="56" t="n">
        <v>46343.007</v>
      </c>
      <c r="V70" s="46" t="n">
        <v>0</v>
      </c>
      <c r="W70" s="38" t="s">
        <v>84</v>
      </c>
      <c r="X70" s="38" t="s">
        <v>344</v>
      </c>
      <c r="Y70" s="37" t="s">
        <v>310</v>
      </c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</row>
    <row r="71" customFormat="false" ht="15" hidden="true" customHeight="true" outlineLevel="1" collapsed="false">
      <c r="A71" s="48" t="s">
        <v>345</v>
      </c>
      <c r="B71" s="49" t="s">
        <v>346</v>
      </c>
      <c r="C71" s="51" t="s">
        <v>347</v>
      </c>
      <c r="D71" s="49" t="s">
        <v>90</v>
      </c>
      <c r="E71" s="50" t="n">
        <v>3</v>
      </c>
      <c r="F71" s="51"/>
      <c r="G71" s="51"/>
      <c r="H71" s="51"/>
      <c r="I71" s="52" t="n">
        <v>46379</v>
      </c>
      <c r="J71" s="52" t="n">
        <v>46383</v>
      </c>
      <c r="K71" s="51"/>
      <c r="L71" s="51"/>
      <c r="M71" s="53" t="s">
        <v>348</v>
      </c>
      <c r="N71" s="54" t="n">
        <v>46343</v>
      </c>
      <c r="O71" s="54" t="n">
        <v>46344</v>
      </c>
      <c r="P71" s="49" t="s">
        <v>107</v>
      </c>
      <c r="Q71" s="51" t="n">
        <v>-39</v>
      </c>
      <c r="R71" s="51"/>
      <c r="S71" s="51" t="n">
        <v>2</v>
      </c>
      <c r="T71" s="51" t="s">
        <v>109</v>
      </c>
      <c r="U71" s="51"/>
      <c r="V71" s="55" t="n">
        <v>0</v>
      </c>
      <c r="W71" s="49" t="s">
        <v>84</v>
      </c>
      <c r="X71" s="51"/>
      <c r="Y71" s="51" t="s">
        <v>310</v>
      </c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</row>
    <row r="72" customFormat="false" ht="15" hidden="true" customHeight="true" outlineLevel="1" collapsed="false">
      <c r="A72" s="48" t="s">
        <v>349</v>
      </c>
      <c r="B72" s="49" t="s">
        <v>350</v>
      </c>
      <c r="C72" s="49" t="s">
        <v>351</v>
      </c>
      <c r="D72" s="49" t="s">
        <v>90</v>
      </c>
      <c r="E72" s="50" t="n">
        <v>3</v>
      </c>
      <c r="F72" s="51"/>
      <c r="G72" s="51"/>
      <c r="H72" s="51"/>
      <c r="I72" s="52" t="n">
        <v>46381</v>
      </c>
      <c r="J72" s="52" t="n">
        <v>46386</v>
      </c>
      <c r="K72" s="51"/>
      <c r="L72" s="51"/>
      <c r="M72" s="53" t="s">
        <v>352</v>
      </c>
      <c r="N72" s="54" t="n">
        <v>46344</v>
      </c>
      <c r="O72" s="54" t="n">
        <v>46345</v>
      </c>
      <c r="P72" s="49" t="s">
        <v>107</v>
      </c>
      <c r="Q72" s="51" t="n">
        <v>-41</v>
      </c>
      <c r="R72" s="49" t="s">
        <v>353</v>
      </c>
      <c r="S72" s="51" t="n">
        <v>2</v>
      </c>
      <c r="T72" s="51" t="s">
        <v>109</v>
      </c>
      <c r="U72" s="51"/>
      <c r="V72" s="55" t="n">
        <v>0</v>
      </c>
      <c r="W72" s="49" t="s">
        <v>84</v>
      </c>
      <c r="X72" s="51"/>
      <c r="Y72" s="51" t="s">
        <v>310</v>
      </c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</row>
    <row r="73" customFormat="false" ht="15" hidden="true" customHeight="true" outlineLevel="1" collapsed="false">
      <c r="A73" s="48" t="s">
        <v>354</v>
      </c>
      <c r="B73" s="49" t="s">
        <v>355</v>
      </c>
      <c r="C73" s="49" t="s">
        <v>356</v>
      </c>
      <c r="D73" s="49" t="s">
        <v>90</v>
      </c>
      <c r="E73" s="50" t="n">
        <v>2</v>
      </c>
      <c r="F73" s="51"/>
      <c r="G73" s="51"/>
      <c r="H73" s="51"/>
      <c r="I73" s="52" t="n">
        <v>46382</v>
      </c>
      <c r="J73" s="52" t="n">
        <v>46386</v>
      </c>
      <c r="K73" s="51"/>
      <c r="L73" s="51"/>
      <c r="M73" s="53" t="s">
        <v>357</v>
      </c>
      <c r="N73" s="54" t="n">
        <v>46344</v>
      </c>
      <c r="O73" s="54" t="n">
        <v>46345</v>
      </c>
      <c r="P73" s="49" t="s">
        <v>107</v>
      </c>
      <c r="Q73" s="51" t="n">
        <v>-41</v>
      </c>
      <c r="R73" s="49" t="s">
        <v>358</v>
      </c>
      <c r="S73" s="51" t="n">
        <v>2</v>
      </c>
      <c r="T73" s="51" t="s">
        <v>109</v>
      </c>
      <c r="U73" s="51"/>
      <c r="V73" s="55" t="n">
        <v>0</v>
      </c>
      <c r="W73" s="49" t="s">
        <v>84</v>
      </c>
      <c r="X73" s="51"/>
      <c r="Y73" s="51" t="s">
        <v>310</v>
      </c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</row>
    <row r="74" customFormat="false" ht="15" hidden="true" customHeight="true" outlineLevel="1" collapsed="false">
      <c r="A74" s="48" t="s">
        <v>359</v>
      </c>
      <c r="B74" s="49" t="s">
        <v>360</v>
      </c>
      <c r="C74" s="51" t="s">
        <v>361</v>
      </c>
      <c r="D74" s="49" t="s">
        <v>90</v>
      </c>
      <c r="E74" s="50" t="n">
        <v>1</v>
      </c>
      <c r="F74" s="51"/>
      <c r="G74" s="51"/>
      <c r="H74" s="51"/>
      <c r="I74" s="52" t="n">
        <v>46383</v>
      </c>
      <c r="J74" s="52" t="n">
        <v>46388</v>
      </c>
      <c r="K74" s="51"/>
      <c r="L74" s="51"/>
      <c r="M74" s="53" t="s">
        <v>362</v>
      </c>
      <c r="N74" s="54" t="n">
        <v>46345</v>
      </c>
      <c r="O74" s="54" t="n">
        <v>46346</v>
      </c>
      <c r="P74" s="49" t="s">
        <v>107</v>
      </c>
      <c r="Q74" s="51" t="n">
        <v>-42</v>
      </c>
      <c r="R74" s="49" t="s">
        <v>363</v>
      </c>
      <c r="S74" s="51" t="n">
        <v>2</v>
      </c>
      <c r="T74" s="51" t="s">
        <v>109</v>
      </c>
      <c r="U74" s="51"/>
      <c r="V74" s="55" t="n">
        <v>0</v>
      </c>
      <c r="W74" s="49" t="s">
        <v>84</v>
      </c>
      <c r="X74" s="51"/>
      <c r="Y74" s="51" t="s">
        <v>310</v>
      </c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7"/>
      <c r="BU74" s="47"/>
      <c r="BV74" s="47"/>
    </row>
    <row r="75" customFormat="false" ht="15" hidden="true" customHeight="true" outlineLevel="1" collapsed="false">
      <c r="A75" s="48" t="s">
        <v>364</v>
      </c>
      <c r="B75" s="51" t="s">
        <v>365</v>
      </c>
      <c r="C75" s="49" t="s">
        <v>366</v>
      </c>
      <c r="D75" s="49" t="s">
        <v>90</v>
      </c>
      <c r="E75" s="50" t="n">
        <v>1</v>
      </c>
      <c r="F75" s="51"/>
      <c r="G75" s="51"/>
      <c r="H75" s="51"/>
      <c r="I75" s="52" t="n">
        <v>46386</v>
      </c>
      <c r="J75" s="52" t="n">
        <v>46388</v>
      </c>
      <c r="K75" s="51"/>
      <c r="L75" s="51"/>
      <c r="M75" s="53" t="s">
        <v>367</v>
      </c>
      <c r="N75" s="54" t="n">
        <v>46345</v>
      </c>
      <c r="O75" s="54" t="n">
        <v>46346</v>
      </c>
      <c r="P75" s="49" t="s">
        <v>107</v>
      </c>
      <c r="Q75" s="51" t="n">
        <v>-42</v>
      </c>
      <c r="R75" s="49" t="s">
        <v>368</v>
      </c>
      <c r="S75" s="51" t="n">
        <v>2</v>
      </c>
      <c r="T75" s="51" t="s">
        <v>109</v>
      </c>
      <c r="U75" s="51"/>
      <c r="V75" s="55" t="n">
        <v>0</v>
      </c>
      <c r="W75" s="49" t="s">
        <v>84</v>
      </c>
      <c r="X75" s="51"/>
      <c r="Y75" s="51" t="s">
        <v>310</v>
      </c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</row>
    <row r="76" customFormat="false" ht="15" hidden="false" customHeight="true" outlineLevel="0" collapsed="false">
      <c r="A76" s="36" t="s">
        <v>369</v>
      </c>
      <c r="B76" s="38" t="s">
        <v>370</v>
      </c>
      <c r="C76" s="38" t="s">
        <v>306</v>
      </c>
      <c r="D76" s="38" t="s">
        <v>307</v>
      </c>
      <c r="E76" s="39" t="n">
        <v>20</v>
      </c>
      <c r="F76" s="38" t="s">
        <v>371</v>
      </c>
      <c r="G76" s="36"/>
      <c r="H76" s="36" t="n">
        <v>11</v>
      </c>
      <c r="I76" s="40" t="n">
        <v>46379</v>
      </c>
      <c r="J76" s="40" t="n">
        <v>46388</v>
      </c>
      <c r="K76" s="41"/>
      <c r="L76" s="41"/>
      <c r="M76" s="42"/>
      <c r="N76" s="43" t="n">
        <v>46337</v>
      </c>
      <c r="O76" s="44" t="n">
        <v>46347</v>
      </c>
      <c r="P76" s="45" t="s">
        <v>107</v>
      </c>
      <c r="Q76" s="36" t="n">
        <v>-41</v>
      </c>
      <c r="R76" s="38"/>
      <c r="S76" s="38" t="n">
        <v>1</v>
      </c>
      <c r="T76" s="38" t="s">
        <v>109</v>
      </c>
      <c r="U76" s="56" t="n">
        <v>46337.0076</v>
      </c>
      <c r="V76" s="46" t="n">
        <v>0</v>
      </c>
      <c r="W76" s="38" t="s">
        <v>84</v>
      </c>
      <c r="X76" s="38" t="s">
        <v>372</v>
      </c>
      <c r="Y76" s="37" t="s">
        <v>310</v>
      </c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</row>
    <row r="77" customFormat="false" ht="15" hidden="true" customHeight="true" outlineLevel="1" collapsed="false">
      <c r="A77" s="48" t="s">
        <v>373</v>
      </c>
      <c r="B77" s="49" t="s">
        <v>374</v>
      </c>
      <c r="C77" s="49" t="s">
        <v>375</v>
      </c>
      <c r="D77" s="49" t="s">
        <v>90</v>
      </c>
      <c r="E77" s="50" t="n">
        <v>2</v>
      </c>
      <c r="F77" s="51"/>
      <c r="G77" s="51"/>
      <c r="H77" s="51"/>
      <c r="I77" s="52" t="n">
        <v>46379</v>
      </c>
      <c r="J77" s="52" t="n">
        <v>46382</v>
      </c>
      <c r="K77" s="51"/>
      <c r="L77" s="51"/>
      <c r="M77" s="53" t="s">
        <v>376</v>
      </c>
      <c r="N77" s="54" t="n">
        <v>46337</v>
      </c>
      <c r="O77" s="54" t="n">
        <v>46340</v>
      </c>
      <c r="P77" s="49" t="s">
        <v>107</v>
      </c>
      <c r="Q77" s="51" t="n">
        <v>-42</v>
      </c>
      <c r="R77" s="51" t="s">
        <v>377</v>
      </c>
      <c r="S77" s="51" t="n">
        <v>2</v>
      </c>
      <c r="T77" s="51" t="s">
        <v>109</v>
      </c>
      <c r="U77" s="51"/>
      <c r="V77" s="55" t="n">
        <v>0</v>
      </c>
      <c r="W77" s="49" t="s">
        <v>84</v>
      </c>
      <c r="X77" s="51"/>
      <c r="Y77" s="51" t="s">
        <v>310</v>
      </c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7"/>
      <c r="BU77" s="47"/>
      <c r="BV77" s="47"/>
    </row>
    <row r="78" customFormat="false" ht="15" hidden="true" customHeight="true" outlineLevel="1" collapsed="false">
      <c r="A78" s="48" t="s">
        <v>378</v>
      </c>
      <c r="B78" s="49" t="s">
        <v>379</v>
      </c>
      <c r="C78" s="49" t="s">
        <v>380</v>
      </c>
      <c r="D78" s="49" t="s">
        <v>90</v>
      </c>
      <c r="E78" s="50" t="n">
        <v>12</v>
      </c>
      <c r="F78" s="51"/>
      <c r="G78" s="51"/>
      <c r="H78" s="51"/>
      <c r="I78" s="52" t="n">
        <v>46380</v>
      </c>
      <c r="J78" s="52" t="n">
        <v>46387</v>
      </c>
      <c r="K78" s="51"/>
      <c r="L78" s="51"/>
      <c r="M78" s="53" t="s">
        <v>381</v>
      </c>
      <c r="N78" s="54" t="n">
        <v>46338</v>
      </c>
      <c r="O78" s="54" t="n">
        <v>46346</v>
      </c>
      <c r="P78" s="49" t="s">
        <v>107</v>
      </c>
      <c r="Q78" s="51" t="n">
        <v>-41</v>
      </c>
      <c r="R78" s="51"/>
      <c r="S78" s="51" t="n">
        <v>2</v>
      </c>
      <c r="T78" s="51" t="s">
        <v>109</v>
      </c>
      <c r="U78" s="51"/>
      <c r="V78" s="55" t="n">
        <v>0</v>
      </c>
      <c r="W78" s="49" t="s">
        <v>84</v>
      </c>
      <c r="X78" s="51"/>
      <c r="Y78" s="51" t="s">
        <v>310</v>
      </c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7"/>
      <c r="BU78" s="47"/>
      <c r="BV78" s="47"/>
    </row>
    <row r="79" customFormat="false" ht="15" hidden="true" customHeight="true" outlineLevel="1" collapsed="false">
      <c r="A79" s="48" t="s">
        <v>382</v>
      </c>
      <c r="B79" s="51" t="s">
        <v>383</v>
      </c>
      <c r="C79" s="49" t="s">
        <v>384</v>
      </c>
      <c r="D79" s="49" t="s">
        <v>90</v>
      </c>
      <c r="E79" s="50" t="n">
        <v>4</v>
      </c>
      <c r="F79" s="51"/>
      <c r="G79" s="51"/>
      <c r="H79" s="51"/>
      <c r="I79" s="52" t="n">
        <v>46383</v>
      </c>
      <c r="J79" s="52" t="n">
        <v>46388</v>
      </c>
      <c r="K79" s="51"/>
      <c r="L79" s="51"/>
      <c r="M79" s="53" t="s">
        <v>385</v>
      </c>
      <c r="N79" s="54" t="n">
        <v>46341</v>
      </c>
      <c r="O79" s="54" t="n">
        <v>46347</v>
      </c>
      <c r="P79" s="49" t="s">
        <v>107</v>
      </c>
      <c r="Q79" s="51" t="n">
        <v>-41</v>
      </c>
      <c r="R79" s="51" t="s">
        <v>386</v>
      </c>
      <c r="S79" s="51" t="n">
        <v>2</v>
      </c>
      <c r="T79" s="51" t="s">
        <v>109</v>
      </c>
      <c r="U79" s="51"/>
      <c r="V79" s="55" t="n">
        <v>0</v>
      </c>
      <c r="W79" s="49" t="s">
        <v>84</v>
      </c>
      <c r="X79" s="51"/>
      <c r="Y79" s="51" t="s">
        <v>310</v>
      </c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</row>
    <row r="80" customFormat="false" ht="15" hidden="true" customHeight="true" outlineLevel="1" collapsed="false">
      <c r="A80" s="48" t="s">
        <v>387</v>
      </c>
      <c r="B80" s="51" t="s">
        <v>388</v>
      </c>
      <c r="C80" s="49" t="s">
        <v>389</v>
      </c>
      <c r="D80" s="49" t="s">
        <v>90</v>
      </c>
      <c r="E80" s="50" t="n">
        <v>1</v>
      </c>
      <c r="F80" s="51"/>
      <c r="G80" s="51"/>
      <c r="H80" s="51"/>
      <c r="I80" s="52" t="n">
        <v>46386</v>
      </c>
      <c r="J80" s="52" t="n">
        <v>46388</v>
      </c>
      <c r="K80" s="51"/>
      <c r="L80" s="51"/>
      <c r="M80" s="53" t="s">
        <v>390</v>
      </c>
      <c r="N80" s="54" t="n">
        <v>46345</v>
      </c>
      <c r="O80" s="54" t="n">
        <v>46347</v>
      </c>
      <c r="P80" s="49" t="s">
        <v>107</v>
      </c>
      <c r="Q80" s="51" t="n">
        <v>-41</v>
      </c>
      <c r="R80" s="49" t="s">
        <v>391</v>
      </c>
      <c r="S80" s="51" t="n">
        <v>2</v>
      </c>
      <c r="T80" s="51" t="s">
        <v>109</v>
      </c>
      <c r="U80" s="51"/>
      <c r="V80" s="55" t="n">
        <v>0</v>
      </c>
      <c r="W80" s="49" t="s">
        <v>84</v>
      </c>
      <c r="X80" s="51"/>
      <c r="Y80" s="51" t="s">
        <v>310</v>
      </c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</row>
    <row r="81" customFormat="false" ht="15" hidden="true" customHeight="true" outlineLevel="1" collapsed="false">
      <c r="A81" s="48" t="s">
        <v>392</v>
      </c>
      <c r="B81" s="51" t="s">
        <v>393</v>
      </c>
      <c r="C81" s="49" t="s">
        <v>394</v>
      </c>
      <c r="D81" s="49" t="s">
        <v>90</v>
      </c>
      <c r="E81" s="50" t="n">
        <v>1</v>
      </c>
      <c r="F81" s="51"/>
      <c r="G81" s="51"/>
      <c r="H81" s="51"/>
      <c r="I81" s="52" t="n">
        <v>46388</v>
      </c>
      <c r="J81" s="52" t="n">
        <v>46388</v>
      </c>
      <c r="K81" s="51"/>
      <c r="L81" s="51"/>
      <c r="M81" s="53" t="s">
        <v>395</v>
      </c>
      <c r="N81" s="54" t="n">
        <v>46347</v>
      </c>
      <c r="O81" s="54" t="n">
        <v>46347</v>
      </c>
      <c r="P81" s="49" t="s">
        <v>107</v>
      </c>
      <c r="Q81" s="51" t="n">
        <v>-41</v>
      </c>
      <c r="R81" s="49" t="s">
        <v>97</v>
      </c>
      <c r="S81" s="51" t="n">
        <v>2</v>
      </c>
      <c r="T81" s="51" t="s">
        <v>109</v>
      </c>
      <c r="U81" s="51"/>
      <c r="V81" s="55" t="n">
        <v>0</v>
      </c>
      <c r="W81" s="49" t="s">
        <v>84</v>
      </c>
      <c r="X81" s="51"/>
      <c r="Y81" s="51" t="s">
        <v>310</v>
      </c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7"/>
      <c r="BU81" s="47"/>
      <c r="BV81" s="47"/>
    </row>
    <row r="82" customFormat="false" ht="15" hidden="false" customHeight="true" outlineLevel="0" collapsed="false">
      <c r="A82" s="36" t="s">
        <v>396</v>
      </c>
      <c r="B82" s="38" t="s">
        <v>397</v>
      </c>
      <c r="C82" s="38" t="s">
        <v>398</v>
      </c>
      <c r="D82" s="38" t="s">
        <v>307</v>
      </c>
      <c r="E82" s="39" t="n">
        <v>2.5</v>
      </c>
      <c r="F82" s="38" t="s">
        <v>371</v>
      </c>
      <c r="G82" s="36"/>
      <c r="H82" s="36" t="n">
        <v>3</v>
      </c>
      <c r="I82" s="40" t="n">
        <v>46382</v>
      </c>
      <c r="J82" s="40" t="n">
        <v>46385</v>
      </c>
      <c r="K82" s="41"/>
      <c r="L82" s="41"/>
      <c r="M82" s="42"/>
      <c r="N82" s="43" t="n">
        <v>46345</v>
      </c>
      <c r="O82" s="44" t="n">
        <v>46347</v>
      </c>
      <c r="P82" s="45" t="s">
        <v>107</v>
      </c>
      <c r="Q82" s="36" t="n">
        <v>-38</v>
      </c>
      <c r="R82" s="38"/>
      <c r="S82" s="38" t="n">
        <v>1</v>
      </c>
      <c r="T82" s="38" t="s">
        <v>109</v>
      </c>
      <c r="U82" s="56" t="n">
        <v>46345.0082</v>
      </c>
      <c r="V82" s="46" t="n">
        <v>0</v>
      </c>
      <c r="W82" s="38" t="s">
        <v>84</v>
      </c>
      <c r="X82" s="38" t="s">
        <v>399</v>
      </c>
      <c r="Y82" s="37" t="s">
        <v>310</v>
      </c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7"/>
      <c r="BU82" s="47"/>
      <c r="BV82" s="47"/>
    </row>
    <row r="83" customFormat="false" ht="15" hidden="true" customHeight="true" outlineLevel="1" collapsed="false">
      <c r="A83" s="48" t="s">
        <v>400</v>
      </c>
      <c r="B83" s="49" t="s">
        <v>401</v>
      </c>
      <c r="C83" s="49" t="s">
        <v>402</v>
      </c>
      <c r="D83" s="49" t="s">
        <v>90</v>
      </c>
      <c r="E83" s="50" t="n">
        <v>1.5</v>
      </c>
      <c r="F83" s="51"/>
      <c r="G83" s="51"/>
      <c r="H83" s="51"/>
      <c r="I83" s="52" t="n">
        <v>46382</v>
      </c>
      <c r="J83" s="52" t="n">
        <v>46384</v>
      </c>
      <c r="K83" s="51"/>
      <c r="L83" s="51"/>
      <c r="M83" s="53" t="s">
        <v>403</v>
      </c>
      <c r="N83" s="54" t="n">
        <v>46345</v>
      </c>
      <c r="O83" s="54" t="n">
        <v>46346</v>
      </c>
      <c r="P83" s="49" t="s">
        <v>107</v>
      </c>
      <c r="Q83" s="51" t="n">
        <v>-38</v>
      </c>
      <c r="R83" s="49" t="s">
        <v>404</v>
      </c>
      <c r="S83" s="51" t="n">
        <v>2</v>
      </c>
      <c r="T83" s="51" t="s">
        <v>109</v>
      </c>
      <c r="U83" s="51"/>
      <c r="V83" s="55" t="n">
        <v>0</v>
      </c>
      <c r="W83" s="49" t="s">
        <v>84</v>
      </c>
      <c r="X83" s="51"/>
      <c r="Y83" s="51" t="s">
        <v>310</v>
      </c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7"/>
      <c r="BU83" s="47"/>
      <c r="BV83" s="47"/>
    </row>
    <row r="84" customFormat="false" ht="15" hidden="true" customHeight="true" outlineLevel="1" collapsed="false">
      <c r="A84" s="48" t="s">
        <v>405</v>
      </c>
      <c r="B84" s="49" t="s">
        <v>406</v>
      </c>
      <c r="C84" s="49" t="s">
        <v>407</v>
      </c>
      <c r="D84" s="49" t="s">
        <v>90</v>
      </c>
      <c r="E84" s="50" t="n">
        <v>1</v>
      </c>
      <c r="F84" s="51"/>
      <c r="G84" s="51"/>
      <c r="H84" s="51"/>
      <c r="I84" s="52" t="n">
        <v>46383</v>
      </c>
      <c r="J84" s="52" t="n">
        <v>46385</v>
      </c>
      <c r="K84" s="51"/>
      <c r="L84" s="51"/>
      <c r="M84" s="53" t="s">
        <v>408</v>
      </c>
      <c r="N84" s="54" t="n">
        <v>46346</v>
      </c>
      <c r="O84" s="54" t="n">
        <v>46347</v>
      </c>
      <c r="P84" s="49" t="s">
        <v>107</v>
      </c>
      <c r="Q84" s="51" t="n">
        <v>-38</v>
      </c>
      <c r="R84" s="49" t="s">
        <v>404</v>
      </c>
      <c r="S84" s="51" t="n">
        <v>2</v>
      </c>
      <c r="T84" s="51" t="s">
        <v>109</v>
      </c>
      <c r="U84" s="51"/>
      <c r="V84" s="55" t="n">
        <v>0</v>
      </c>
      <c r="W84" s="49" t="s">
        <v>84</v>
      </c>
      <c r="X84" s="51"/>
      <c r="Y84" s="51" t="s">
        <v>310</v>
      </c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7"/>
      <c r="BU84" s="47"/>
      <c r="BV84" s="47"/>
    </row>
    <row r="85" customFormat="false" ht="15" hidden="false" customHeight="true" outlineLevel="0" collapsed="false">
      <c r="A85" s="36" t="s">
        <v>409</v>
      </c>
      <c r="B85" s="38" t="s">
        <v>410</v>
      </c>
      <c r="C85" s="37" t="s">
        <v>411</v>
      </c>
      <c r="D85" s="38" t="s">
        <v>307</v>
      </c>
      <c r="E85" s="39" t="n">
        <v>15</v>
      </c>
      <c r="F85" s="38" t="s">
        <v>343</v>
      </c>
      <c r="G85" s="36"/>
      <c r="H85" s="36" t="n">
        <v>4</v>
      </c>
      <c r="I85" s="40" t="n">
        <v>46378</v>
      </c>
      <c r="J85" s="40" t="n">
        <v>46386</v>
      </c>
      <c r="K85" s="41"/>
      <c r="L85" s="41"/>
      <c r="M85" s="42"/>
      <c r="N85" s="43" t="n">
        <v>46343</v>
      </c>
      <c r="O85" s="44" t="n">
        <v>46346</v>
      </c>
      <c r="P85" s="45" t="s">
        <v>107</v>
      </c>
      <c r="Q85" s="36" t="n">
        <v>-40</v>
      </c>
      <c r="R85" s="38"/>
      <c r="S85" s="38" t="n">
        <v>1</v>
      </c>
      <c r="T85" s="38" t="s">
        <v>109</v>
      </c>
      <c r="U85" s="56" t="n">
        <v>46343.0085</v>
      </c>
      <c r="V85" s="46" t="n">
        <v>0</v>
      </c>
      <c r="W85" s="38" t="s">
        <v>84</v>
      </c>
      <c r="X85" s="38" t="s">
        <v>412</v>
      </c>
      <c r="Y85" s="37" t="s">
        <v>310</v>
      </c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7"/>
      <c r="BU85" s="47"/>
      <c r="BV85" s="47"/>
    </row>
    <row r="86" customFormat="false" ht="15" hidden="true" customHeight="true" outlineLevel="1" collapsed="false">
      <c r="A86" s="48" t="s">
        <v>413</v>
      </c>
      <c r="B86" s="51" t="s">
        <v>414</v>
      </c>
      <c r="C86" s="51" t="s">
        <v>415</v>
      </c>
      <c r="D86" s="49" t="s">
        <v>90</v>
      </c>
      <c r="E86" s="50" t="n">
        <v>5</v>
      </c>
      <c r="F86" s="51"/>
      <c r="G86" s="51"/>
      <c r="H86" s="51"/>
      <c r="I86" s="52" t="n">
        <v>46378</v>
      </c>
      <c r="J86" s="52" t="n">
        <v>46382</v>
      </c>
      <c r="K86" s="51"/>
      <c r="L86" s="51"/>
      <c r="M86" s="53" t="s">
        <v>416</v>
      </c>
      <c r="N86" s="54" t="n">
        <v>46343</v>
      </c>
      <c r="O86" s="54" t="n">
        <v>46345</v>
      </c>
      <c r="P86" s="49" t="s">
        <v>107</v>
      </c>
      <c r="Q86" s="51" t="n">
        <v>-37</v>
      </c>
      <c r="R86" s="60" t="s">
        <v>417</v>
      </c>
      <c r="S86" s="51" t="n">
        <v>2</v>
      </c>
      <c r="T86" s="51" t="s">
        <v>109</v>
      </c>
      <c r="U86" s="51"/>
      <c r="V86" s="55" t="n">
        <v>0</v>
      </c>
      <c r="W86" s="49" t="s">
        <v>84</v>
      </c>
      <c r="X86" s="51"/>
      <c r="Y86" s="51" t="s">
        <v>310</v>
      </c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  <c r="BC86" s="47"/>
      <c r="BD86" s="47"/>
      <c r="BE86" s="47"/>
      <c r="BF86" s="47"/>
      <c r="BG86" s="47"/>
      <c r="BH86" s="47"/>
      <c r="BI86" s="47"/>
      <c r="BJ86" s="47"/>
      <c r="BK86" s="47"/>
      <c r="BL86" s="47"/>
      <c r="BM86" s="47"/>
      <c r="BN86" s="47"/>
      <c r="BO86" s="47"/>
      <c r="BP86" s="47"/>
      <c r="BQ86" s="47"/>
      <c r="BR86" s="47"/>
      <c r="BS86" s="47"/>
      <c r="BT86" s="47"/>
      <c r="BU86" s="47"/>
      <c r="BV86" s="47"/>
    </row>
    <row r="87" customFormat="false" ht="15" hidden="true" customHeight="true" outlineLevel="1" collapsed="false">
      <c r="A87" s="48" t="s">
        <v>418</v>
      </c>
      <c r="B87" s="51" t="s">
        <v>419</v>
      </c>
      <c r="C87" s="51" t="s">
        <v>420</v>
      </c>
      <c r="D87" s="49" t="s">
        <v>90</v>
      </c>
      <c r="E87" s="50" t="n">
        <v>6.5</v>
      </c>
      <c r="F87" s="51"/>
      <c r="G87" s="51"/>
      <c r="H87" s="51"/>
      <c r="I87" s="52" t="n">
        <v>46381</v>
      </c>
      <c r="J87" s="52" t="n">
        <v>46385</v>
      </c>
      <c r="K87" s="51"/>
      <c r="L87" s="51"/>
      <c r="M87" s="53" t="s">
        <v>421</v>
      </c>
      <c r="N87" s="54" t="n">
        <v>46344</v>
      </c>
      <c r="O87" s="54" t="n">
        <v>46346</v>
      </c>
      <c r="P87" s="49" t="s">
        <v>107</v>
      </c>
      <c r="Q87" s="51" t="n">
        <v>-39</v>
      </c>
      <c r="R87" s="49" t="s">
        <v>422</v>
      </c>
      <c r="S87" s="51" t="n">
        <v>2</v>
      </c>
      <c r="T87" s="51" t="s">
        <v>109</v>
      </c>
      <c r="U87" s="51"/>
      <c r="V87" s="55" t="n">
        <v>0</v>
      </c>
      <c r="W87" s="49" t="s">
        <v>84</v>
      </c>
      <c r="X87" s="51"/>
      <c r="Y87" s="51" t="s">
        <v>310</v>
      </c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7"/>
      <c r="AX87" s="47"/>
      <c r="AY87" s="47"/>
      <c r="AZ87" s="47"/>
      <c r="BA87" s="47"/>
      <c r="BB87" s="47"/>
      <c r="BC87" s="47"/>
      <c r="BD87" s="47"/>
      <c r="BE87" s="47"/>
      <c r="BF87" s="47"/>
      <c r="BG87" s="47"/>
      <c r="BH87" s="47"/>
      <c r="BI87" s="47"/>
      <c r="BJ87" s="47"/>
      <c r="BK87" s="47"/>
      <c r="BL87" s="47"/>
      <c r="BM87" s="47"/>
      <c r="BN87" s="47"/>
      <c r="BO87" s="47"/>
      <c r="BP87" s="47"/>
      <c r="BQ87" s="47"/>
      <c r="BR87" s="47"/>
      <c r="BS87" s="47"/>
      <c r="BT87" s="47"/>
      <c r="BU87" s="47"/>
      <c r="BV87" s="47"/>
    </row>
    <row r="88" customFormat="false" ht="15" hidden="true" customHeight="true" outlineLevel="1" collapsed="false">
      <c r="A88" s="48" t="s">
        <v>423</v>
      </c>
      <c r="B88" s="49" t="s">
        <v>424</v>
      </c>
      <c r="C88" s="49" t="s">
        <v>425</v>
      </c>
      <c r="D88" s="49" t="s">
        <v>90</v>
      </c>
      <c r="E88" s="50" t="n">
        <v>2.5</v>
      </c>
      <c r="F88" s="51"/>
      <c r="G88" s="51"/>
      <c r="H88" s="51"/>
      <c r="I88" s="52" t="n">
        <v>46383</v>
      </c>
      <c r="J88" s="52" t="n">
        <v>46386</v>
      </c>
      <c r="K88" s="51"/>
      <c r="L88" s="51"/>
      <c r="M88" s="53" t="s">
        <v>426</v>
      </c>
      <c r="N88" s="54" t="n">
        <v>46345</v>
      </c>
      <c r="O88" s="54" t="n">
        <v>46346</v>
      </c>
      <c r="P88" s="49" t="s">
        <v>107</v>
      </c>
      <c r="Q88" s="51" t="n">
        <v>-40</v>
      </c>
      <c r="R88" s="49" t="s">
        <v>427</v>
      </c>
      <c r="S88" s="51" t="n">
        <v>2</v>
      </c>
      <c r="T88" s="51" t="s">
        <v>109</v>
      </c>
      <c r="U88" s="51"/>
      <c r="V88" s="55" t="n">
        <v>0</v>
      </c>
      <c r="W88" s="49" t="s">
        <v>84</v>
      </c>
      <c r="X88" s="51"/>
      <c r="Y88" s="51" t="s">
        <v>310</v>
      </c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  <c r="BC88" s="47"/>
      <c r="BD88" s="47"/>
      <c r="BE88" s="47"/>
      <c r="BF88" s="47"/>
      <c r="BG88" s="47"/>
      <c r="BH88" s="47"/>
      <c r="BI88" s="47"/>
      <c r="BJ88" s="47"/>
      <c r="BK88" s="47"/>
      <c r="BL88" s="47"/>
      <c r="BM88" s="47"/>
      <c r="BN88" s="47"/>
      <c r="BO88" s="47"/>
      <c r="BP88" s="47"/>
      <c r="BQ88" s="47"/>
      <c r="BR88" s="47"/>
      <c r="BS88" s="47"/>
      <c r="BT88" s="47"/>
      <c r="BU88" s="47"/>
      <c r="BV88" s="47"/>
    </row>
    <row r="89" customFormat="false" ht="15" hidden="true" customHeight="true" outlineLevel="1" collapsed="false">
      <c r="A89" s="48" t="s">
        <v>428</v>
      </c>
      <c r="B89" s="51" t="s">
        <v>429</v>
      </c>
      <c r="C89" s="49" t="s">
        <v>430</v>
      </c>
      <c r="D89" s="49" t="s">
        <v>90</v>
      </c>
      <c r="E89" s="50" t="n">
        <v>1</v>
      </c>
      <c r="F89" s="51"/>
      <c r="G89" s="51"/>
      <c r="H89" s="51"/>
      <c r="I89" s="52" t="n">
        <v>46385</v>
      </c>
      <c r="J89" s="52" t="n">
        <v>46386</v>
      </c>
      <c r="K89" s="51"/>
      <c r="L89" s="51"/>
      <c r="M89" s="53" t="s">
        <v>431</v>
      </c>
      <c r="N89" s="54" t="n">
        <v>46346</v>
      </c>
      <c r="O89" s="54" t="n">
        <v>46346</v>
      </c>
      <c r="P89" s="49" t="s">
        <v>107</v>
      </c>
      <c r="Q89" s="51" t="n">
        <v>-40</v>
      </c>
      <c r="R89" s="49" t="s">
        <v>432</v>
      </c>
      <c r="S89" s="51" t="n">
        <v>2</v>
      </c>
      <c r="T89" s="51" t="s">
        <v>109</v>
      </c>
      <c r="U89" s="51"/>
      <c r="V89" s="55" t="n">
        <v>0</v>
      </c>
      <c r="W89" s="49" t="s">
        <v>84</v>
      </c>
      <c r="X89" s="51"/>
      <c r="Y89" s="51" t="s">
        <v>310</v>
      </c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47"/>
      <c r="BC89" s="47"/>
      <c r="BD89" s="47"/>
      <c r="BE89" s="47"/>
      <c r="BF89" s="47"/>
      <c r="BG89" s="47"/>
      <c r="BH89" s="47"/>
      <c r="BI89" s="47"/>
      <c r="BJ89" s="47"/>
      <c r="BK89" s="47"/>
      <c r="BL89" s="47"/>
      <c r="BM89" s="47"/>
      <c r="BN89" s="47"/>
      <c r="BO89" s="47"/>
      <c r="BP89" s="47"/>
      <c r="BQ89" s="47"/>
      <c r="BR89" s="47"/>
      <c r="BS89" s="47"/>
      <c r="BT89" s="47"/>
      <c r="BU89" s="47"/>
      <c r="BV89" s="47"/>
    </row>
    <row r="90" customFormat="false" ht="15" hidden="false" customHeight="true" outlineLevel="0" collapsed="false">
      <c r="A90" s="36" t="s">
        <v>433</v>
      </c>
      <c r="B90" s="38" t="s">
        <v>434</v>
      </c>
      <c r="C90" s="38" t="s">
        <v>435</v>
      </c>
      <c r="D90" s="38" t="s">
        <v>307</v>
      </c>
      <c r="E90" s="39" t="n">
        <v>10</v>
      </c>
      <c r="F90" s="38" t="s">
        <v>371</v>
      </c>
      <c r="G90" s="36"/>
      <c r="H90" s="36" t="n">
        <v>4</v>
      </c>
      <c r="I90" s="40" t="n">
        <v>46378</v>
      </c>
      <c r="J90" s="40" t="n">
        <v>46387</v>
      </c>
      <c r="K90" s="41"/>
      <c r="L90" s="41"/>
      <c r="M90" s="42"/>
      <c r="N90" s="43" t="n">
        <v>46344</v>
      </c>
      <c r="O90" s="44" t="n">
        <v>46347</v>
      </c>
      <c r="P90" s="45" t="s">
        <v>107</v>
      </c>
      <c r="Q90" s="36" t="n">
        <v>-40</v>
      </c>
      <c r="R90" s="38"/>
      <c r="S90" s="38" t="n">
        <v>1</v>
      </c>
      <c r="T90" s="38" t="s">
        <v>109</v>
      </c>
      <c r="U90" s="56" t="n">
        <v>46344.009</v>
      </c>
      <c r="V90" s="46" t="n">
        <v>0</v>
      </c>
      <c r="W90" s="38" t="s">
        <v>84</v>
      </c>
      <c r="X90" s="38" t="s">
        <v>436</v>
      </c>
      <c r="Y90" s="38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  <c r="BD90" s="47"/>
      <c r="BE90" s="47"/>
      <c r="BF90" s="47"/>
      <c r="BG90" s="47"/>
      <c r="BH90" s="47"/>
      <c r="BI90" s="47"/>
      <c r="BJ90" s="47"/>
      <c r="BK90" s="47"/>
      <c r="BL90" s="47"/>
      <c r="BM90" s="47"/>
      <c r="BN90" s="47"/>
      <c r="BO90" s="47"/>
      <c r="BP90" s="47"/>
      <c r="BQ90" s="47"/>
      <c r="BR90" s="47"/>
      <c r="BS90" s="47"/>
      <c r="BT90" s="47"/>
      <c r="BU90" s="47"/>
      <c r="BV90" s="47"/>
    </row>
    <row r="91" customFormat="false" ht="15" hidden="true" customHeight="true" outlineLevel="1" collapsed="false">
      <c r="A91" s="48" t="s">
        <v>437</v>
      </c>
      <c r="B91" s="49" t="s">
        <v>438</v>
      </c>
      <c r="C91" s="49" t="s">
        <v>439</v>
      </c>
      <c r="D91" s="49" t="s">
        <v>90</v>
      </c>
      <c r="E91" s="50" t="n">
        <v>4</v>
      </c>
      <c r="F91" s="51"/>
      <c r="G91" s="51"/>
      <c r="H91" s="51"/>
      <c r="I91" s="52" t="n">
        <v>46378</v>
      </c>
      <c r="J91" s="52" t="n">
        <v>46383</v>
      </c>
      <c r="K91" s="51"/>
      <c r="L91" s="51"/>
      <c r="M91" s="53" t="s">
        <v>440</v>
      </c>
      <c r="N91" s="54" t="n">
        <v>46344</v>
      </c>
      <c r="O91" s="54" t="n">
        <v>46346</v>
      </c>
      <c r="P91" s="49" t="s">
        <v>107</v>
      </c>
      <c r="Q91" s="51" t="n">
        <v>-37</v>
      </c>
      <c r="R91" s="49" t="s">
        <v>441</v>
      </c>
      <c r="S91" s="51" t="n">
        <v>2</v>
      </c>
      <c r="T91" s="51" t="s">
        <v>109</v>
      </c>
      <c r="U91" s="51"/>
      <c r="V91" s="55" t="n">
        <v>0</v>
      </c>
      <c r="W91" s="49" t="s">
        <v>84</v>
      </c>
      <c r="X91" s="51"/>
      <c r="Y91" s="51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7"/>
      <c r="BK91" s="47"/>
      <c r="BL91" s="47"/>
      <c r="BM91" s="47"/>
      <c r="BN91" s="47"/>
      <c r="BO91" s="47"/>
      <c r="BP91" s="47"/>
      <c r="BQ91" s="47"/>
      <c r="BR91" s="47"/>
      <c r="BS91" s="47"/>
      <c r="BT91" s="47"/>
      <c r="BU91" s="47"/>
      <c r="BV91" s="47"/>
    </row>
    <row r="92" customFormat="false" ht="15" hidden="true" customHeight="true" outlineLevel="1" collapsed="false">
      <c r="A92" s="48" t="s">
        <v>442</v>
      </c>
      <c r="B92" s="51" t="s">
        <v>443</v>
      </c>
      <c r="C92" s="51" t="s">
        <v>444</v>
      </c>
      <c r="D92" s="49" t="s">
        <v>90</v>
      </c>
      <c r="E92" s="50" t="n">
        <v>1.5</v>
      </c>
      <c r="F92" s="51"/>
      <c r="G92" s="51"/>
      <c r="H92" s="51"/>
      <c r="I92" s="52" t="n">
        <v>46383</v>
      </c>
      <c r="J92" s="52" t="n">
        <v>46387</v>
      </c>
      <c r="K92" s="51"/>
      <c r="L92" s="51"/>
      <c r="M92" s="53" t="s">
        <v>445</v>
      </c>
      <c r="N92" s="54" t="n">
        <v>46346</v>
      </c>
      <c r="O92" s="54" t="n">
        <v>46347</v>
      </c>
      <c r="P92" s="49" t="s">
        <v>107</v>
      </c>
      <c r="Q92" s="51" t="n">
        <v>-40</v>
      </c>
      <c r="R92" s="51" t="s">
        <v>446</v>
      </c>
      <c r="S92" s="51" t="n">
        <v>2</v>
      </c>
      <c r="T92" s="51" t="s">
        <v>109</v>
      </c>
      <c r="U92" s="51"/>
      <c r="V92" s="55" t="n">
        <v>0</v>
      </c>
      <c r="W92" s="49" t="s">
        <v>84</v>
      </c>
      <c r="X92" s="51"/>
      <c r="Y92" s="51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  <c r="BE92" s="47"/>
      <c r="BF92" s="47"/>
      <c r="BG92" s="47"/>
      <c r="BH92" s="47"/>
      <c r="BI92" s="47"/>
      <c r="BJ92" s="47"/>
      <c r="BK92" s="47"/>
      <c r="BL92" s="47"/>
      <c r="BM92" s="47"/>
      <c r="BN92" s="47"/>
      <c r="BO92" s="47"/>
      <c r="BP92" s="47"/>
      <c r="BQ92" s="47"/>
      <c r="BR92" s="47"/>
      <c r="BS92" s="47"/>
      <c r="BT92" s="47"/>
      <c r="BU92" s="47"/>
      <c r="BV92" s="47"/>
    </row>
    <row r="93" customFormat="false" ht="15" hidden="true" customHeight="true" outlineLevel="1" collapsed="false">
      <c r="A93" s="48" t="s">
        <v>447</v>
      </c>
      <c r="B93" s="49" t="s">
        <v>448</v>
      </c>
      <c r="C93" s="49" t="s">
        <v>449</v>
      </c>
      <c r="D93" s="49" t="s">
        <v>90</v>
      </c>
      <c r="E93" s="50" t="n">
        <v>3</v>
      </c>
      <c r="F93" s="51"/>
      <c r="G93" s="51"/>
      <c r="H93" s="51"/>
      <c r="I93" s="52" t="n">
        <v>46378</v>
      </c>
      <c r="J93" s="52" t="n">
        <v>46382</v>
      </c>
      <c r="K93" s="51"/>
      <c r="L93" s="51"/>
      <c r="M93" s="53" t="s">
        <v>450</v>
      </c>
      <c r="N93" s="54" t="n">
        <v>46344</v>
      </c>
      <c r="O93" s="54" t="n">
        <v>46346</v>
      </c>
      <c r="P93" s="49" t="s">
        <v>107</v>
      </c>
      <c r="Q93" s="51" t="n">
        <v>-36</v>
      </c>
      <c r="R93" s="51" t="s">
        <v>451</v>
      </c>
      <c r="S93" s="51" t="n">
        <v>2</v>
      </c>
      <c r="T93" s="51" t="s">
        <v>109</v>
      </c>
      <c r="U93" s="51"/>
      <c r="V93" s="55" t="n">
        <v>0</v>
      </c>
      <c r="W93" s="49" t="s">
        <v>84</v>
      </c>
      <c r="X93" s="51"/>
      <c r="Y93" s="51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7"/>
      <c r="BE93" s="47"/>
      <c r="BF93" s="47"/>
      <c r="BG93" s="47"/>
      <c r="BH93" s="47"/>
      <c r="BI93" s="47"/>
      <c r="BJ93" s="47"/>
      <c r="BK93" s="47"/>
      <c r="BL93" s="47"/>
      <c r="BM93" s="47"/>
      <c r="BN93" s="47"/>
      <c r="BO93" s="47"/>
      <c r="BP93" s="47"/>
      <c r="BQ93" s="47"/>
      <c r="BR93" s="47"/>
      <c r="BS93" s="47"/>
      <c r="BT93" s="47"/>
      <c r="BU93" s="47"/>
      <c r="BV93" s="47"/>
    </row>
    <row r="94" customFormat="false" ht="15" hidden="true" customHeight="true" outlineLevel="1" collapsed="false">
      <c r="A94" s="48" t="s">
        <v>452</v>
      </c>
      <c r="B94" s="49" t="s">
        <v>453</v>
      </c>
      <c r="C94" s="49" t="s">
        <v>454</v>
      </c>
      <c r="D94" s="49" t="s">
        <v>90</v>
      </c>
      <c r="E94" s="50" t="n">
        <v>1</v>
      </c>
      <c r="F94" s="51"/>
      <c r="G94" s="51"/>
      <c r="H94" s="51"/>
      <c r="I94" s="52" t="n">
        <v>46382</v>
      </c>
      <c r="J94" s="52" t="n">
        <v>46387</v>
      </c>
      <c r="K94" s="51"/>
      <c r="L94" s="51"/>
      <c r="M94" s="53" t="s">
        <v>455</v>
      </c>
      <c r="N94" s="54" t="n">
        <v>46346</v>
      </c>
      <c r="O94" s="54" t="n">
        <v>46347</v>
      </c>
      <c r="P94" s="49" t="s">
        <v>107</v>
      </c>
      <c r="Q94" s="51" t="n">
        <v>-40</v>
      </c>
      <c r="R94" s="49" t="s">
        <v>456</v>
      </c>
      <c r="S94" s="51" t="n">
        <v>2</v>
      </c>
      <c r="T94" s="51" t="s">
        <v>109</v>
      </c>
      <c r="U94" s="51"/>
      <c r="V94" s="55" t="n">
        <v>0</v>
      </c>
      <c r="W94" s="49" t="s">
        <v>84</v>
      </c>
      <c r="X94" s="51"/>
      <c r="Y94" s="51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  <c r="BE94" s="47"/>
      <c r="BF94" s="47"/>
      <c r="BG94" s="47"/>
      <c r="BH94" s="47"/>
      <c r="BI94" s="47"/>
      <c r="BJ94" s="47"/>
      <c r="BK94" s="47"/>
      <c r="BL94" s="47"/>
      <c r="BM94" s="47"/>
      <c r="BN94" s="47"/>
      <c r="BO94" s="47"/>
      <c r="BP94" s="47"/>
      <c r="BQ94" s="47"/>
      <c r="BR94" s="47"/>
      <c r="BS94" s="47"/>
      <c r="BT94" s="47"/>
      <c r="BU94" s="47"/>
      <c r="BV94" s="47"/>
    </row>
    <row r="95" customFormat="false" ht="15" hidden="true" customHeight="true" outlineLevel="1" collapsed="false">
      <c r="A95" s="48" t="s">
        <v>457</v>
      </c>
      <c r="B95" s="51" t="s">
        <v>458</v>
      </c>
      <c r="C95" s="49" t="s">
        <v>459</v>
      </c>
      <c r="D95" s="49" t="s">
        <v>90</v>
      </c>
      <c r="E95" s="50" t="n">
        <v>0.5</v>
      </c>
      <c r="F95" s="51"/>
      <c r="G95" s="51"/>
      <c r="H95" s="51"/>
      <c r="I95" s="52" t="n">
        <v>46386</v>
      </c>
      <c r="J95" s="52" t="n">
        <v>46387</v>
      </c>
      <c r="K95" s="51"/>
      <c r="L95" s="51"/>
      <c r="M95" s="53" t="s">
        <v>460</v>
      </c>
      <c r="N95" s="54" t="n">
        <v>46347</v>
      </c>
      <c r="O95" s="54" t="n">
        <v>46347</v>
      </c>
      <c r="P95" s="49" t="s">
        <v>107</v>
      </c>
      <c r="Q95" s="51" t="n">
        <v>-40</v>
      </c>
      <c r="R95" s="49" t="s">
        <v>461</v>
      </c>
      <c r="S95" s="51" t="n">
        <v>2</v>
      </c>
      <c r="T95" s="51" t="s">
        <v>109</v>
      </c>
      <c r="U95" s="51"/>
      <c r="V95" s="55" t="n">
        <v>0</v>
      </c>
      <c r="W95" s="49" t="s">
        <v>84</v>
      </c>
      <c r="X95" s="51"/>
      <c r="Y95" s="51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B95" s="47"/>
      <c r="BC95" s="47"/>
      <c r="BD95" s="47"/>
      <c r="BE95" s="47"/>
      <c r="BF95" s="47"/>
      <c r="BG95" s="47"/>
      <c r="BH95" s="47"/>
      <c r="BI95" s="47"/>
      <c r="BJ95" s="47"/>
      <c r="BK95" s="47"/>
      <c r="BL95" s="47"/>
      <c r="BM95" s="47"/>
      <c r="BN95" s="47"/>
      <c r="BO95" s="47"/>
      <c r="BP95" s="47"/>
      <c r="BQ95" s="47"/>
      <c r="BR95" s="47"/>
      <c r="BS95" s="47"/>
      <c r="BT95" s="47"/>
      <c r="BU95" s="47"/>
      <c r="BV95" s="47"/>
    </row>
    <row r="96" customFormat="false" ht="15" hidden="false" customHeight="true" outlineLevel="0" collapsed="false">
      <c r="A96" s="36" t="s">
        <v>462</v>
      </c>
      <c r="B96" s="38" t="s">
        <v>463</v>
      </c>
      <c r="C96" s="38"/>
      <c r="D96" s="38" t="s">
        <v>307</v>
      </c>
      <c r="E96" s="39" t="n">
        <v>5</v>
      </c>
      <c r="F96" s="38" t="s">
        <v>371</v>
      </c>
      <c r="G96" s="36"/>
      <c r="H96" s="36" t="n">
        <v>3</v>
      </c>
      <c r="I96" s="40" t="n">
        <v>46381</v>
      </c>
      <c r="J96" s="40" t="n">
        <v>46387</v>
      </c>
      <c r="K96" s="41"/>
      <c r="L96" s="41"/>
      <c r="M96" s="42"/>
      <c r="N96" s="43" t="n">
        <v>46345</v>
      </c>
      <c r="O96" s="44" t="n">
        <v>46347</v>
      </c>
      <c r="P96" s="45" t="s">
        <v>107</v>
      </c>
      <c r="Q96" s="36" t="n">
        <v>-40</v>
      </c>
      <c r="R96" s="38"/>
      <c r="S96" s="38" t="n">
        <v>1</v>
      </c>
      <c r="T96" s="38" t="s">
        <v>109</v>
      </c>
      <c r="U96" s="56" t="n">
        <v>46345.0096</v>
      </c>
      <c r="V96" s="46" t="n">
        <v>0</v>
      </c>
      <c r="W96" s="38" t="s">
        <v>84</v>
      </c>
      <c r="X96" s="37" t="s">
        <v>464</v>
      </c>
      <c r="Y96" s="38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  <c r="BE96" s="47"/>
      <c r="BF96" s="47"/>
      <c r="BG96" s="47"/>
      <c r="BH96" s="47"/>
      <c r="BI96" s="47"/>
      <c r="BJ96" s="47"/>
      <c r="BK96" s="47"/>
      <c r="BL96" s="47"/>
      <c r="BM96" s="47"/>
      <c r="BN96" s="47"/>
      <c r="BO96" s="47"/>
      <c r="BP96" s="47"/>
      <c r="BQ96" s="47"/>
      <c r="BR96" s="47"/>
      <c r="BS96" s="47"/>
      <c r="BT96" s="47"/>
      <c r="BU96" s="47"/>
      <c r="BV96" s="47"/>
    </row>
    <row r="97" customFormat="false" ht="15" hidden="true" customHeight="true" outlineLevel="1" collapsed="false">
      <c r="A97" s="48" t="s">
        <v>465</v>
      </c>
      <c r="B97" s="49" t="s">
        <v>466</v>
      </c>
      <c r="C97" s="49" t="s">
        <v>467</v>
      </c>
      <c r="D97" s="49" t="s">
        <v>90</v>
      </c>
      <c r="E97" s="50" t="n">
        <v>3</v>
      </c>
      <c r="F97" s="51"/>
      <c r="G97" s="51"/>
      <c r="H97" s="51"/>
      <c r="I97" s="52" t="n">
        <v>46381</v>
      </c>
      <c r="J97" s="52" t="n">
        <v>46386</v>
      </c>
      <c r="K97" s="51"/>
      <c r="L97" s="51"/>
      <c r="M97" s="53" t="s">
        <v>468</v>
      </c>
      <c r="N97" s="54" t="n">
        <v>46345</v>
      </c>
      <c r="O97" s="54" t="n">
        <v>46347</v>
      </c>
      <c r="P97" s="49" t="s">
        <v>107</v>
      </c>
      <c r="Q97" s="51" t="n">
        <v>-39</v>
      </c>
      <c r="R97" s="51" t="s">
        <v>469</v>
      </c>
      <c r="S97" s="51" t="n">
        <v>2</v>
      </c>
      <c r="T97" s="51" t="s">
        <v>109</v>
      </c>
      <c r="U97" s="51"/>
      <c r="V97" s="55" t="n">
        <v>0</v>
      </c>
      <c r="W97" s="49" t="s">
        <v>84</v>
      </c>
      <c r="X97" s="51"/>
      <c r="Y97" s="51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47"/>
      <c r="AX97" s="47"/>
      <c r="AY97" s="47"/>
      <c r="AZ97" s="47"/>
      <c r="BA97" s="47"/>
      <c r="BB97" s="47"/>
      <c r="BC97" s="47"/>
      <c r="BD97" s="47"/>
      <c r="BE97" s="47"/>
      <c r="BF97" s="47"/>
      <c r="BG97" s="47"/>
      <c r="BH97" s="47"/>
      <c r="BI97" s="47"/>
      <c r="BJ97" s="47"/>
      <c r="BK97" s="47"/>
      <c r="BL97" s="47"/>
      <c r="BM97" s="47"/>
      <c r="BN97" s="47"/>
      <c r="BO97" s="47"/>
      <c r="BP97" s="47"/>
      <c r="BQ97" s="47"/>
      <c r="BR97" s="47"/>
      <c r="BS97" s="47"/>
      <c r="BT97" s="47"/>
      <c r="BU97" s="47"/>
      <c r="BV97" s="47"/>
    </row>
    <row r="98" customFormat="false" ht="15" hidden="true" customHeight="true" outlineLevel="1" collapsed="false">
      <c r="A98" s="48" t="s">
        <v>470</v>
      </c>
      <c r="B98" s="49" t="s">
        <v>471</v>
      </c>
      <c r="C98" s="49" t="s">
        <v>472</v>
      </c>
      <c r="D98" s="49" t="s">
        <v>90</v>
      </c>
      <c r="E98" s="50" t="n">
        <v>1.5</v>
      </c>
      <c r="F98" s="51"/>
      <c r="G98" s="51"/>
      <c r="H98" s="51"/>
      <c r="I98" s="52" t="n">
        <v>46383</v>
      </c>
      <c r="J98" s="52" t="n">
        <v>46387</v>
      </c>
      <c r="K98" s="51"/>
      <c r="L98" s="51"/>
      <c r="M98" s="53" t="s">
        <v>473</v>
      </c>
      <c r="N98" s="54" t="n">
        <v>46346</v>
      </c>
      <c r="O98" s="54" t="n">
        <v>46347</v>
      </c>
      <c r="P98" s="49" t="s">
        <v>107</v>
      </c>
      <c r="Q98" s="51" t="n">
        <v>-40</v>
      </c>
      <c r="R98" s="49" t="s">
        <v>474</v>
      </c>
      <c r="S98" s="51" t="n">
        <v>2</v>
      </c>
      <c r="T98" s="51" t="s">
        <v>109</v>
      </c>
      <c r="U98" s="51"/>
      <c r="V98" s="55" t="n">
        <v>0</v>
      </c>
      <c r="W98" s="49" t="s">
        <v>84</v>
      </c>
      <c r="X98" s="51"/>
      <c r="Y98" s="51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/>
      <c r="BP98" s="47"/>
      <c r="BQ98" s="47"/>
      <c r="BR98" s="47"/>
      <c r="BS98" s="47"/>
      <c r="BT98" s="47"/>
      <c r="BU98" s="47"/>
      <c r="BV98" s="47"/>
    </row>
    <row r="99" customFormat="false" ht="15" hidden="true" customHeight="true" outlineLevel="1" collapsed="false">
      <c r="A99" s="48" t="s">
        <v>475</v>
      </c>
      <c r="B99" s="51" t="s">
        <v>476</v>
      </c>
      <c r="C99" s="49" t="s">
        <v>477</v>
      </c>
      <c r="D99" s="49" t="s">
        <v>90</v>
      </c>
      <c r="E99" s="50" t="n">
        <v>0.5</v>
      </c>
      <c r="F99" s="51"/>
      <c r="G99" s="51"/>
      <c r="H99" s="51"/>
      <c r="I99" s="52" t="n">
        <v>46386</v>
      </c>
      <c r="J99" s="52" t="n">
        <v>46387</v>
      </c>
      <c r="K99" s="51"/>
      <c r="L99" s="51"/>
      <c r="M99" s="53" t="s">
        <v>478</v>
      </c>
      <c r="N99" s="54" t="n">
        <v>46347</v>
      </c>
      <c r="O99" s="54" t="n">
        <v>46347</v>
      </c>
      <c r="P99" s="49" t="s">
        <v>107</v>
      </c>
      <c r="Q99" s="51" t="n">
        <v>-40</v>
      </c>
      <c r="R99" s="49" t="s">
        <v>479</v>
      </c>
      <c r="S99" s="51" t="n">
        <v>2</v>
      </c>
      <c r="T99" s="51" t="s">
        <v>109</v>
      </c>
      <c r="U99" s="51"/>
      <c r="V99" s="55" t="n">
        <v>0</v>
      </c>
      <c r="W99" s="49" t="s">
        <v>84</v>
      </c>
      <c r="X99" s="51"/>
      <c r="Y99" s="51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7"/>
      <c r="AX99" s="47"/>
      <c r="AY99" s="47"/>
      <c r="AZ99" s="47"/>
      <c r="BA99" s="47"/>
      <c r="BB99" s="47"/>
      <c r="BC99" s="47"/>
      <c r="BD99" s="47"/>
      <c r="BE99" s="47"/>
      <c r="BF99" s="47"/>
      <c r="BG99" s="47"/>
      <c r="BH99" s="47"/>
      <c r="BI99" s="47"/>
      <c r="BJ99" s="47"/>
      <c r="BK99" s="47"/>
      <c r="BL99" s="47"/>
      <c r="BM99" s="47"/>
      <c r="BN99" s="47"/>
      <c r="BO99" s="47"/>
      <c r="BP99" s="47"/>
      <c r="BQ99" s="47"/>
      <c r="BR99" s="47"/>
      <c r="BS99" s="47"/>
      <c r="BT99" s="47"/>
      <c r="BU99" s="47"/>
      <c r="BV99" s="47"/>
    </row>
    <row r="100" customFormat="false" ht="15" hidden="false" customHeight="true" outlineLevel="0" collapsed="false">
      <c r="A100" s="36" t="s">
        <v>480</v>
      </c>
      <c r="B100" s="38" t="s">
        <v>481</v>
      </c>
      <c r="C100" s="37" t="s">
        <v>482</v>
      </c>
      <c r="D100" s="38" t="s">
        <v>307</v>
      </c>
      <c r="E100" s="39" t="n">
        <v>5</v>
      </c>
      <c r="F100" s="38" t="s">
        <v>483</v>
      </c>
      <c r="G100" s="36"/>
      <c r="H100" s="36" t="n">
        <v>3</v>
      </c>
      <c r="I100" s="40" t="n">
        <v>46383</v>
      </c>
      <c r="J100" s="40" t="n">
        <v>46388</v>
      </c>
      <c r="K100" s="41"/>
      <c r="L100" s="41"/>
      <c r="M100" s="42"/>
      <c r="N100" s="43" t="n">
        <v>46346</v>
      </c>
      <c r="O100" s="44" t="n">
        <v>46348</v>
      </c>
      <c r="P100" s="45" t="s">
        <v>107</v>
      </c>
      <c r="Q100" s="36" t="n">
        <v>-40</v>
      </c>
      <c r="R100" s="38"/>
      <c r="S100" s="38" t="n">
        <v>1</v>
      </c>
      <c r="T100" s="38" t="s">
        <v>109</v>
      </c>
      <c r="U100" s="56" t="n">
        <v>46346.01</v>
      </c>
      <c r="V100" s="46" t="n">
        <v>0</v>
      </c>
      <c r="W100" s="38" t="s">
        <v>84</v>
      </c>
      <c r="X100" s="38" t="s">
        <v>484</v>
      </c>
      <c r="Y100" s="38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  <c r="BM100" s="47"/>
      <c r="BN100" s="47"/>
      <c r="BO100" s="47"/>
      <c r="BP100" s="47"/>
      <c r="BQ100" s="47"/>
      <c r="BR100" s="47"/>
      <c r="BS100" s="47"/>
      <c r="BT100" s="47"/>
      <c r="BU100" s="47"/>
      <c r="BV100" s="47"/>
    </row>
    <row r="101" customFormat="false" ht="15" hidden="true" customHeight="true" outlineLevel="1" collapsed="false">
      <c r="A101" s="48" t="s">
        <v>485</v>
      </c>
      <c r="B101" s="49" t="s">
        <v>486</v>
      </c>
      <c r="C101" s="51"/>
      <c r="D101" s="49" t="s">
        <v>84</v>
      </c>
      <c r="E101" s="50" t="n">
        <v>0</v>
      </c>
      <c r="F101" s="51"/>
      <c r="G101" s="51"/>
      <c r="H101" s="51"/>
      <c r="I101" s="52" t="n">
        <v>46383</v>
      </c>
      <c r="J101" s="52" t="n">
        <v>46384</v>
      </c>
      <c r="K101" s="51"/>
      <c r="L101" s="51"/>
      <c r="M101" s="61"/>
      <c r="N101" s="54" t="n">
        <v>46346</v>
      </c>
      <c r="O101" s="54" t="n">
        <v>46346</v>
      </c>
      <c r="P101" s="49" t="s">
        <v>107</v>
      </c>
      <c r="Q101" s="51" t="n">
        <v>-38</v>
      </c>
      <c r="R101" s="49" t="s">
        <v>487</v>
      </c>
      <c r="S101" s="51" t="n">
        <v>2</v>
      </c>
      <c r="T101" s="51" t="s">
        <v>109</v>
      </c>
      <c r="U101" s="51"/>
      <c r="V101" s="55" t="n">
        <v>0</v>
      </c>
      <c r="W101" s="51" t="s">
        <v>78</v>
      </c>
      <c r="X101" s="51"/>
      <c r="Y101" s="51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  <c r="BE101" s="47"/>
      <c r="BF101" s="47"/>
      <c r="BG101" s="47"/>
      <c r="BH101" s="47"/>
      <c r="BI101" s="47"/>
      <c r="BJ101" s="47"/>
      <c r="BK101" s="47"/>
      <c r="BL101" s="47"/>
      <c r="BM101" s="47"/>
      <c r="BN101" s="47"/>
      <c r="BO101" s="47"/>
      <c r="BP101" s="47"/>
      <c r="BQ101" s="47"/>
      <c r="BR101" s="47"/>
      <c r="BS101" s="47"/>
      <c r="BT101" s="47"/>
      <c r="BU101" s="47"/>
      <c r="BV101" s="47"/>
    </row>
    <row r="102" customFormat="false" ht="15" hidden="true" customHeight="true" outlineLevel="1" collapsed="false">
      <c r="A102" s="48" t="s">
        <v>488</v>
      </c>
      <c r="B102" s="49" t="s">
        <v>489</v>
      </c>
      <c r="C102" s="49" t="s">
        <v>490</v>
      </c>
      <c r="D102" s="49" t="s">
        <v>90</v>
      </c>
      <c r="E102" s="50" t="n">
        <v>2</v>
      </c>
      <c r="F102" s="51"/>
      <c r="G102" s="51"/>
      <c r="H102" s="51"/>
      <c r="I102" s="52" t="n">
        <v>46384</v>
      </c>
      <c r="J102" s="52" t="n">
        <v>46387</v>
      </c>
      <c r="K102" s="51"/>
      <c r="L102" s="51"/>
      <c r="M102" s="53" t="s">
        <v>491</v>
      </c>
      <c r="N102" s="54" t="n">
        <v>46346</v>
      </c>
      <c r="O102" s="54" t="n">
        <v>46347</v>
      </c>
      <c r="P102" s="49" t="s">
        <v>107</v>
      </c>
      <c r="Q102" s="51" t="n">
        <v>-40</v>
      </c>
      <c r="R102" s="49" t="s">
        <v>492</v>
      </c>
      <c r="S102" s="51" t="n">
        <v>2</v>
      </c>
      <c r="T102" s="51" t="s">
        <v>109</v>
      </c>
      <c r="U102" s="51"/>
      <c r="V102" s="55" t="n">
        <v>0</v>
      </c>
      <c r="W102" s="49" t="s">
        <v>84</v>
      </c>
      <c r="X102" s="51"/>
      <c r="Y102" s="51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/>
      <c r="BP102" s="47"/>
      <c r="BQ102" s="47"/>
      <c r="BR102" s="47"/>
      <c r="BS102" s="47"/>
      <c r="BT102" s="47"/>
      <c r="BU102" s="47"/>
      <c r="BV102" s="47"/>
    </row>
    <row r="103" customFormat="false" ht="15" hidden="true" customHeight="true" outlineLevel="1" collapsed="false">
      <c r="A103" s="48" t="s">
        <v>493</v>
      </c>
      <c r="B103" s="51" t="s">
        <v>494</v>
      </c>
      <c r="C103" s="51" t="s">
        <v>495</v>
      </c>
      <c r="D103" s="49" t="s">
        <v>90</v>
      </c>
      <c r="E103" s="50" t="n">
        <v>0</v>
      </c>
      <c r="F103" s="51"/>
      <c r="G103" s="51"/>
      <c r="H103" s="51"/>
      <c r="I103" s="52"/>
      <c r="J103" s="52"/>
      <c r="K103" s="51"/>
      <c r="L103" s="51"/>
      <c r="M103" s="48"/>
      <c r="N103" s="54"/>
      <c r="O103" s="54"/>
      <c r="P103" s="49" t="s">
        <v>496</v>
      </c>
      <c r="Q103" s="51"/>
      <c r="R103" s="51"/>
      <c r="S103" s="51" t="n">
        <v>2</v>
      </c>
      <c r="T103" s="51" t="s">
        <v>497</v>
      </c>
      <c r="U103" s="51"/>
      <c r="V103" s="55" t="n">
        <v>0</v>
      </c>
      <c r="W103" s="49" t="s">
        <v>84</v>
      </c>
      <c r="X103" s="51"/>
      <c r="Y103" s="51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  <c r="BF103" s="47"/>
      <c r="BG103" s="47"/>
      <c r="BH103" s="47"/>
      <c r="BI103" s="47"/>
      <c r="BJ103" s="47"/>
      <c r="BK103" s="47"/>
      <c r="BL103" s="47"/>
      <c r="BM103" s="47"/>
      <c r="BN103" s="47"/>
      <c r="BO103" s="47"/>
      <c r="BP103" s="47"/>
      <c r="BQ103" s="47"/>
      <c r="BR103" s="47"/>
      <c r="BS103" s="47"/>
      <c r="BT103" s="47"/>
      <c r="BU103" s="47"/>
      <c r="BV103" s="47"/>
    </row>
    <row r="104" customFormat="false" ht="15" hidden="true" customHeight="true" outlineLevel="1" collapsed="false">
      <c r="A104" s="48" t="s">
        <v>498</v>
      </c>
      <c r="B104" s="49" t="s">
        <v>499</v>
      </c>
      <c r="C104" s="49" t="s">
        <v>500</v>
      </c>
      <c r="D104" s="49" t="s">
        <v>90</v>
      </c>
      <c r="E104" s="50" t="n">
        <v>1.25</v>
      </c>
      <c r="F104" s="51"/>
      <c r="G104" s="51"/>
      <c r="H104" s="51"/>
      <c r="I104" s="52" t="n">
        <v>46385</v>
      </c>
      <c r="J104" s="52" t="n">
        <v>46387</v>
      </c>
      <c r="K104" s="51"/>
      <c r="L104" s="51"/>
      <c r="M104" s="53" t="s">
        <v>501</v>
      </c>
      <c r="N104" s="54" t="n">
        <v>46347</v>
      </c>
      <c r="O104" s="54" t="n">
        <v>46348</v>
      </c>
      <c r="P104" s="49" t="s">
        <v>107</v>
      </c>
      <c r="Q104" s="51" t="n">
        <v>-39</v>
      </c>
      <c r="R104" s="49" t="s">
        <v>502</v>
      </c>
      <c r="S104" s="51" t="n">
        <v>2</v>
      </c>
      <c r="T104" s="51" t="s">
        <v>109</v>
      </c>
      <c r="U104" s="51"/>
      <c r="V104" s="55" t="n">
        <v>0</v>
      </c>
      <c r="W104" s="49" t="s">
        <v>84</v>
      </c>
      <c r="X104" s="51"/>
      <c r="Y104" s="51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  <c r="BE104" s="47"/>
      <c r="BF104" s="47"/>
      <c r="BG104" s="47"/>
      <c r="BH104" s="47"/>
      <c r="BI104" s="47"/>
      <c r="BJ104" s="47"/>
      <c r="BK104" s="47"/>
      <c r="BL104" s="47"/>
      <c r="BM104" s="47"/>
      <c r="BN104" s="47"/>
      <c r="BO104" s="47"/>
      <c r="BP104" s="47"/>
      <c r="BQ104" s="47"/>
      <c r="BR104" s="47"/>
      <c r="BS104" s="47"/>
      <c r="BT104" s="47"/>
      <c r="BU104" s="47"/>
      <c r="BV104" s="47"/>
    </row>
    <row r="105" customFormat="false" ht="15" hidden="true" customHeight="true" outlineLevel="1" collapsed="false">
      <c r="A105" s="48" t="s">
        <v>503</v>
      </c>
      <c r="B105" s="49" t="s">
        <v>504</v>
      </c>
      <c r="C105" s="49" t="s">
        <v>505</v>
      </c>
      <c r="D105" s="49" t="s">
        <v>90</v>
      </c>
      <c r="E105" s="50" t="n">
        <v>1.25</v>
      </c>
      <c r="F105" s="51"/>
      <c r="G105" s="51"/>
      <c r="H105" s="51"/>
      <c r="I105" s="52" t="n">
        <v>46385</v>
      </c>
      <c r="J105" s="52" t="n">
        <v>46388</v>
      </c>
      <c r="K105" s="51"/>
      <c r="L105" s="51"/>
      <c r="M105" s="53" t="s">
        <v>506</v>
      </c>
      <c r="N105" s="54" t="n">
        <v>46347</v>
      </c>
      <c r="O105" s="54" t="n">
        <v>46348</v>
      </c>
      <c r="P105" s="49" t="s">
        <v>107</v>
      </c>
      <c r="Q105" s="51" t="n">
        <v>-40</v>
      </c>
      <c r="R105" s="49" t="s">
        <v>507</v>
      </c>
      <c r="S105" s="51" t="n">
        <v>2</v>
      </c>
      <c r="T105" s="51" t="s">
        <v>109</v>
      </c>
      <c r="U105" s="51"/>
      <c r="V105" s="55" t="n">
        <v>0</v>
      </c>
      <c r="W105" s="49" t="s">
        <v>84</v>
      </c>
      <c r="X105" s="51"/>
      <c r="Y105" s="51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47"/>
      <c r="BJ105" s="47"/>
      <c r="BK105" s="47"/>
      <c r="BL105" s="47"/>
      <c r="BM105" s="47"/>
      <c r="BN105" s="47"/>
      <c r="BO105" s="47"/>
      <c r="BP105" s="47"/>
      <c r="BQ105" s="47"/>
      <c r="BR105" s="47"/>
      <c r="BS105" s="47"/>
      <c r="BT105" s="47"/>
      <c r="BU105" s="47"/>
      <c r="BV105" s="47"/>
    </row>
    <row r="106" customFormat="false" ht="15" hidden="true" customHeight="true" outlineLevel="1" collapsed="false">
      <c r="A106" s="48" t="s">
        <v>508</v>
      </c>
      <c r="B106" s="51" t="s">
        <v>509</v>
      </c>
      <c r="C106" s="49" t="s">
        <v>510</v>
      </c>
      <c r="D106" s="49" t="s">
        <v>90</v>
      </c>
      <c r="E106" s="50" t="n">
        <v>0.5</v>
      </c>
      <c r="F106" s="51"/>
      <c r="G106" s="51"/>
      <c r="H106" s="51"/>
      <c r="I106" s="52" t="n">
        <v>46387</v>
      </c>
      <c r="J106" s="52" t="n">
        <v>46388</v>
      </c>
      <c r="K106" s="51"/>
      <c r="L106" s="51"/>
      <c r="M106" s="53" t="s">
        <v>511</v>
      </c>
      <c r="N106" s="54" t="n">
        <v>46348</v>
      </c>
      <c r="O106" s="54" t="n">
        <v>46348</v>
      </c>
      <c r="P106" s="49" t="s">
        <v>107</v>
      </c>
      <c r="Q106" s="51" t="n">
        <v>-40</v>
      </c>
      <c r="R106" s="49" t="s">
        <v>512</v>
      </c>
      <c r="S106" s="51" t="n">
        <v>2</v>
      </c>
      <c r="T106" s="51" t="s">
        <v>109</v>
      </c>
      <c r="U106" s="51"/>
      <c r="V106" s="55" t="n">
        <v>0</v>
      </c>
      <c r="W106" s="49" t="s">
        <v>84</v>
      </c>
      <c r="X106" s="51"/>
      <c r="Y106" s="51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  <c r="BI106" s="47"/>
      <c r="BJ106" s="47"/>
      <c r="BK106" s="47"/>
      <c r="BL106" s="47"/>
      <c r="BM106" s="47"/>
      <c r="BN106" s="47"/>
      <c r="BO106" s="47"/>
      <c r="BP106" s="47"/>
      <c r="BQ106" s="47"/>
      <c r="BR106" s="47"/>
      <c r="BS106" s="47"/>
      <c r="BT106" s="47"/>
      <c r="BU106" s="47"/>
      <c r="BV106" s="47"/>
    </row>
    <row r="107" customFormat="false" ht="15" hidden="false" customHeight="true" outlineLevel="0" collapsed="false">
      <c r="A107" s="36" t="s">
        <v>513</v>
      </c>
      <c r="B107" s="38" t="s">
        <v>514</v>
      </c>
      <c r="C107" s="38"/>
      <c r="D107" s="38" t="s">
        <v>307</v>
      </c>
      <c r="E107" s="39" t="n">
        <v>2.5</v>
      </c>
      <c r="F107" s="38" t="s">
        <v>483</v>
      </c>
      <c r="G107" s="36"/>
      <c r="H107" s="36" t="n">
        <v>2</v>
      </c>
      <c r="I107" s="40" t="n">
        <v>46385</v>
      </c>
      <c r="J107" s="40" t="n">
        <v>46389</v>
      </c>
      <c r="K107" s="41"/>
      <c r="L107" s="41"/>
      <c r="M107" s="42"/>
      <c r="N107" s="43" t="n">
        <v>46347</v>
      </c>
      <c r="O107" s="44" t="n">
        <v>46348</v>
      </c>
      <c r="P107" s="45" t="s">
        <v>107</v>
      </c>
      <c r="Q107" s="36" t="n">
        <v>-41</v>
      </c>
      <c r="R107" s="38"/>
      <c r="S107" s="38" t="n">
        <v>1</v>
      </c>
      <c r="T107" s="38" t="s">
        <v>109</v>
      </c>
      <c r="U107" s="56" t="n">
        <v>46347.0107</v>
      </c>
      <c r="V107" s="46" t="n">
        <v>0</v>
      </c>
      <c r="W107" s="38" t="s">
        <v>84</v>
      </c>
      <c r="X107" s="38" t="s">
        <v>515</v>
      </c>
      <c r="Y107" s="38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47"/>
      <c r="AX107" s="47"/>
      <c r="AY107" s="47"/>
      <c r="AZ107" s="47"/>
      <c r="BA107" s="47"/>
      <c r="BB107" s="47"/>
      <c r="BC107" s="47"/>
      <c r="BD107" s="47"/>
      <c r="BE107" s="47"/>
      <c r="BF107" s="47"/>
      <c r="BG107" s="47"/>
      <c r="BH107" s="47"/>
      <c r="BI107" s="47"/>
      <c r="BJ107" s="47"/>
      <c r="BK107" s="47"/>
      <c r="BL107" s="47"/>
      <c r="BM107" s="47"/>
      <c r="BN107" s="47"/>
      <c r="BO107" s="47"/>
      <c r="BP107" s="47"/>
      <c r="BQ107" s="47"/>
      <c r="BR107" s="47"/>
      <c r="BS107" s="47"/>
      <c r="BT107" s="47"/>
      <c r="BU107" s="47"/>
      <c r="BV107" s="47"/>
    </row>
    <row r="108" customFormat="false" ht="15" hidden="true" customHeight="true" outlineLevel="1" collapsed="false">
      <c r="A108" s="48" t="s">
        <v>516</v>
      </c>
      <c r="B108" s="51" t="s">
        <v>517</v>
      </c>
      <c r="C108" s="51" t="s">
        <v>518</v>
      </c>
      <c r="D108" s="49" t="s">
        <v>90</v>
      </c>
      <c r="E108" s="50" t="n">
        <v>1</v>
      </c>
      <c r="F108" s="51"/>
      <c r="G108" s="51"/>
      <c r="H108" s="51"/>
      <c r="I108" s="52" t="n">
        <v>46385</v>
      </c>
      <c r="J108" s="52" t="n">
        <v>46388</v>
      </c>
      <c r="K108" s="51"/>
      <c r="L108" s="51"/>
      <c r="M108" s="53" t="s">
        <v>519</v>
      </c>
      <c r="N108" s="54" t="n">
        <v>46347</v>
      </c>
      <c r="O108" s="54" t="n">
        <v>46348</v>
      </c>
      <c r="P108" s="49" t="s">
        <v>107</v>
      </c>
      <c r="Q108" s="51" t="n">
        <v>-40</v>
      </c>
      <c r="R108" s="49" t="s">
        <v>474</v>
      </c>
      <c r="S108" s="51" t="n">
        <v>2</v>
      </c>
      <c r="T108" s="51" t="s">
        <v>109</v>
      </c>
      <c r="U108" s="51"/>
      <c r="V108" s="55" t="n">
        <v>0</v>
      </c>
      <c r="W108" s="49" t="s">
        <v>84</v>
      </c>
      <c r="X108" s="51"/>
      <c r="Y108" s="51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47"/>
      <c r="AW108" s="47"/>
      <c r="AX108" s="47"/>
      <c r="AY108" s="47"/>
      <c r="AZ108" s="47"/>
      <c r="BA108" s="47"/>
      <c r="BB108" s="47"/>
      <c r="BC108" s="47"/>
      <c r="BD108" s="47"/>
      <c r="BE108" s="47"/>
      <c r="BF108" s="47"/>
      <c r="BG108" s="47"/>
      <c r="BH108" s="47"/>
      <c r="BI108" s="47"/>
      <c r="BJ108" s="47"/>
      <c r="BK108" s="47"/>
      <c r="BL108" s="47"/>
      <c r="BM108" s="47"/>
      <c r="BN108" s="47"/>
      <c r="BO108" s="47"/>
      <c r="BP108" s="47"/>
      <c r="BQ108" s="47"/>
      <c r="BR108" s="47"/>
      <c r="BS108" s="47"/>
      <c r="BT108" s="47"/>
      <c r="BU108" s="47"/>
      <c r="BV108" s="47"/>
    </row>
    <row r="109" customFormat="false" ht="15" hidden="true" customHeight="true" outlineLevel="1" collapsed="false">
      <c r="A109" s="48" t="s">
        <v>520</v>
      </c>
      <c r="B109" s="49" t="s">
        <v>521</v>
      </c>
      <c r="C109" s="49" t="s">
        <v>522</v>
      </c>
      <c r="D109" s="49" t="s">
        <v>90</v>
      </c>
      <c r="E109" s="50" t="n">
        <v>1</v>
      </c>
      <c r="F109" s="51"/>
      <c r="G109" s="51"/>
      <c r="H109" s="51"/>
      <c r="I109" s="52" t="n">
        <v>46387</v>
      </c>
      <c r="J109" s="52" t="n">
        <v>46389</v>
      </c>
      <c r="K109" s="51"/>
      <c r="L109" s="51"/>
      <c r="M109" s="53" t="s">
        <v>523</v>
      </c>
      <c r="N109" s="54" t="n">
        <v>46348</v>
      </c>
      <c r="O109" s="54" t="n">
        <v>46348</v>
      </c>
      <c r="P109" s="49" t="s">
        <v>107</v>
      </c>
      <c r="Q109" s="51" t="n">
        <v>-41</v>
      </c>
      <c r="R109" s="49" t="s">
        <v>474</v>
      </c>
      <c r="S109" s="51" t="n">
        <v>2</v>
      </c>
      <c r="T109" s="51" t="s">
        <v>109</v>
      </c>
      <c r="U109" s="51"/>
      <c r="V109" s="55" t="n">
        <v>0</v>
      </c>
      <c r="W109" s="49" t="s">
        <v>84</v>
      </c>
      <c r="X109" s="51"/>
      <c r="Y109" s="51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47"/>
      <c r="AW109" s="47"/>
      <c r="AX109" s="47"/>
      <c r="AY109" s="47"/>
      <c r="AZ109" s="47"/>
      <c r="BA109" s="47"/>
      <c r="BB109" s="47"/>
      <c r="BC109" s="47"/>
      <c r="BD109" s="47"/>
      <c r="BE109" s="47"/>
      <c r="BF109" s="47"/>
      <c r="BG109" s="47"/>
      <c r="BH109" s="47"/>
      <c r="BI109" s="47"/>
      <c r="BJ109" s="47"/>
      <c r="BK109" s="47"/>
      <c r="BL109" s="47"/>
      <c r="BM109" s="47"/>
      <c r="BN109" s="47"/>
      <c r="BO109" s="47"/>
      <c r="BP109" s="47"/>
      <c r="BQ109" s="47"/>
      <c r="BR109" s="47"/>
      <c r="BS109" s="47"/>
      <c r="BT109" s="47"/>
      <c r="BU109" s="47"/>
      <c r="BV109" s="47"/>
    </row>
    <row r="110" customFormat="false" ht="15" hidden="true" customHeight="true" outlineLevel="1" collapsed="false">
      <c r="A110" s="48" t="s">
        <v>524</v>
      </c>
      <c r="B110" s="51" t="s">
        <v>525</v>
      </c>
      <c r="C110" s="49" t="s">
        <v>526</v>
      </c>
      <c r="D110" s="49" t="s">
        <v>90</v>
      </c>
      <c r="E110" s="50" t="n">
        <v>0.5</v>
      </c>
      <c r="F110" s="51"/>
      <c r="G110" s="51"/>
      <c r="H110" s="51"/>
      <c r="I110" s="52" t="n">
        <v>46386</v>
      </c>
      <c r="J110" s="52" t="n">
        <v>46388</v>
      </c>
      <c r="K110" s="51"/>
      <c r="L110" s="51"/>
      <c r="M110" s="53" t="s">
        <v>527</v>
      </c>
      <c r="N110" s="54" t="n">
        <v>46347</v>
      </c>
      <c r="O110" s="54" t="n">
        <v>46348</v>
      </c>
      <c r="P110" s="49" t="s">
        <v>107</v>
      </c>
      <c r="Q110" s="51" t="n">
        <v>-40</v>
      </c>
      <c r="R110" s="51" t="s">
        <v>528</v>
      </c>
      <c r="S110" s="51" t="n">
        <v>2</v>
      </c>
      <c r="T110" s="51" t="s">
        <v>109</v>
      </c>
      <c r="U110" s="51"/>
      <c r="V110" s="55" t="n">
        <v>0</v>
      </c>
      <c r="W110" s="49" t="s">
        <v>84</v>
      </c>
      <c r="X110" s="51"/>
      <c r="Y110" s="51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47"/>
      <c r="AW110" s="47"/>
      <c r="AX110" s="47"/>
      <c r="AY110" s="47"/>
      <c r="AZ110" s="47"/>
      <c r="BA110" s="47"/>
      <c r="BB110" s="47"/>
      <c r="BC110" s="47"/>
      <c r="BD110" s="47"/>
      <c r="BE110" s="47"/>
      <c r="BF110" s="47"/>
      <c r="BG110" s="47"/>
      <c r="BH110" s="47"/>
      <c r="BI110" s="47"/>
      <c r="BJ110" s="47"/>
      <c r="BK110" s="47"/>
      <c r="BL110" s="47"/>
      <c r="BM110" s="47"/>
      <c r="BN110" s="47"/>
      <c r="BO110" s="47"/>
      <c r="BP110" s="47"/>
      <c r="BQ110" s="47"/>
      <c r="BR110" s="47"/>
      <c r="BS110" s="47"/>
      <c r="BT110" s="47"/>
      <c r="BU110" s="47"/>
      <c r="BV110" s="47"/>
    </row>
    <row r="111" customFormat="false" ht="15" hidden="false" customHeight="true" outlineLevel="0" collapsed="false">
      <c r="A111" s="36" t="s">
        <v>529</v>
      </c>
      <c r="B111" s="38" t="s">
        <v>530</v>
      </c>
      <c r="C111" s="38"/>
      <c r="D111" s="38" t="s">
        <v>77</v>
      </c>
      <c r="E111" s="39" t="n">
        <v>0</v>
      </c>
      <c r="F111" s="37" t="s">
        <v>252</v>
      </c>
      <c r="G111" s="36"/>
      <c r="H111" s="36" t="n">
        <v>1</v>
      </c>
      <c r="I111" s="40" t="n">
        <v>46390</v>
      </c>
      <c r="J111" s="40" t="n">
        <v>46390</v>
      </c>
      <c r="K111" s="41"/>
      <c r="L111" s="41"/>
      <c r="M111" s="42"/>
      <c r="N111" s="43" t="n">
        <v>46349</v>
      </c>
      <c r="O111" s="44" t="n">
        <v>46349</v>
      </c>
      <c r="P111" s="45" t="s">
        <v>107</v>
      </c>
      <c r="Q111" s="36" t="n">
        <v>-41</v>
      </c>
      <c r="R111" s="38"/>
      <c r="S111" s="38" t="n">
        <v>1</v>
      </c>
      <c r="T111" s="38" t="s">
        <v>109</v>
      </c>
      <c r="U111" s="56" t="n">
        <v>46349.0111</v>
      </c>
      <c r="V111" s="46" t="n">
        <v>0</v>
      </c>
      <c r="W111" s="37" t="s">
        <v>78</v>
      </c>
      <c r="X111" s="38" t="s">
        <v>531</v>
      </c>
      <c r="Y111" s="37" t="s">
        <v>532</v>
      </c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7"/>
      <c r="AX111" s="47"/>
      <c r="AY111" s="47"/>
      <c r="AZ111" s="47"/>
      <c r="BA111" s="47"/>
      <c r="BB111" s="47"/>
      <c r="BC111" s="47"/>
      <c r="BD111" s="47"/>
      <c r="BE111" s="47"/>
      <c r="BF111" s="47"/>
      <c r="BG111" s="47"/>
      <c r="BH111" s="47"/>
      <c r="BI111" s="47"/>
      <c r="BJ111" s="47"/>
      <c r="BK111" s="47"/>
      <c r="BL111" s="47"/>
      <c r="BM111" s="47"/>
      <c r="BN111" s="47"/>
      <c r="BO111" s="47"/>
      <c r="BP111" s="47"/>
      <c r="BQ111" s="47"/>
      <c r="BR111" s="47"/>
      <c r="BS111" s="47"/>
      <c r="BT111" s="47"/>
      <c r="BU111" s="47"/>
      <c r="BV111" s="47"/>
    </row>
    <row r="112" customFormat="false" ht="15" hidden="true" customHeight="true" outlineLevel="1" collapsed="false">
      <c r="A112" s="48" t="s">
        <v>533</v>
      </c>
      <c r="B112" s="49" t="s">
        <v>534</v>
      </c>
      <c r="C112" s="49" t="s">
        <v>535</v>
      </c>
      <c r="D112" s="49" t="s">
        <v>90</v>
      </c>
      <c r="E112" s="50" t="n">
        <v>0</v>
      </c>
      <c r="F112" s="51"/>
      <c r="G112" s="51"/>
      <c r="H112" s="51"/>
      <c r="I112" s="52" t="n">
        <v>46390</v>
      </c>
      <c r="J112" s="52" t="n">
        <v>46390</v>
      </c>
      <c r="K112" s="51"/>
      <c r="L112" s="51"/>
      <c r="M112" s="53" t="s">
        <v>536</v>
      </c>
      <c r="N112" s="54" t="n">
        <v>46349</v>
      </c>
      <c r="O112" s="54" t="n">
        <v>46349</v>
      </c>
      <c r="P112" s="49" t="s">
        <v>107</v>
      </c>
      <c r="Q112" s="51" t="n">
        <v>-41</v>
      </c>
      <c r="R112" s="51" t="s">
        <v>537</v>
      </c>
      <c r="S112" s="51" t="n">
        <v>2</v>
      </c>
      <c r="T112" s="51" t="s">
        <v>109</v>
      </c>
      <c r="U112" s="51"/>
      <c r="V112" s="55" t="n">
        <v>0</v>
      </c>
      <c r="W112" s="49" t="s">
        <v>84</v>
      </c>
      <c r="X112" s="51"/>
      <c r="Y112" s="51" t="s">
        <v>532</v>
      </c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47"/>
      <c r="AX112" s="47"/>
      <c r="AY112" s="47"/>
      <c r="AZ112" s="47"/>
      <c r="BA112" s="47"/>
      <c r="BB112" s="47"/>
      <c r="BC112" s="47"/>
      <c r="BD112" s="47"/>
      <c r="BE112" s="47"/>
      <c r="BF112" s="47"/>
      <c r="BG112" s="47"/>
      <c r="BH112" s="47"/>
      <c r="BI112" s="47"/>
      <c r="BJ112" s="47"/>
      <c r="BK112" s="47"/>
      <c r="BL112" s="47"/>
      <c r="BM112" s="47"/>
      <c r="BN112" s="47"/>
      <c r="BO112" s="47"/>
      <c r="BP112" s="47"/>
      <c r="BQ112" s="47"/>
      <c r="BR112" s="47"/>
      <c r="BS112" s="47"/>
      <c r="BT112" s="47"/>
      <c r="BU112" s="47"/>
      <c r="BV112" s="47"/>
    </row>
    <row r="113" customFormat="false" ht="15" hidden="true" customHeight="true" outlineLevel="1" collapsed="false">
      <c r="A113" s="48" t="s">
        <v>538</v>
      </c>
      <c r="B113" s="49" t="s">
        <v>539</v>
      </c>
      <c r="C113" s="49" t="s">
        <v>540</v>
      </c>
      <c r="D113" s="49" t="s">
        <v>90</v>
      </c>
      <c r="E113" s="50" t="n">
        <v>0</v>
      </c>
      <c r="F113" s="51"/>
      <c r="G113" s="51"/>
      <c r="H113" s="51"/>
      <c r="I113" s="52" t="n">
        <v>46390</v>
      </c>
      <c r="J113" s="52" t="n">
        <v>46390</v>
      </c>
      <c r="K113" s="51"/>
      <c r="L113" s="51"/>
      <c r="M113" s="53" t="s">
        <v>541</v>
      </c>
      <c r="N113" s="54" t="n">
        <v>46349</v>
      </c>
      <c r="O113" s="54" t="n">
        <v>46349</v>
      </c>
      <c r="P113" s="49" t="s">
        <v>107</v>
      </c>
      <c r="Q113" s="51" t="n">
        <v>-41</v>
      </c>
      <c r="R113" s="49" t="s">
        <v>542</v>
      </c>
      <c r="S113" s="51" t="n">
        <v>2</v>
      </c>
      <c r="T113" s="51" t="s">
        <v>109</v>
      </c>
      <c r="U113" s="51"/>
      <c r="V113" s="55" t="n">
        <v>0</v>
      </c>
      <c r="W113" s="49" t="s">
        <v>84</v>
      </c>
      <c r="X113" s="51"/>
      <c r="Y113" s="51" t="s">
        <v>532</v>
      </c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7"/>
      <c r="AX113" s="47"/>
      <c r="AY113" s="47"/>
      <c r="AZ113" s="47"/>
      <c r="BA113" s="47"/>
      <c r="BB113" s="47"/>
      <c r="BC113" s="47"/>
      <c r="BD113" s="47"/>
      <c r="BE113" s="47"/>
      <c r="BF113" s="47"/>
      <c r="BG113" s="47"/>
      <c r="BH113" s="47"/>
      <c r="BI113" s="47"/>
      <c r="BJ113" s="47"/>
      <c r="BK113" s="47"/>
      <c r="BL113" s="47"/>
      <c r="BM113" s="47"/>
      <c r="BN113" s="47"/>
      <c r="BO113" s="47"/>
      <c r="BP113" s="47"/>
      <c r="BQ113" s="47"/>
      <c r="BR113" s="47"/>
      <c r="BS113" s="47"/>
      <c r="BT113" s="47"/>
      <c r="BU113" s="47"/>
      <c r="BV113" s="47"/>
    </row>
    <row r="114" customFormat="false" ht="15" hidden="false" customHeight="true" outlineLevel="0" collapsed="false">
      <c r="A114" s="30" t="s">
        <v>543</v>
      </c>
      <c r="B114" s="30" t="s">
        <v>544</v>
      </c>
      <c r="C114" s="30"/>
      <c r="D114" s="30"/>
      <c r="E114" s="31" t="n">
        <v>5</v>
      </c>
      <c r="F114" s="30"/>
      <c r="G114" s="30"/>
      <c r="H114" s="30"/>
      <c r="I114" s="32" t="n">
        <v>46391</v>
      </c>
      <c r="J114" s="32" t="n">
        <v>46453</v>
      </c>
      <c r="K114" s="30"/>
      <c r="L114" s="30"/>
      <c r="M114" s="30"/>
      <c r="N114" s="32" t="n">
        <v>46350</v>
      </c>
      <c r="O114" s="32" t="n">
        <v>46450</v>
      </c>
      <c r="P114" s="33" t="s">
        <v>107</v>
      </c>
      <c r="Q114" s="30" t="n">
        <v>-3</v>
      </c>
      <c r="R114" s="30"/>
      <c r="S114" s="30" t="n">
        <v>0</v>
      </c>
      <c r="T114" s="30" t="s">
        <v>109</v>
      </c>
      <c r="U114" s="30"/>
      <c r="V114" s="34" t="n">
        <v>0</v>
      </c>
      <c r="W114" s="30"/>
      <c r="X114" s="30"/>
      <c r="Y114" s="30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</row>
    <row r="115" customFormat="false" ht="15" hidden="false" customHeight="true" outlineLevel="0" collapsed="false">
      <c r="A115" s="36" t="s">
        <v>545</v>
      </c>
      <c r="B115" s="38" t="s">
        <v>546</v>
      </c>
      <c r="C115" s="38"/>
      <c r="D115" s="38" t="s">
        <v>307</v>
      </c>
      <c r="E115" s="39" t="n">
        <v>2.5</v>
      </c>
      <c r="F115" s="37" t="s">
        <v>252</v>
      </c>
      <c r="G115" s="36"/>
      <c r="H115" s="36" t="n">
        <v>1</v>
      </c>
      <c r="I115" s="40" t="n">
        <v>46391</v>
      </c>
      <c r="J115" s="40" t="n">
        <v>46393</v>
      </c>
      <c r="K115" s="41"/>
      <c r="L115" s="41"/>
      <c r="M115" s="42"/>
      <c r="N115" s="43" t="n">
        <v>46359</v>
      </c>
      <c r="O115" s="44" t="n">
        <v>46359</v>
      </c>
      <c r="P115" s="45" t="s">
        <v>107</v>
      </c>
      <c r="Q115" s="36" t="n">
        <v>-34</v>
      </c>
      <c r="R115" s="38"/>
      <c r="S115" s="38" t="n">
        <v>1</v>
      </c>
      <c r="T115" s="38" t="s">
        <v>109</v>
      </c>
      <c r="U115" s="56" t="n">
        <v>46359.0115</v>
      </c>
      <c r="V115" s="46" t="n">
        <v>0</v>
      </c>
      <c r="W115" s="38" t="s">
        <v>84</v>
      </c>
      <c r="X115" s="38" t="s">
        <v>547</v>
      </c>
      <c r="Y115" s="37" t="s">
        <v>548</v>
      </c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47"/>
      <c r="AW115" s="47"/>
      <c r="AX115" s="47"/>
      <c r="AY115" s="47"/>
      <c r="AZ115" s="47"/>
      <c r="BA115" s="47"/>
      <c r="BB115" s="47"/>
      <c r="BC115" s="47"/>
      <c r="BD115" s="47"/>
      <c r="BE115" s="47"/>
      <c r="BF115" s="47"/>
      <c r="BG115" s="47"/>
      <c r="BH115" s="47"/>
      <c r="BI115" s="47"/>
      <c r="BJ115" s="47"/>
      <c r="BK115" s="47"/>
      <c r="BL115" s="47"/>
      <c r="BM115" s="47"/>
      <c r="BN115" s="47"/>
      <c r="BO115" s="47"/>
      <c r="BP115" s="47"/>
      <c r="BQ115" s="47"/>
      <c r="BR115" s="47"/>
      <c r="BS115" s="47"/>
      <c r="BT115" s="47"/>
      <c r="BU115" s="47"/>
      <c r="BV115" s="47"/>
    </row>
    <row r="116" customFormat="false" ht="15" hidden="true" customHeight="true" outlineLevel="1" collapsed="false">
      <c r="A116" s="48" t="s">
        <v>549</v>
      </c>
      <c r="B116" s="51" t="s">
        <v>550</v>
      </c>
      <c r="C116" s="51" t="s">
        <v>551</v>
      </c>
      <c r="D116" s="49" t="s">
        <v>84</v>
      </c>
      <c r="E116" s="50" t="n">
        <v>0.25</v>
      </c>
      <c r="F116" s="51"/>
      <c r="G116" s="51"/>
      <c r="H116" s="51"/>
      <c r="I116" s="52" t="n">
        <v>46391</v>
      </c>
      <c r="J116" s="52" t="n">
        <v>46391</v>
      </c>
      <c r="K116" s="51"/>
      <c r="L116" s="51"/>
      <c r="M116" s="53" t="s">
        <v>552</v>
      </c>
      <c r="N116" s="54" t="n">
        <v>46359</v>
      </c>
      <c r="O116" s="54" t="n">
        <v>46359</v>
      </c>
      <c r="P116" s="49" t="s">
        <v>107</v>
      </c>
      <c r="Q116" s="51" t="n">
        <v>-32</v>
      </c>
      <c r="R116" s="49" t="s">
        <v>114</v>
      </c>
      <c r="S116" s="51" t="n">
        <v>2</v>
      </c>
      <c r="T116" s="51" t="s">
        <v>109</v>
      </c>
      <c r="U116" s="51"/>
      <c r="V116" s="55" t="n">
        <v>0</v>
      </c>
      <c r="W116" s="51" t="s">
        <v>78</v>
      </c>
      <c r="X116" s="51"/>
      <c r="Y116" s="51" t="s">
        <v>548</v>
      </c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47"/>
      <c r="AX116" s="47"/>
      <c r="AY116" s="47"/>
      <c r="AZ116" s="47"/>
      <c r="BA116" s="47"/>
      <c r="BB116" s="47"/>
      <c r="BC116" s="47"/>
      <c r="BD116" s="47"/>
      <c r="BE116" s="47"/>
      <c r="BF116" s="47"/>
      <c r="BG116" s="47"/>
      <c r="BH116" s="47"/>
      <c r="BI116" s="47"/>
      <c r="BJ116" s="47"/>
      <c r="BK116" s="47"/>
      <c r="BL116" s="47"/>
      <c r="BM116" s="47"/>
      <c r="BN116" s="47"/>
      <c r="BO116" s="47"/>
      <c r="BP116" s="47"/>
      <c r="BQ116" s="47"/>
      <c r="BR116" s="47"/>
      <c r="BS116" s="47"/>
      <c r="BT116" s="47"/>
      <c r="BU116" s="47"/>
      <c r="BV116" s="47"/>
    </row>
    <row r="117" customFormat="false" ht="15" hidden="true" customHeight="true" outlineLevel="1" collapsed="false">
      <c r="A117" s="48" t="s">
        <v>553</v>
      </c>
      <c r="B117" s="49" t="s">
        <v>554</v>
      </c>
      <c r="C117" s="49" t="s">
        <v>555</v>
      </c>
      <c r="D117" s="49" t="s">
        <v>90</v>
      </c>
      <c r="E117" s="50" t="n">
        <v>0.75</v>
      </c>
      <c r="F117" s="51"/>
      <c r="G117" s="51"/>
      <c r="H117" s="51"/>
      <c r="I117" s="52" t="n">
        <v>46391</v>
      </c>
      <c r="J117" s="52" t="n">
        <v>46392</v>
      </c>
      <c r="K117" s="51"/>
      <c r="L117" s="51"/>
      <c r="M117" s="53" t="s">
        <v>556</v>
      </c>
      <c r="N117" s="54" t="n">
        <v>46359</v>
      </c>
      <c r="O117" s="54" t="n">
        <v>46359</v>
      </c>
      <c r="P117" s="49" t="s">
        <v>107</v>
      </c>
      <c r="Q117" s="51" t="n">
        <v>-33</v>
      </c>
      <c r="R117" s="51" t="s">
        <v>557</v>
      </c>
      <c r="S117" s="51" t="n">
        <v>2</v>
      </c>
      <c r="T117" s="51" t="s">
        <v>109</v>
      </c>
      <c r="U117" s="51"/>
      <c r="V117" s="55" t="n">
        <v>0</v>
      </c>
      <c r="W117" s="49" t="s">
        <v>84</v>
      </c>
      <c r="X117" s="51"/>
      <c r="Y117" s="51" t="s">
        <v>548</v>
      </c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  <c r="AX117" s="47"/>
      <c r="AY117" s="47"/>
      <c r="AZ117" s="47"/>
      <c r="BA117" s="47"/>
      <c r="BB117" s="47"/>
      <c r="BC117" s="47"/>
      <c r="BD117" s="47"/>
      <c r="BE117" s="47"/>
      <c r="BF117" s="47"/>
      <c r="BG117" s="47"/>
      <c r="BH117" s="47"/>
      <c r="BI117" s="47"/>
      <c r="BJ117" s="47"/>
      <c r="BK117" s="47"/>
      <c r="BL117" s="47"/>
      <c r="BM117" s="47"/>
      <c r="BN117" s="47"/>
      <c r="BO117" s="47"/>
      <c r="BP117" s="47"/>
      <c r="BQ117" s="47"/>
      <c r="BR117" s="47"/>
      <c r="BS117" s="47"/>
      <c r="BT117" s="47"/>
      <c r="BU117" s="47"/>
      <c r="BV117" s="47"/>
    </row>
    <row r="118" customFormat="false" ht="15" hidden="true" customHeight="true" outlineLevel="1" collapsed="false">
      <c r="A118" s="48" t="s">
        <v>558</v>
      </c>
      <c r="B118" s="49" t="s">
        <v>559</v>
      </c>
      <c r="C118" s="49" t="s">
        <v>560</v>
      </c>
      <c r="D118" s="49" t="s">
        <v>90</v>
      </c>
      <c r="E118" s="50" t="n">
        <v>0.25</v>
      </c>
      <c r="F118" s="51"/>
      <c r="G118" s="51"/>
      <c r="H118" s="51"/>
      <c r="I118" s="52" t="n">
        <v>46392</v>
      </c>
      <c r="J118" s="52" t="n">
        <v>46392</v>
      </c>
      <c r="K118" s="51"/>
      <c r="L118" s="51"/>
      <c r="M118" s="53" t="s">
        <v>561</v>
      </c>
      <c r="N118" s="54" t="n">
        <v>46359</v>
      </c>
      <c r="O118" s="54" t="n">
        <v>46359</v>
      </c>
      <c r="P118" s="49" t="s">
        <v>107</v>
      </c>
      <c r="Q118" s="51" t="n">
        <v>-33</v>
      </c>
      <c r="R118" s="51" t="s">
        <v>562</v>
      </c>
      <c r="S118" s="51" t="n">
        <v>2</v>
      </c>
      <c r="T118" s="51" t="s">
        <v>109</v>
      </c>
      <c r="U118" s="51"/>
      <c r="V118" s="55" t="n">
        <v>0</v>
      </c>
      <c r="W118" s="49" t="s">
        <v>84</v>
      </c>
      <c r="X118" s="51"/>
      <c r="Y118" s="51" t="s">
        <v>548</v>
      </c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47"/>
      <c r="AW118" s="47"/>
      <c r="AX118" s="47"/>
      <c r="AY118" s="47"/>
      <c r="AZ118" s="47"/>
      <c r="BA118" s="47"/>
      <c r="BB118" s="47"/>
      <c r="BC118" s="47"/>
      <c r="BD118" s="47"/>
      <c r="BE118" s="47"/>
      <c r="BF118" s="47"/>
      <c r="BG118" s="47"/>
      <c r="BH118" s="47"/>
      <c r="BI118" s="47"/>
      <c r="BJ118" s="47"/>
      <c r="BK118" s="47"/>
      <c r="BL118" s="47"/>
      <c r="BM118" s="47"/>
      <c r="BN118" s="47"/>
      <c r="BO118" s="47"/>
      <c r="BP118" s="47"/>
      <c r="BQ118" s="47"/>
      <c r="BR118" s="47"/>
      <c r="BS118" s="47"/>
      <c r="BT118" s="47"/>
      <c r="BU118" s="47"/>
      <c r="BV118" s="47"/>
    </row>
    <row r="119" customFormat="false" ht="15" hidden="true" customHeight="true" outlineLevel="1" collapsed="false">
      <c r="A119" s="48" t="s">
        <v>563</v>
      </c>
      <c r="B119" s="49" t="s">
        <v>564</v>
      </c>
      <c r="C119" s="49" t="s">
        <v>565</v>
      </c>
      <c r="D119" s="49" t="s">
        <v>90</v>
      </c>
      <c r="E119" s="50" t="n">
        <v>0.25</v>
      </c>
      <c r="F119" s="51"/>
      <c r="G119" s="51"/>
      <c r="H119" s="51"/>
      <c r="I119" s="52" t="n">
        <v>46392</v>
      </c>
      <c r="J119" s="52" t="n">
        <v>46392</v>
      </c>
      <c r="K119" s="51"/>
      <c r="L119" s="51"/>
      <c r="M119" s="53" t="s">
        <v>566</v>
      </c>
      <c r="N119" s="54" t="n">
        <v>46359</v>
      </c>
      <c r="O119" s="54" t="n">
        <v>46359</v>
      </c>
      <c r="P119" s="49" t="s">
        <v>107</v>
      </c>
      <c r="Q119" s="51" t="n">
        <v>-33</v>
      </c>
      <c r="R119" s="49" t="s">
        <v>398</v>
      </c>
      <c r="S119" s="51" t="n">
        <v>2</v>
      </c>
      <c r="T119" s="51" t="s">
        <v>109</v>
      </c>
      <c r="U119" s="51"/>
      <c r="V119" s="55" t="n">
        <v>0</v>
      </c>
      <c r="W119" s="49" t="s">
        <v>84</v>
      </c>
      <c r="X119" s="51"/>
      <c r="Y119" s="51" t="s">
        <v>548</v>
      </c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47"/>
      <c r="AW119" s="47"/>
      <c r="AX119" s="47"/>
      <c r="AY119" s="47"/>
      <c r="AZ119" s="47"/>
      <c r="BA119" s="47"/>
      <c r="BB119" s="47"/>
      <c r="BC119" s="47"/>
      <c r="BD119" s="47"/>
      <c r="BE119" s="47"/>
      <c r="BF119" s="47"/>
      <c r="BG119" s="47"/>
      <c r="BH119" s="47"/>
      <c r="BI119" s="47"/>
      <c r="BJ119" s="47"/>
      <c r="BK119" s="47"/>
      <c r="BL119" s="47"/>
      <c r="BM119" s="47"/>
      <c r="BN119" s="47"/>
      <c r="BO119" s="47"/>
      <c r="BP119" s="47"/>
      <c r="BQ119" s="47"/>
      <c r="BR119" s="47"/>
      <c r="BS119" s="47"/>
      <c r="BT119" s="47"/>
      <c r="BU119" s="47"/>
      <c r="BV119" s="47"/>
    </row>
    <row r="120" customFormat="false" ht="15" hidden="true" customHeight="true" outlineLevel="1" collapsed="false">
      <c r="A120" s="48" t="s">
        <v>567</v>
      </c>
      <c r="B120" s="49" t="s">
        <v>568</v>
      </c>
      <c r="C120" s="49" t="s">
        <v>569</v>
      </c>
      <c r="D120" s="49" t="s">
        <v>90</v>
      </c>
      <c r="E120" s="50" t="n">
        <v>0.5</v>
      </c>
      <c r="F120" s="51"/>
      <c r="G120" s="51"/>
      <c r="H120" s="51"/>
      <c r="I120" s="52" t="n">
        <v>46392</v>
      </c>
      <c r="J120" s="52" t="n">
        <v>46393</v>
      </c>
      <c r="K120" s="51"/>
      <c r="L120" s="51"/>
      <c r="M120" s="53" t="s">
        <v>570</v>
      </c>
      <c r="N120" s="54" t="n">
        <v>46359</v>
      </c>
      <c r="O120" s="54" t="n">
        <v>46359</v>
      </c>
      <c r="P120" s="49" t="s">
        <v>107</v>
      </c>
      <c r="Q120" s="51" t="n">
        <v>-34</v>
      </c>
      <c r="R120" s="49" t="s">
        <v>209</v>
      </c>
      <c r="S120" s="51" t="n">
        <v>2</v>
      </c>
      <c r="T120" s="51" t="s">
        <v>109</v>
      </c>
      <c r="U120" s="51"/>
      <c r="V120" s="55" t="n">
        <v>0</v>
      </c>
      <c r="W120" s="49" t="s">
        <v>84</v>
      </c>
      <c r="X120" s="51"/>
      <c r="Y120" s="51" t="s">
        <v>548</v>
      </c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AW120" s="47"/>
      <c r="AX120" s="47"/>
      <c r="AY120" s="47"/>
      <c r="AZ120" s="47"/>
      <c r="BA120" s="47"/>
      <c r="BB120" s="47"/>
      <c r="BC120" s="47"/>
      <c r="BD120" s="47"/>
      <c r="BE120" s="47"/>
      <c r="BF120" s="47"/>
      <c r="BG120" s="47"/>
      <c r="BH120" s="47"/>
      <c r="BI120" s="47"/>
      <c r="BJ120" s="47"/>
      <c r="BK120" s="47"/>
      <c r="BL120" s="47"/>
      <c r="BM120" s="47"/>
      <c r="BN120" s="47"/>
      <c r="BO120" s="47"/>
      <c r="BP120" s="47"/>
      <c r="BQ120" s="47"/>
      <c r="BR120" s="47"/>
      <c r="BS120" s="47"/>
      <c r="BT120" s="47"/>
      <c r="BU120" s="47"/>
      <c r="BV120" s="47"/>
    </row>
    <row r="121" customFormat="false" ht="15" hidden="true" customHeight="true" outlineLevel="1" collapsed="false">
      <c r="A121" s="48" t="s">
        <v>571</v>
      </c>
      <c r="B121" s="49" t="s">
        <v>572</v>
      </c>
      <c r="C121" s="49" t="s">
        <v>573</v>
      </c>
      <c r="D121" s="49" t="s">
        <v>90</v>
      </c>
      <c r="E121" s="50" t="n">
        <v>0.5</v>
      </c>
      <c r="F121" s="51"/>
      <c r="G121" s="51"/>
      <c r="H121" s="51"/>
      <c r="I121" s="52" t="n">
        <v>46392</v>
      </c>
      <c r="J121" s="52" t="n">
        <v>46393</v>
      </c>
      <c r="K121" s="51"/>
      <c r="L121" s="51"/>
      <c r="M121" s="53" t="s">
        <v>574</v>
      </c>
      <c r="N121" s="54" t="n">
        <v>46359</v>
      </c>
      <c r="O121" s="54" t="n">
        <v>46359</v>
      </c>
      <c r="P121" s="49" t="s">
        <v>107</v>
      </c>
      <c r="Q121" s="51" t="n">
        <v>-34</v>
      </c>
      <c r="R121" s="51" t="s">
        <v>575</v>
      </c>
      <c r="S121" s="51" t="n">
        <v>2</v>
      </c>
      <c r="T121" s="51" t="s">
        <v>109</v>
      </c>
      <c r="U121" s="51"/>
      <c r="V121" s="55" t="n">
        <v>0</v>
      </c>
      <c r="W121" s="49" t="s">
        <v>84</v>
      </c>
      <c r="X121" s="51"/>
      <c r="Y121" s="51" t="s">
        <v>548</v>
      </c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47"/>
      <c r="AW121" s="47"/>
      <c r="AX121" s="47"/>
      <c r="AY121" s="47"/>
      <c r="AZ121" s="47"/>
      <c r="BA121" s="47"/>
      <c r="BB121" s="47"/>
      <c r="BC121" s="47"/>
      <c r="BD121" s="47"/>
      <c r="BE121" s="47"/>
      <c r="BF121" s="47"/>
      <c r="BG121" s="47"/>
      <c r="BH121" s="47"/>
      <c r="BI121" s="47"/>
      <c r="BJ121" s="47"/>
      <c r="BK121" s="47"/>
      <c r="BL121" s="47"/>
      <c r="BM121" s="47"/>
      <c r="BN121" s="47"/>
      <c r="BO121" s="47"/>
      <c r="BP121" s="47"/>
      <c r="BQ121" s="47"/>
      <c r="BR121" s="47"/>
      <c r="BS121" s="47"/>
      <c r="BT121" s="47"/>
      <c r="BU121" s="47"/>
      <c r="BV121" s="47"/>
    </row>
    <row r="122" customFormat="false" ht="15" hidden="false" customHeight="true" outlineLevel="0" collapsed="false">
      <c r="A122" s="36" t="s">
        <v>576</v>
      </c>
      <c r="B122" s="38" t="s">
        <v>577</v>
      </c>
      <c r="C122" s="38"/>
      <c r="D122" s="38" t="s">
        <v>77</v>
      </c>
      <c r="E122" s="39" t="n">
        <v>0</v>
      </c>
      <c r="F122" s="37" t="s">
        <v>252</v>
      </c>
      <c r="G122" s="36"/>
      <c r="H122" s="36" t="n">
        <v>1</v>
      </c>
      <c r="I122" s="40" t="n">
        <v>46393</v>
      </c>
      <c r="J122" s="40" t="n">
        <v>46393</v>
      </c>
      <c r="K122" s="41"/>
      <c r="L122" s="41"/>
      <c r="M122" s="42"/>
      <c r="N122" s="43" t="n">
        <v>46356</v>
      </c>
      <c r="O122" s="44" t="n">
        <v>46356</v>
      </c>
      <c r="P122" s="45" t="s">
        <v>107</v>
      </c>
      <c r="Q122" s="36" t="n">
        <v>-37</v>
      </c>
      <c r="R122" s="38"/>
      <c r="S122" s="38" t="n">
        <v>1</v>
      </c>
      <c r="T122" s="38" t="s">
        <v>109</v>
      </c>
      <c r="U122" s="56" t="n">
        <v>46356.0122</v>
      </c>
      <c r="V122" s="46" t="n">
        <v>0</v>
      </c>
      <c r="W122" s="37" t="s">
        <v>78</v>
      </c>
      <c r="X122" s="38"/>
      <c r="Y122" s="37" t="s">
        <v>578</v>
      </c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47"/>
      <c r="AW122" s="47"/>
      <c r="AX122" s="47"/>
      <c r="AY122" s="47"/>
      <c r="AZ122" s="47"/>
      <c r="BA122" s="47"/>
      <c r="BB122" s="47"/>
      <c r="BC122" s="47"/>
      <c r="BD122" s="47"/>
      <c r="BE122" s="47"/>
      <c r="BF122" s="47"/>
      <c r="BG122" s="47"/>
      <c r="BH122" s="47"/>
      <c r="BI122" s="47"/>
      <c r="BJ122" s="47"/>
      <c r="BK122" s="47"/>
      <c r="BL122" s="47"/>
      <c r="BM122" s="47"/>
      <c r="BN122" s="47"/>
      <c r="BO122" s="47"/>
      <c r="BP122" s="47"/>
      <c r="BQ122" s="47"/>
      <c r="BR122" s="47"/>
      <c r="BS122" s="47"/>
      <c r="BT122" s="47"/>
      <c r="BU122" s="47"/>
      <c r="BV122" s="47"/>
    </row>
    <row r="123" customFormat="false" ht="15" hidden="false" customHeight="true" outlineLevel="0" collapsed="false">
      <c r="A123" s="36" t="s">
        <v>579</v>
      </c>
      <c r="B123" s="38" t="s">
        <v>580</v>
      </c>
      <c r="C123" s="38"/>
      <c r="D123" s="38" t="s">
        <v>77</v>
      </c>
      <c r="E123" s="39" t="n">
        <v>0</v>
      </c>
      <c r="F123" s="37" t="s">
        <v>529</v>
      </c>
      <c r="G123" s="36" t="n">
        <v>0</v>
      </c>
      <c r="H123" s="36" t="n">
        <v>5</v>
      </c>
      <c r="I123" s="40" t="n">
        <v>46391</v>
      </c>
      <c r="J123" s="40" t="n">
        <v>46395</v>
      </c>
      <c r="K123" s="41"/>
      <c r="L123" s="41"/>
      <c r="M123" s="42"/>
      <c r="N123" s="43" t="n">
        <v>46350</v>
      </c>
      <c r="O123" s="44" t="n">
        <v>46356</v>
      </c>
      <c r="P123" s="45" t="s">
        <v>107</v>
      </c>
      <c r="Q123" s="36" t="n">
        <v>-39</v>
      </c>
      <c r="R123" s="38"/>
      <c r="S123" s="38" t="n">
        <v>1</v>
      </c>
      <c r="T123" s="38" t="s">
        <v>109</v>
      </c>
      <c r="U123" s="56" t="n">
        <v>46350.0123</v>
      </c>
      <c r="V123" s="46" t="n">
        <v>0</v>
      </c>
      <c r="W123" s="37" t="s">
        <v>78</v>
      </c>
      <c r="X123" s="38"/>
      <c r="Y123" s="37" t="s">
        <v>581</v>
      </c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  <c r="AQ123" s="47"/>
      <c r="AR123" s="47"/>
      <c r="AS123" s="47"/>
      <c r="AT123" s="47"/>
      <c r="AU123" s="47"/>
      <c r="AV123" s="47"/>
      <c r="AW123" s="47"/>
      <c r="AX123" s="47"/>
      <c r="AY123" s="47"/>
      <c r="AZ123" s="47"/>
      <c r="BA123" s="47"/>
      <c r="BB123" s="47"/>
      <c r="BC123" s="47"/>
      <c r="BD123" s="47"/>
      <c r="BE123" s="47"/>
      <c r="BF123" s="47"/>
      <c r="BG123" s="47"/>
      <c r="BH123" s="47"/>
      <c r="BI123" s="47"/>
      <c r="BJ123" s="47"/>
      <c r="BK123" s="47"/>
      <c r="BL123" s="47"/>
      <c r="BM123" s="47"/>
      <c r="BN123" s="47"/>
      <c r="BO123" s="47"/>
      <c r="BP123" s="47"/>
      <c r="BQ123" s="47"/>
      <c r="BR123" s="47"/>
      <c r="BS123" s="47"/>
      <c r="BT123" s="47"/>
      <c r="BU123" s="47"/>
      <c r="BV123" s="47"/>
    </row>
    <row r="124" customFormat="false" ht="15" hidden="false" customHeight="true" outlineLevel="0" collapsed="false">
      <c r="A124" s="36" t="s">
        <v>582</v>
      </c>
      <c r="B124" s="38" t="s">
        <v>583</v>
      </c>
      <c r="C124" s="38"/>
      <c r="D124" s="38" t="s">
        <v>77</v>
      </c>
      <c r="E124" s="39" t="n">
        <v>2.5</v>
      </c>
      <c r="F124" s="37" t="s">
        <v>584</v>
      </c>
      <c r="G124" s="36" t="n">
        <v>0</v>
      </c>
      <c r="H124" s="57" t="n">
        <v>14</v>
      </c>
      <c r="I124" s="40" t="n">
        <v>46440</v>
      </c>
      <c r="J124" s="40" t="n">
        <v>46453</v>
      </c>
      <c r="K124" s="41"/>
      <c r="L124" s="41"/>
      <c r="M124" s="42"/>
      <c r="N124" s="43" t="n">
        <v>46437</v>
      </c>
      <c r="O124" s="44" t="n">
        <v>46450</v>
      </c>
      <c r="P124" s="45" t="s">
        <v>107</v>
      </c>
      <c r="Q124" s="36" t="n">
        <v>-3</v>
      </c>
      <c r="R124" s="38"/>
      <c r="S124" s="38" t="n">
        <v>1</v>
      </c>
      <c r="T124" s="38" t="s">
        <v>109</v>
      </c>
      <c r="U124" s="56" t="n">
        <v>46437.0124</v>
      </c>
      <c r="V124" s="46" t="n">
        <v>0</v>
      </c>
      <c r="W124" s="37" t="s">
        <v>78</v>
      </c>
      <c r="X124" s="38" t="s">
        <v>585</v>
      </c>
      <c r="Y124" s="38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  <c r="AQ124" s="47"/>
      <c r="AR124" s="47"/>
      <c r="AS124" s="47"/>
      <c r="AT124" s="47"/>
      <c r="AU124" s="47"/>
      <c r="AV124" s="47"/>
      <c r="AW124" s="47"/>
      <c r="AX124" s="47"/>
      <c r="AY124" s="47"/>
      <c r="AZ124" s="47"/>
      <c r="BA124" s="47"/>
      <c r="BB124" s="47"/>
      <c r="BC124" s="47"/>
      <c r="BD124" s="47"/>
      <c r="BE124" s="47"/>
      <c r="BF124" s="47"/>
      <c r="BG124" s="47"/>
      <c r="BH124" s="47"/>
      <c r="BI124" s="47"/>
      <c r="BJ124" s="47"/>
      <c r="BK124" s="47"/>
      <c r="BL124" s="47"/>
      <c r="BM124" s="47"/>
      <c r="BN124" s="47"/>
      <c r="BO124" s="47"/>
      <c r="BP124" s="47"/>
      <c r="BQ124" s="47"/>
      <c r="BR124" s="47"/>
      <c r="BS124" s="47"/>
      <c r="BT124" s="47"/>
      <c r="BU124" s="47"/>
      <c r="BV124" s="47"/>
    </row>
    <row r="125" customFormat="false" ht="15" hidden="true" customHeight="true" outlineLevel="1" collapsed="false">
      <c r="A125" s="48" t="s">
        <v>586</v>
      </c>
      <c r="B125" s="49" t="s">
        <v>587</v>
      </c>
      <c r="C125" s="49" t="s">
        <v>588</v>
      </c>
      <c r="D125" s="49" t="s">
        <v>84</v>
      </c>
      <c r="E125" s="50" t="n">
        <v>0.75</v>
      </c>
      <c r="F125" s="51"/>
      <c r="G125" s="51"/>
      <c r="H125" s="51"/>
      <c r="I125" s="52" t="n">
        <v>46440</v>
      </c>
      <c r="J125" s="52" t="n">
        <v>46444</v>
      </c>
      <c r="K125" s="51"/>
      <c r="L125" s="51"/>
      <c r="M125" s="53" t="s">
        <v>589</v>
      </c>
      <c r="N125" s="54" t="n">
        <v>46437</v>
      </c>
      <c r="O125" s="54" t="n">
        <v>46441</v>
      </c>
      <c r="P125" s="49" t="s">
        <v>107</v>
      </c>
      <c r="Q125" s="51" t="n">
        <v>-3</v>
      </c>
      <c r="R125" s="49" t="s">
        <v>590</v>
      </c>
      <c r="S125" s="51" t="n">
        <v>2</v>
      </c>
      <c r="T125" s="51" t="s">
        <v>109</v>
      </c>
      <c r="U125" s="51"/>
      <c r="V125" s="55" t="n">
        <v>0</v>
      </c>
      <c r="W125" s="51" t="s">
        <v>78</v>
      </c>
      <c r="X125" s="51"/>
      <c r="Y125" s="51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47"/>
      <c r="AX125" s="47"/>
      <c r="AY125" s="47"/>
      <c r="AZ125" s="47"/>
      <c r="BA125" s="47"/>
      <c r="BB125" s="47"/>
      <c r="BC125" s="47"/>
      <c r="BD125" s="47"/>
      <c r="BE125" s="47"/>
      <c r="BF125" s="47"/>
      <c r="BG125" s="47"/>
      <c r="BH125" s="47"/>
      <c r="BI125" s="47"/>
      <c r="BJ125" s="47"/>
      <c r="BK125" s="47"/>
      <c r="BL125" s="47"/>
      <c r="BM125" s="47"/>
      <c r="BN125" s="47"/>
      <c r="BO125" s="47"/>
      <c r="BP125" s="47"/>
      <c r="BQ125" s="47"/>
      <c r="BR125" s="47"/>
      <c r="BS125" s="47"/>
      <c r="BT125" s="47"/>
      <c r="BU125" s="47"/>
      <c r="BV125" s="47"/>
    </row>
    <row r="126" customFormat="false" ht="15" hidden="true" customHeight="true" outlineLevel="1" collapsed="false">
      <c r="A126" s="48" t="s">
        <v>591</v>
      </c>
      <c r="B126" s="49" t="s">
        <v>592</v>
      </c>
      <c r="C126" s="51" t="s">
        <v>593</v>
      </c>
      <c r="D126" s="49" t="s">
        <v>84</v>
      </c>
      <c r="E126" s="50" t="n">
        <v>1</v>
      </c>
      <c r="F126" s="51"/>
      <c r="G126" s="51"/>
      <c r="H126" s="51"/>
      <c r="I126" s="52" t="n">
        <v>46443</v>
      </c>
      <c r="J126" s="52" t="n">
        <v>46450</v>
      </c>
      <c r="K126" s="51"/>
      <c r="L126" s="51"/>
      <c r="M126" s="53" t="s">
        <v>594</v>
      </c>
      <c r="N126" s="54" t="n">
        <v>46440</v>
      </c>
      <c r="O126" s="54" t="n">
        <v>46447</v>
      </c>
      <c r="P126" s="49" t="s">
        <v>107</v>
      </c>
      <c r="Q126" s="51" t="n">
        <v>-3</v>
      </c>
      <c r="R126" s="49" t="s">
        <v>595</v>
      </c>
      <c r="S126" s="51" t="n">
        <v>2</v>
      </c>
      <c r="T126" s="51" t="s">
        <v>109</v>
      </c>
      <c r="U126" s="51"/>
      <c r="V126" s="55" t="n">
        <v>0</v>
      </c>
      <c r="W126" s="51" t="s">
        <v>78</v>
      </c>
      <c r="X126" s="51"/>
      <c r="Y126" s="51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47"/>
      <c r="AW126" s="47"/>
      <c r="AX126" s="47"/>
      <c r="AY126" s="47"/>
      <c r="AZ126" s="47"/>
      <c r="BA126" s="47"/>
      <c r="BB126" s="47"/>
      <c r="BC126" s="47"/>
      <c r="BD126" s="47"/>
      <c r="BE126" s="47"/>
      <c r="BF126" s="47"/>
      <c r="BG126" s="47"/>
      <c r="BH126" s="47"/>
      <c r="BI126" s="47"/>
      <c r="BJ126" s="47"/>
      <c r="BK126" s="47"/>
      <c r="BL126" s="47"/>
      <c r="BM126" s="47"/>
      <c r="BN126" s="47"/>
      <c r="BO126" s="47"/>
      <c r="BP126" s="47"/>
      <c r="BQ126" s="47"/>
      <c r="BR126" s="47"/>
      <c r="BS126" s="47"/>
      <c r="BT126" s="47"/>
      <c r="BU126" s="47"/>
      <c r="BV126" s="47"/>
    </row>
    <row r="127" customFormat="false" ht="15" hidden="true" customHeight="true" outlineLevel="1" collapsed="false">
      <c r="A127" s="48" t="s">
        <v>596</v>
      </c>
      <c r="B127" s="51" t="s">
        <v>597</v>
      </c>
      <c r="C127" s="51" t="s">
        <v>598</v>
      </c>
      <c r="D127" s="49" t="s">
        <v>84</v>
      </c>
      <c r="E127" s="50" t="n">
        <v>0.75</v>
      </c>
      <c r="F127" s="51"/>
      <c r="G127" s="51"/>
      <c r="H127" s="51"/>
      <c r="I127" s="52" t="n">
        <v>46450</v>
      </c>
      <c r="J127" s="52" t="n">
        <v>46453</v>
      </c>
      <c r="K127" s="51"/>
      <c r="L127" s="51"/>
      <c r="M127" s="53" t="s">
        <v>599</v>
      </c>
      <c r="N127" s="54" t="n">
        <v>46447</v>
      </c>
      <c r="O127" s="54" t="n">
        <v>46450</v>
      </c>
      <c r="P127" s="49" t="s">
        <v>107</v>
      </c>
      <c r="Q127" s="51" t="n">
        <v>-3</v>
      </c>
      <c r="R127" s="51"/>
      <c r="S127" s="51" t="n">
        <v>2</v>
      </c>
      <c r="T127" s="51" t="s">
        <v>109</v>
      </c>
      <c r="U127" s="51"/>
      <c r="V127" s="55" t="n">
        <v>0</v>
      </c>
      <c r="W127" s="51" t="s">
        <v>78</v>
      </c>
      <c r="X127" s="51"/>
      <c r="Y127" s="51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47"/>
      <c r="AW127" s="47"/>
      <c r="AX127" s="47"/>
      <c r="AY127" s="47"/>
      <c r="AZ127" s="47"/>
      <c r="BA127" s="47"/>
      <c r="BB127" s="47"/>
      <c r="BC127" s="47"/>
      <c r="BD127" s="47"/>
      <c r="BE127" s="47"/>
      <c r="BF127" s="47"/>
      <c r="BG127" s="47"/>
      <c r="BH127" s="47"/>
      <c r="BI127" s="47"/>
      <c r="BJ127" s="47"/>
      <c r="BK127" s="47"/>
      <c r="BL127" s="47"/>
      <c r="BM127" s="47"/>
      <c r="BN127" s="47"/>
      <c r="BO127" s="47"/>
      <c r="BP127" s="47"/>
      <c r="BQ127" s="47"/>
      <c r="BR127" s="47"/>
      <c r="BS127" s="47"/>
      <c r="BT127" s="47"/>
      <c r="BU127" s="47"/>
      <c r="BV127" s="47"/>
    </row>
    <row r="128" customFormat="false" ht="15" hidden="false" customHeight="true" outlineLevel="0" collapsed="false">
      <c r="A128" s="36" t="s">
        <v>600</v>
      </c>
      <c r="B128" s="38" t="s">
        <v>601</v>
      </c>
      <c r="C128" s="38"/>
      <c r="D128" s="38" t="s">
        <v>307</v>
      </c>
      <c r="E128" s="39" t="n">
        <v>0</v>
      </c>
      <c r="F128" s="37" t="s">
        <v>252</v>
      </c>
      <c r="G128" s="36"/>
      <c r="H128" s="36" t="n">
        <v>1</v>
      </c>
      <c r="I128" s="40" t="n">
        <v>46403</v>
      </c>
      <c r="J128" s="40" t="n">
        <v>46403</v>
      </c>
      <c r="K128" s="41"/>
      <c r="L128" s="41"/>
      <c r="M128" s="42"/>
      <c r="N128" s="43" t="n">
        <v>46367</v>
      </c>
      <c r="O128" s="44" t="n">
        <v>46367</v>
      </c>
      <c r="P128" s="45" t="s">
        <v>107</v>
      </c>
      <c r="Q128" s="36" t="n">
        <v>-36</v>
      </c>
      <c r="R128" s="38"/>
      <c r="S128" s="38" t="n">
        <v>1</v>
      </c>
      <c r="T128" s="38" t="s">
        <v>109</v>
      </c>
      <c r="U128" s="56" t="n">
        <v>46367.0128</v>
      </c>
      <c r="V128" s="46" t="n">
        <v>0</v>
      </c>
      <c r="W128" s="38" t="s">
        <v>84</v>
      </c>
      <c r="X128" s="38"/>
      <c r="Y128" s="37" t="s">
        <v>602</v>
      </c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47"/>
      <c r="AW128" s="47"/>
      <c r="AX128" s="47"/>
      <c r="AY128" s="47"/>
      <c r="AZ128" s="47"/>
      <c r="BA128" s="47"/>
      <c r="BB128" s="47"/>
      <c r="BC128" s="47"/>
      <c r="BD128" s="47"/>
      <c r="BE128" s="47"/>
      <c r="BF128" s="47"/>
      <c r="BG128" s="47"/>
      <c r="BH128" s="47"/>
      <c r="BI128" s="47"/>
      <c r="BJ128" s="47"/>
      <c r="BK128" s="47"/>
      <c r="BL128" s="47"/>
      <c r="BM128" s="47"/>
      <c r="BN128" s="47"/>
      <c r="BO128" s="47"/>
      <c r="BP128" s="47"/>
      <c r="BQ128" s="47"/>
      <c r="BR128" s="47"/>
      <c r="BS128" s="47"/>
      <c r="BT128" s="47"/>
      <c r="BU128" s="47"/>
      <c r="BV128" s="47"/>
    </row>
    <row r="129" customFormat="false" ht="15" hidden="false" customHeight="true" outlineLevel="0" collapsed="false">
      <c r="A129" s="36" t="s">
        <v>603</v>
      </c>
      <c r="B129" s="37" t="s">
        <v>604</v>
      </c>
      <c r="C129" s="38"/>
      <c r="D129" s="37" t="s">
        <v>116</v>
      </c>
      <c r="E129" s="39" t="n">
        <v>0</v>
      </c>
      <c r="F129" s="37" t="s">
        <v>600</v>
      </c>
      <c r="G129" s="36" t="n">
        <v>0</v>
      </c>
      <c r="H129" s="36" t="n">
        <v>1</v>
      </c>
      <c r="I129" s="40" t="n">
        <v>46403</v>
      </c>
      <c r="J129" s="40" t="n">
        <v>46403</v>
      </c>
      <c r="K129" s="41"/>
      <c r="L129" s="41"/>
      <c r="M129" s="42"/>
      <c r="N129" s="43" t="n">
        <v>46368</v>
      </c>
      <c r="O129" s="44" t="n">
        <v>46370</v>
      </c>
      <c r="P129" s="45" t="s">
        <v>107</v>
      </c>
      <c r="Q129" s="36" t="n">
        <v>-33</v>
      </c>
      <c r="R129" s="38"/>
      <c r="S129" s="38" t="n">
        <v>1</v>
      </c>
      <c r="T129" s="38" t="s">
        <v>109</v>
      </c>
      <c r="U129" s="56" t="n">
        <v>46368.0129</v>
      </c>
      <c r="V129" s="46" t="n">
        <v>0</v>
      </c>
      <c r="W129" s="38" t="s">
        <v>84</v>
      </c>
      <c r="X129" s="38"/>
      <c r="Y129" s="38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47"/>
      <c r="AW129" s="47"/>
      <c r="AX129" s="47"/>
      <c r="AY129" s="47"/>
      <c r="AZ129" s="47"/>
      <c r="BA129" s="47"/>
      <c r="BB129" s="47"/>
      <c r="BC129" s="47"/>
      <c r="BD129" s="47"/>
      <c r="BE129" s="47"/>
      <c r="BF129" s="47"/>
      <c r="BG129" s="47"/>
      <c r="BH129" s="47"/>
      <c r="BI129" s="47"/>
      <c r="BJ129" s="47"/>
      <c r="BK129" s="47"/>
      <c r="BL129" s="47"/>
      <c r="BM129" s="47"/>
      <c r="BN129" s="47"/>
      <c r="BO129" s="47"/>
      <c r="BP129" s="47"/>
      <c r="BQ129" s="47"/>
      <c r="BR129" s="47"/>
      <c r="BS129" s="47"/>
      <c r="BT129" s="47"/>
      <c r="BU129" s="47"/>
      <c r="BV129" s="47"/>
    </row>
    <row r="130" customFormat="false" ht="15" hidden="false" customHeight="true" outlineLevel="0" collapsed="false">
      <c r="A130" s="36" t="s">
        <v>605</v>
      </c>
      <c r="B130" s="37" t="s">
        <v>606</v>
      </c>
      <c r="C130" s="38"/>
      <c r="D130" s="37" t="s">
        <v>116</v>
      </c>
      <c r="E130" s="39" t="n">
        <v>0</v>
      </c>
      <c r="F130" s="37" t="s">
        <v>600</v>
      </c>
      <c r="G130" s="36" t="n">
        <v>0</v>
      </c>
      <c r="H130" s="36" t="n">
        <v>5</v>
      </c>
      <c r="I130" s="40" t="n">
        <v>46403</v>
      </c>
      <c r="J130" s="40" t="n">
        <v>46403</v>
      </c>
      <c r="K130" s="41"/>
      <c r="L130" s="41"/>
      <c r="M130" s="42"/>
      <c r="N130" s="43" t="n">
        <v>46368</v>
      </c>
      <c r="O130" s="44" t="n">
        <v>46372</v>
      </c>
      <c r="P130" s="45" t="s">
        <v>107</v>
      </c>
      <c r="Q130" s="36" t="n">
        <v>-31</v>
      </c>
      <c r="R130" s="38"/>
      <c r="S130" s="38" t="n">
        <v>1</v>
      </c>
      <c r="T130" s="38" t="s">
        <v>109</v>
      </c>
      <c r="U130" s="56" t="n">
        <v>46368.013</v>
      </c>
      <c r="V130" s="46" t="n">
        <v>0</v>
      </c>
      <c r="W130" s="38" t="s">
        <v>84</v>
      </c>
      <c r="X130" s="38"/>
      <c r="Y130" s="38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47"/>
      <c r="AW130" s="47"/>
      <c r="AX130" s="47"/>
      <c r="AY130" s="47"/>
      <c r="AZ130" s="47"/>
      <c r="BA130" s="47"/>
      <c r="BB130" s="47"/>
      <c r="BC130" s="47"/>
      <c r="BD130" s="47"/>
      <c r="BE130" s="47"/>
      <c r="BF130" s="47"/>
      <c r="BG130" s="47"/>
      <c r="BH130" s="47"/>
      <c r="BI130" s="47"/>
      <c r="BJ130" s="47"/>
      <c r="BK130" s="47"/>
      <c r="BL130" s="47"/>
      <c r="BM130" s="47"/>
      <c r="BN130" s="47"/>
      <c r="BO130" s="47"/>
      <c r="BP130" s="47"/>
      <c r="BQ130" s="47"/>
      <c r="BR130" s="47"/>
      <c r="BS130" s="47"/>
      <c r="BT130" s="47"/>
      <c r="BU130" s="47"/>
      <c r="BV130" s="47"/>
    </row>
    <row r="131" customFormat="false" ht="15" hidden="false" customHeight="true" outlineLevel="0" collapsed="false">
      <c r="A131" s="36" t="s">
        <v>607</v>
      </c>
      <c r="B131" s="38" t="s">
        <v>608</v>
      </c>
      <c r="C131" s="38"/>
      <c r="D131" s="38" t="s">
        <v>77</v>
      </c>
      <c r="E131" s="39" t="n">
        <v>0</v>
      </c>
      <c r="F131" s="37" t="s">
        <v>300</v>
      </c>
      <c r="G131" s="36" t="n">
        <v>0</v>
      </c>
      <c r="H131" s="57" t="n">
        <v>3</v>
      </c>
      <c r="I131" s="40" t="n">
        <v>46437</v>
      </c>
      <c r="J131" s="40" t="n">
        <v>46439</v>
      </c>
      <c r="K131" s="41"/>
      <c r="L131" s="41"/>
      <c r="M131" s="42"/>
      <c r="N131" s="43" t="n">
        <v>46434</v>
      </c>
      <c r="O131" s="44" t="n">
        <v>46436</v>
      </c>
      <c r="P131" s="45" t="s">
        <v>107</v>
      </c>
      <c r="Q131" s="36" t="n">
        <v>-3</v>
      </c>
      <c r="R131" s="38"/>
      <c r="S131" s="38" t="n">
        <v>1</v>
      </c>
      <c r="T131" s="38" t="s">
        <v>109</v>
      </c>
      <c r="U131" s="56" t="n">
        <v>46434.0131</v>
      </c>
      <c r="V131" s="46" t="n">
        <v>0</v>
      </c>
      <c r="W131" s="37" t="s">
        <v>78</v>
      </c>
      <c r="X131" s="38"/>
      <c r="Y131" s="38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  <c r="AQ131" s="47"/>
      <c r="AR131" s="47"/>
      <c r="AS131" s="47"/>
      <c r="AT131" s="47"/>
      <c r="AU131" s="47"/>
      <c r="AV131" s="47"/>
      <c r="AW131" s="47"/>
      <c r="AX131" s="47"/>
      <c r="AY131" s="47"/>
      <c r="AZ131" s="47"/>
      <c r="BA131" s="47"/>
      <c r="BB131" s="47"/>
      <c r="BC131" s="47"/>
      <c r="BD131" s="47"/>
      <c r="BE131" s="47"/>
      <c r="BF131" s="47"/>
      <c r="BG131" s="47"/>
      <c r="BH131" s="47"/>
      <c r="BI131" s="47"/>
      <c r="BJ131" s="47"/>
      <c r="BK131" s="47"/>
      <c r="BL131" s="47"/>
      <c r="BM131" s="47"/>
      <c r="BN131" s="47"/>
      <c r="BO131" s="47"/>
      <c r="BP131" s="47"/>
      <c r="BQ131" s="47"/>
      <c r="BR131" s="47"/>
      <c r="BS131" s="47"/>
      <c r="BT131" s="47"/>
      <c r="BU131" s="47"/>
      <c r="BV131" s="47"/>
    </row>
    <row r="134" customFormat="false" ht="15" hidden="false" customHeight="true" outlineLevel="0" collapsed="false">
      <c r="A134" s="62" t="s">
        <v>609</v>
      </c>
      <c r="D134" s="6" t="s">
        <v>610</v>
      </c>
    </row>
    <row r="135" customFormat="false" ht="15" hidden="false" customHeight="true" outlineLevel="0" collapsed="false">
      <c r="B135" s="63" t="s">
        <v>611</v>
      </c>
      <c r="D135" s="63" t="s">
        <v>612</v>
      </c>
      <c r="E135" s="63" t="s">
        <v>613</v>
      </c>
      <c r="I135" s="64" t="s">
        <v>614</v>
      </c>
      <c r="J135" s="64" t="s">
        <v>615</v>
      </c>
      <c r="K135" s="64" t="s">
        <v>616</v>
      </c>
      <c r="L135" s="64" t="s">
        <v>617</v>
      </c>
      <c r="O135" s="63" t="s">
        <v>618</v>
      </c>
      <c r="P135" s="63" t="s">
        <v>619</v>
      </c>
    </row>
    <row r="136" customFormat="false" ht="15" hidden="false" customHeight="true" outlineLevel="0" collapsed="false">
      <c r="B136" s="65" t="s">
        <v>620</v>
      </c>
      <c r="D136" s="66" t="n">
        <v>0</v>
      </c>
      <c r="E136" s="66" t="n">
        <v>0</v>
      </c>
      <c r="I136" s="67" t="n">
        <v>0</v>
      </c>
      <c r="J136" s="68"/>
      <c r="K136" s="36"/>
      <c r="L136" s="36"/>
      <c r="O136" s="36"/>
      <c r="P136" s="69" t="s">
        <v>621</v>
      </c>
    </row>
    <row r="137" customFormat="false" ht="15" hidden="false" customHeight="true" outlineLevel="0" collapsed="false">
      <c r="B137" s="65" t="s">
        <v>622</v>
      </c>
      <c r="D137" s="66" t="n">
        <v>0</v>
      </c>
      <c r="E137" s="66" t="n">
        <v>0</v>
      </c>
      <c r="I137" s="67" t="n">
        <v>0</v>
      </c>
      <c r="J137" s="68"/>
      <c r="K137" s="36"/>
      <c r="L137" s="36"/>
      <c r="O137" s="36"/>
      <c r="P137" s="69" t="s">
        <v>623</v>
      </c>
    </row>
    <row r="138" customFormat="false" ht="15" hidden="false" customHeight="true" outlineLevel="0" collapsed="false">
      <c r="B138" s="65" t="s">
        <v>624</v>
      </c>
      <c r="D138" s="66" t="n">
        <v>0</v>
      </c>
      <c r="E138" s="66" t="n">
        <v>0</v>
      </c>
      <c r="I138" s="67" t="n">
        <v>0</v>
      </c>
      <c r="J138" s="68"/>
      <c r="K138" s="36"/>
      <c r="L138" s="36"/>
      <c r="O138" s="36"/>
      <c r="P138" s="69" t="s">
        <v>625</v>
      </c>
    </row>
    <row r="139" customFormat="false" ht="15" hidden="false" customHeight="true" outlineLevel="0" collapsed="false">
      <c r="B139" s="65" t="s">
        <v>626</v>
      </c>
      <c r="D139" s="66" t="n">
        <v>0</v>
      </c>
      <c r="E139" s="66" t="n">
        <v>0</v>
      </c>
      <c r="I139" s="67" t="n">
        <v>0</v>
      </c>
      <c r="J139" s="68"/>
      <c r="K139" s="36"/>
      <c r="L139" s="36"/>
      <c r="O139" s="36"/>
      <c r="P139" s="69" t="s">
        <v>627</v>
      </c>
    </row>
    <row r="140" customFormat="false" ht="15" hidden="false" customHeight="true" outlineLevel="0" collapsed="false">
      <c r="B140" s="65" t="s">
        <v>628</v>
      </c>
      <c r="D140" s="66" t="n">
        <v>0</v>
      </c>
      <c r="E140" s="66" t="n">
        <v>0</v>
      </c>
      <c r="I140" s="67" t="n">
        <v>0</v>
      </c>
      <c r="J140" s="68"/>
      <c r="K140" s="36"/>
      <c r="L140" s="36"/>
      <c r="O140" s="36"/>
      <c r="P140" s="69" t="s">
        <v>629</v>
      </c>
    </row>
    <row r="141" customFormat="false" ht="15" hidden="false" customHeight="true" outlineLevel="0" collapsed="false">
      <c r="B141" s="70" t="s">
        <v>630</v>
      </c>
      <c r="D141" s="66" t="n">
        <v>1</v>
      </c>
      <c r="E141" s="66" t="n">
        <v>492</v>
      </c>
      <c r="I141" s="67" t="n">
        <v>280.44</v>
      </c>
      <c r="J141" s="68" t="n">
        <v>0</v>
      </c>
      <c r="K141" s="36" t="s">
        <v>631</v>
      </c>
      <c r="L141" s="36" t="s">
        <v>631</v>
      </c>
      <c r="O141" s="36"/>
      <c r="P141" s="71" t="s">
        <v>632</v>
      </c>
    </row>
    <row r="142" customFormat="false" ht="15" hidden="false" customHeight="true" outlineLevel="0" collapsed="false">
      <c r="B142" s="72" t="s">
        <v>633</v>
      </c>
      <c r="D142" s="73" t="n">
        <v>1</v>
      </c>
      <c r="E142" s="73" t="n">
        <v>492</v>
      </c>
      <c r="I142" s="74" t="n">
        <v>280.44</v>
      </c>
      <c r="J142" s="75" t="n">
        <v>0</v>
      </c>
      <c r="K142" s="76" t="s">
        <v>631</v>
      </c>
      <c r="L142" s="76" t="s">
        <v>631</v>
      </c>
      <c r="O142" s="76"/>
      <c r="P142" s="72"/>
    </row>
    <row r="143" customFormat="false" ht="15" hidden="false" customHeight="true" outlineLevel="0" collapsed="false">
      <c r="B143" s="18" t="s">
        <v>634</v>
      </c>
    </row>
    <row r="145" customFormat="false" ht="15.75" hidden="false" customHeight="true" outlineLevel="0" collapsed="false">
      <c r="A145" s="77" t="s">
        <v>635</v>
      </c>
    </row>
    <row r="146" customFormat="false" ht="15" hidden="false" customHeight="true" outlineLevel="0" collapsed="false">
      <c r="B146" s="16" t="s">
        <v>636</v>
      </c>
      <c r="D146" s="78" t="s">
        <v>637</v>
      </c>
      <c r="E146" s="78"/>
      <c r="F146" s="78"/>
      <c r="G146" s="78"/>
      <c r="H146" s="78"/>
      <c r="I146" s="78"/>
      <c r="J146" s="78"/>
      <c r="K146" s="18" t="s">
        <v>638</v>
      </c>
    </row>
    <row r="147" customFormat="false" ht="15" hidden="false" customHeight="true" outlineLevel="0" collapsed="false">
      <c r="B147" s="79" t="s">
        <v>639</v>
      </c>
      <c r="E147" s="80" t="s">
        <v>640</v>
      </c>
      <c r="I147" s="79" t="s">
        <v>641</v>
      </c>
    </row>
    <row r="148" customFormat="false" ht="24" hidden="false" customHeight="true" outlineLevel="0" collapsed="false">
      <c r="A148" s="81" t="s">
        <v>642</v>
      </c>
      <c r="B148" s="82" t="s">
        <v>643</v>
      </c>
      <c r="E148" s="83" t="n">
        <v>5</v>
      </c>
      <c r="I148" s="61"/>
    </row>
    <row r="149" customFormat="false" ht="24" hidden="false" customHeight="true" outlineLevel="0" collapsed="false">
      <c r="A149" s="81" t="s">
        <v>644</v>
      </c>
      <c r="B149" s="82" t="s">
        <v>645</v>
      </c>
      <c r="E149" s="83" t="n">
        <v>20</v>
      </c>
      <c r="I149" s="61"/>
    </row>
    <row r="150" customFormat="false" ht="24" hidden="false" customHeight="true" outlineLevel="0" collapsed="false">
      <c r="A150" s="81" t="s">
        <v>646</v>
      </c>
      <c r="B150" s="82" t="s">
        <v>647</v>
      </c>
      <c r="E150" s="83" t="n">
        <v>30</v>
      </c>
      <c r="I150" s="61"/>
    </row>
    <row r="151" customFormat="false" ht="24" hidden="false" customHeight="true" outlineLevel="0" collapsed="false">
      <c r="A151" s="81" t="s">
        <v>648</v>
      </c>
      <c r="B151" s="82" t="s">
        <v>649</v>
      </c>
      <c r="E151" s="83" t="n">
        <v>25</v>
      </c>
      <c r="I151" s="61"/>
    </row>
    <row r="152" customFormat="false" ht="24" hidden="false" customHeight="true" outlineLevel="0" collapsed="false">
      <c r="A152" s="81" t="s">
        <v>650</v>
      </c>
      <c r="B152" s="82" t="s">
        <v>651</v>
      </c>
      <c r="E152" s="83" t="n">
        <v>10</v>
      </c>
      <c r="I152" s="61"/>
    </row>
    <row r="153" customFormat="false" ht="24" hidden="false" customHeight="true" outlineLevel="0" collapsed="false">
      <c r="A153" s="81" t="s">
        <v>652</v>
      </c>
      <c r="B153" s="82" t="s">
        <v>653</v>
      </c>
      <c r="E153" s="83" t="n">
        <v>10</v>
      </c>
      <c r="I153" s="61"/>
    </row>
    <row r="154" customFormat="false" ht="15" hidden="false" customHeight="true" outlineLevel="0" collapsed="false">
      <c r="B154" s="84" t="s">
        <v>654</v>
      </c>
      <c r="I154" s="85" t="n">
        <v>0</v>
      </c>
    </row>
  </sheetData>
  <mergeCells count="35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655</v>
      </c>
    </row>
    <row r="2" customFormat="false" ht="15" hidden="false" customHeight="false" outlineLevel="0" collapsed="false">
      <c r="B2" s="87" t="s">
        <v>656</v>
      </c>
      <c r="C2" s="88" t="s">
        <v>657</v>
      </c>
    </row>
    <row r="3" customFormat="false" ht="15" hidden="false" customHeight="false" outlineLevel="0" collapsed="false">
      <c r="B3" s="87" t="s">
        <v>658</v>
      </c>
      <c r="C3" s="88" t="s">
        <v>659</v>
      </c>
    </row>
    <row r="4" customFormat="false" ht="15" hidden="false" customHeight="false" outlineLevel="0" collapsed="false">
      <c r="B4" s="89" t="s">
        <v>660</v>
      </c>
      <c r="C4" s="88" t="s">
        <v>661</v>
      </c>
    </row>
    <row r="5" customFormat="false" ht="15" hidden="false" customHeight="false" outlineLevel="0" collapsed="false">
      <c r="H5" s="90" t="s">
        <v>662</v>
      </c>
      <c r="I5" s="90" t="s">
        <v>663</v>
      </c>
      <c r="J5" s="90"/>
      <c r="K5" s="90"/>
      <c r="L5" s="90"/>
      <c r="M5" s="90"/>
      <c r="N5" s="90" t="s">
        <v>664</v>
      </c>
      <c r="O5" s="90"/>
      <c r="P5" s="90"/>
      <c r="Q5" s="90"/>
      <c r="R5" s="90" t="s">
        <v>665</v>
      </c>
      <c r="S5" s="90"/>
      <c r="T5" s="90"/>
      <c r="U5" s="90"/>
      <c r="V5" s="90" t="s">
        <v>666</v>
      </c>
      <c r="W5" s="90"/>
      <c r="X5" s="90"/>
      <c r="Y5" s="90"/>
      <c r="Z5" s="90" t="s">
        <v>667</v>
      </c>
      <c r="AA5" s="90"/>
      <c r="AB5" s="90"/>
      <c r="AC5" s="90"/>
      <c r="AD5" s="90"/>
      <c r="AE5" s="90" t="s">
        <v>668</v>
      </c>
      <c r="AF5" s="90"/>
      <c r="AG5" s="90"/>
      <c r="AH5" s="90"/>
      <c r="AI5" s="90" t="s">
        <v>669</v>
      </c>
      <c r="AJ5" s="90"/>
      <c r="AK5" s="90"/>
      <c r="AL5" s="90"/>
      <c r="AM5" s="90"/>
      <c r="AN5" s="90" t="s">
        <v>670</v>
      </c>
      <c r="AO5" s="90"/>
      <c r="AP5" s="90"/>
      <c r="AQ5" s="90"/>
      <c r="AR5" s="90" t="s">
        <v>671</v>
      </c>
      <c r="AS5" s="90"/>
      <c r="AT5" s="90"/>
      <c r="AU5" s="90"/>
      <c r="AV5" s="90" t="s">
        <v>672</v>
      </c>
      <c r="AW5" s="90"/>
      <c r="AX5" s="90"/>
      <c r="AY5" s="90"/>
      <c r="AZ5" s="90"/>
      <c r="BA5" s="90" t="s">
        <v>673</v>
      </c>
      <c r="BB5" s="90"/>
      <c r="BC5" s="90"/>
      <c r="BD5" s="90"/>
      <c r="BE5" s="90" t="s">
        <v>674</v>
      </c>
      <c r="BF5" s="90"/>
      <c r="BG5" s="90"/>
      <c r="BH5" s="90"/>
      <c r="BI5" s="90" t="s">
        <v>675</v>
      </c>
      <c r="BJ5" s="90"/>
      <c r="BK5" s="90"/>
      <c r="BL5" s="90"/>
      <c r="BM5" s="90"/>
      <c r="BN5" s="90" t="s">
        <v>676</v>
      </c>
      <c r="BO5" s="90"/>
      <c r="BP5" s="90"/>
      <c r="BQ5" s="90"/>
      <c r="BR5" s="90" t="s">
        <v>677</v>
      </c>
      <c r="BS5" s="90"/>
      <c r="BT5" s="90"/>
      <c r="BU5" s="90"/>
      <c r="BV5" s="90"/>
      <c r="BW5" s="90" t="s">
        <v>678</v>
      </c>
      <c r="BX5" s="90"/>
      <c r="BY5" s="90"/>
    </row>
    <row r="6" customFormat="false" ht="43.5" hidden="false" customHeight="true" outlineLevel="0" collapsed="false">
      <c r="A6" s="91" t="s">
        <v>679</v>
      </c>
      <c r="B6" s="91" t="s">
        <v>680</v>
      </c>
      <c r="C6" s="91" t="s">
        <v>681</v>
      </c>
      <c r="D6" s="91" t="s">
        <v>682</v>
      </c>
      <c r="E6" s="91" t="s">
        <v>683</v>
      </c>
      <c r="F6" s="91" t="s">
        <v>684</v>
      </c>
      <c r="G6" s="91" t="s">
        <v>685</v>
      </c>
      <c r="H6" s="92" t="n">
        <v>46321</v>
      </c>
      <c r="I6" s="92" t="n">
        <v>46328</v>
      </c>
      <c r="J6" s="92" t="n">
        <v>46335</v>
      </c>
      <c r="K6" s="92" t="n">
        <v>46342</v>
      </c>
      <c r="L6" s="92" t="n">
        <v>46349</v>
      </c>
      <c r="M6" s="92" t="n">
        <v>46356</v>
      </c>
      <c r="N6" s="92" t="n">
        <v>46363</v>
      </c>
      <c r="O6" s="92" t="n">
        <v>46370</v>
      </c>
      <c r="P6" s="92" t="n">
        <v>46377</v>
      </c>
      <c r="Q6" s="92" t="n">
        <v>46384</v>
      </c>
      <c r="R6" s="92" t="n">
        <v>46391</v>
      </c>
      <c r="S6" s="92" t="n">
        <v>46398</v>
      </c>
      <c r="T6" s="92" t="n">
        <v>46405</v>
      </c>
      <c r="U6" s="92" t="n">
        <v>46412</v>
      </c>
      <c r="V6" s="92" t="n">
        <v>46419</v>
      </c>
      <c r="W6" s="92" t="n">
        <v>46426</v>
      </c>
      <c r="X6" s="92" t="n">
        <v>46433</v>
      </c>
      <c r="Y6" s="92" t="n">
        <v>46440</v>
      </c>
      <c r="Z6" s="92" t="n">
        <v>46447</v>
      </c>
      <c r="AA6" s="92" t="n">
        <v>46454</v>
      </c>
      <c r="AB6" s="92" t="n">
        <v>46461</v>
      </c>
      <c r="AC6" s="92" t="n">
        <v>46468</v>
      </c>
      <c r="AD6" s="92" t="n">
        <v>46475</v>
      </c>
      <c r="AE6" s="92" t="n">
        <v>46482</v>
      </c>
      <c r="AF6" s="92" t="n">
        <v>46489</v>
      </c>
      <c r="AG6" s="92" t="n">
        <v>46496</v>
      </c>
      <c r="AH6" s="92" t="n">
        <v>46503</v>
      </c>
      <c r="AI6" s="92" t="n">
        <v>46510</v>
      </c>
      <c r="AJ6" s="92" t="n">
        <v>46517</v>
      </c>
      <c r="AK6" s="92" t="n">
        <v>46524</v>
      </c>
      <c r="AL6" s="92" t="n">
        <v>46531</v>
      </c>
      <c r="AM6" s="92" t="n">
        <v>46538</v>
      </c>
      <c r="AN6" s="92" t="n">
        <v>46545</v>
      </c>
      <c r="AO6" s="92" t="n">
        <v>46552</v>
      </c>
      <c r="AP6" s="92" t="n">
        <v>46559</v>
      </c>
      <c r="AQ6" s="92" t="n">
        <v>46566</v>
      </c>
      <c r="AR6" s="92" t="n">
        <v>46573</v>
      </c>
      <c r="AS6" s="92" t="n">
        <v>46580</v>
      </c>
      <c r="AT6" s="92" t="n">
        <v>46587</v>
      </c>
      <c r="AU6" s="92" t="n">
        <v>46594</v>
      </c>
      <c r="AV6" s="92" t="n">
        <v>46601</v>
      </c>
      <c r="AW6" s="92" t="n">
        <v>46608</v>
      </c>
      <c r="AX6" s="92" t="n">
        <v>46615</v>
      </c>
      <c r="AY6" s="92" t="n">
        <v>46622</v>
      </c>
      <c r="AZ6" s="92" t="n">
        <v>46629</v>
      </c>
      <c r="BA6" s="92" t="n">
        <v>46636</v>
      </c>
      <c r="BB6" s="92" t="n">
        <v>46643</v>
      </c>
      <c r="BC6" s="92" t="n">
        <v>46650</v>
      </c>
      <c r="BD6" s="92" t="n">
        <v>46657</v>
      </c>
      <c r="BE6" s="92" t="n">
        <v>46664</v>
      </c>
      <c r="BF6" s="92" t="n">
        <v>46671</v>
      </c>
      <c r="BG6" s="92" t="n">
        <v>46678</v>
      </c>
      <c r="BH6" s="92" t="n">
        <v>46685</v>
      </c>
      <c r="BI6" s="92" t="n">
        <v>46692</v>
      </c>
      <c r="BJ6" s="92" t="n">
        <v>46699</v>
      </c>
      <c r="BK6" s="92" t="n">
        <v>46706</v>
      </c>
      <c r="BL6" s="92" t="n">
        <v>46713</v>
      </c>
      <c r="BM6" s="92" t="n">
        <v>46720</v>
      </c>
      <c r="BN6" s="92" t="n">
        <v>46727</v>
      </c>
      <c r="BO6" s="92" t="n">
        <v>46734</v>
      </c>
      <c r="BP6" s="92" t="n">
        <v>46741</v>
      </c>
      <c r="BQ6" s="92" t="n">
        <v>46748</v>
      </c>
      <c r="BR6" s="92" t="n">
        <v>46755</v>
      </c>
      <c r="BS6" s="92" t="n">
        <v>46762</v>
      </c>
      <c r="BT6" s="92" t="n">
        <v>46769</v>
      </c>
      <c r="BU6" s="92" t="n">
        <v>46776</v>
      </c>
      <c r="BV6" s="92" t="n">
        <v>46783</v>
      </c>
      <c r="BW6" s="92" t="n">
        <v>46790</v>
      </c>
      <c r="BX6" s="92" t="n">
        <v>46797</v>
      </c>
      <c r="BY6" s="92" t="n">
        <v>46804</v>
      </c>
    </row>
    <row r="7" customFormat="false" ht="15" hidden="false" customHeight="false" outlineLevel="0" collapsed="false">
      <c r="A7" s="93"/>
      <c r="B7" s="94" t="s">
        <v>172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173</v>
      </c>
      <c r="B8" s="95" t="s">
        <v>686</v>
      </c>
      <c r="C8" s="95" t="s">
        <v>687</v>
      </c>
      <c r="D8" s="96" t="n">
        <v>0.5</v>
      </c>
      <c r="E8" s="97" t="n">
        <v>46328</v>
      </c>
      <c r="F8" s="97" t="n">
        <v>46328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0.5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688</v>
      </c>
      <c r="D9" s="96"/>
      <c r="E9" s="99"/>
      <c r="F9" s="99"/>
      <c r="G9" s="100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191</v>
      </c>
      <c r="B10" s="95" t="s">
        <v>689</v>
      </c>
      <c r="C10" s="95" t="s">
        <v>687</v>
      </c>
      <c r="D10" s="96" t="n">
        <v>1</v>
      </c>
      <c r="E10" s="97" t="n">
        <v>46335</v>
      </c>
      <c r="F10" s="97" t="n">
        <v>46344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0.7</v>
      </c>
      <c r="K10" s="98" t="n">
        <f aca="false">IF($E10="",0,IF(K$6+6&lt;$E10,0,IF(K$6&gt;$F10,0,$D10*(IF(K$6+6&lt;$F10,K$6+6,$F10)-IF(K$6&gt;$E10,K$6,$E10)+1)/($F10-$E10+1))))</f>
        <v>0.3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688</v>
      </c>
      <c r="D11" s="96"/>
      <c r="E11" s="99"/>
      <c r="F11" s="99"/>
      <c r="G11" s="100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215</v>
      </c>
      <c r="B12" s="95" t="s">
        <v>690</v>
      </c>
      <c r="C12" s="95" t="s">
        <v>687</v>
      </c>
      <c r="D12" s="96" t="n">
        <v>0.5</v>
      </c>
      <c r="E12" s="97" t="n">
        <v>46358</v>
      </c>
      <c r="F12" s="97" t="n">
        <v>46358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0.5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688</v>
      </c>
      <c r="D13" s="96"/>
      <c r="E13" s="99"/>
      <c r="F13" s="99"/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232</v>
      </c>
      <c r="B14" s="95" t="s">
        <v>691</v>
      </c>
      <c r="C14" s="95" t="s">
        <v>687</v>
      </c>
      <c r="D14" s="96" t="n">
        <v>1</v>
      </c>
      <c r="E14" s="97" t="n">
        <v>46335</v>
      </c>
      <c r="F14" s="97" t="n">
        <v>46348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0.5</v>
      </c>
      <c r="K14" s="98" t="n">
        <f aca="false">IF($E14="",0,IF(K$6+6&lt;$E14,0,IF(K$6&gt;$F14,0,$D14*(IF(K$6+6&lt;$F14,K$6+6,$F14)-IF(K$6&gt;$E14,K$6,$E14)+1)/($F14-$E14+1))))</f>
        <v>0.5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688</v>
      </c>
      <c r="D15" s="96"/>
      <c r="E15" s="99"/>
      <c r="F15" s="99"/>
      <c r="G15" s="100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250</v>
      </c>
      <c r="B16" s="95" t="s">
        <v>692</v>
      </c>
      <c r="C16" s="95" t="s">
        <v>687</v>
      </c>
      <c r="D16" s="96" t="n">
        <v>1</v>
      </c>
      <c r="E16" s="97" t="n">
        <v>46391</v>
      </c>
      <c r="F16" s="97" t="n">
        <v>46391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1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688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273</v>
      </c>
      <c r="B18" s="95" t="s">
        <v>693</v>
      </c>
      <c r="C18" s="95" t="s">
        <v>687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688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694</v>
      </c>
      <c r="B20" s="95" t="s">
        <v>695</v>
      </c>
      <c r="C20" s="95" t="s">
        <v>687</v>
      </c>
      <c r="D20" s="96" t="n">
        <v>1</v>
      </c>
      <c r="E20" s="97" t="n">
        <v>46391</v>
      </c>
      <c r="F20" s="97" t="n">
        <v>46436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0.152173913043478</v>
      </c>
      <c r="S20" s="98" t="n">
        <f aca="false">IF($E20="",0,IF(S$6+6&lt;$E20,0,IF(S$6&gt;$F20,0,$D20*(IF(S$6+6&lt;$F20,S$6+6,$F20)-IF(S$6&gt;$E20,S$6,$E20)+1)/($F20-$E20+1))))</f>
        <v>0.152173913043478</v>
      </c>
      <c r="T20" s="98" t="n">
        <f aca="false">IF($E20="",0,IF(T$6+6&lt;$E20,0,IF(T$6&gt;$F20,0,$D20*(IF(T$6+6&lt;$F20,T$6+6,$F20)-IF(T$6&gt;$E20,T$6,$E20)+1)/($F20-$E20+1))))</f>
        <v>0.152173913043478</v>
      </c>
      <c r="U20" s="98" t="n">
        <f aca="false">IF($E20="",0,IF(U$6+6&lt;$E20,0,IF(U$6&gt;$F20,0,$D20*(IF(U$6+6&lt;$F20,U$6+6,$F20)-IF(U$6&gt;$E20,U$6,$E20)+1)/($F20-$E20+1))))</f>
        <v>0.152173913043478</v>
      </c>
      <c r="V20" s="98" t="n">
        <f aca="false">IF($E20="",0,IF(V$6+6&lt;$E20,0,IF(V$6&gt;$F20,0,$D20*(IF(V$6+6&lt;$F20,V$6+6,$F20)-IF(V$6&gt;$E20,V$6,$E20)+1)/($F20-$E20+1))))</f>
        <v>0.152173913043478</v>
      </c>
      <c r="W20" s="98" t="n">
        <f aca="false">IF($E20="",0,IF(W$6+6&lt;$E20,0,IF(W$6&gt;$F20,0,$D20*(IF(W$6+6&lt;$F20,W$6+6,$F20)-IF(W$6&gt;$E20,W$6,$E20)+1)/($F20-$E20+1))))</f>
        <v>0.152173913043478</v>
      </c>
      <c r="X20" s="98" t="n">
        <f aca="false">IF($E20="",0,IF(X$6+6&lt;$E20,0,IF(X$6&gt;$F20,0,$D20*(IF(X$6+6&lt;$F20,X$6+6,$F20)-IF(X$6&gt;$E20,X$6,$E20)+1)/($F20-$E20+1))))</f>
        <v>0.0869565217391304</v>
      </c>
      <c r="Y20" s="98" t="n">
        <f aca="false">IF($E20="",0,IF(Y$6+6&lt;$E20,0,IF(Y$6&gt;$F20,0,$D20*(IF(Y$6+6&lt;$F20,Y$6+6,$F20)-IF(Y$6&gt;$E20,Y$6,$E20)+1)/($F20-$E20+1))))</f>
        <v>0</v>
      </c>
      <c r="Z20" s="98" t="n">
        <f aca="false">IF($E20="",0,IF(Z$6+6&lt;$E20,0,IF(Z$6&gt;$F20,0,$D20*(IF(Z$6+6&lt;$F20,Z$6+6,$F20)-IF(Z$6&gt;$E20,Z$6,$E20)+1)/($F20-$E20+1))))</f>
        <v>0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688</v>
      </c>
      <c r="D21" s="96"/>
      <c r="E21" s="99"/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303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304</v>
      </c>
      <c r="B23" s="95" t="s">
        <v>696</v>
      </c>
      <c r="C23" s="95" t="s">
        <v>687</v>
      </c>
      <c r="D23" s="96" t="n">
        <v>20</v>
      </c>
      <c r="E23" s="97" t="n">
        <v>46361</v>
      </c>
      <c r="F23" s="97" t="n">
        <v>46378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2.22222222222222</v>
      </c>
      <c r="N23" s="98" t="n">
        <f aca="false">IF($E23="",0,IF(N$6+6&lt;$E23,0,IF(N$6&gt;$F23,0,$D23*(IF(N$6+6&lt;$F23,N$6+6,$F23)-IF(N$6&gt;$E23,N$6,$E23)+1)/($F23-$E23+1))))</f>
        <v>7.77777777777778</v>
      </c>
      <c r="O23" s="98" t="n">
        <f aca="false">IF($E23="",0,IF(O$6+6&lt;$E23,0,IF(O$6&gt;$F23,0,$D23*(IF(O$6+6&lt;$F23,O$6+6,$F23)-IF(O$6&gt;$E23,O$6,$E23)+1)/($F23-$E23+1))))</f>
        <v>7.77777777777778</v>
      </c>
      <c r="P23" s="98" t="n">
        <f aca="false">IF($E23="",0,IF(P$6+6&lt;$E23,0,IF(P$6&gt;$F23,0,$D23*(IF(P$6+6&lt;$F23,P$6+6,$F23)-IF(P$6&gt;$E23,P$6,$E23)+1)/($F23-$E23+1))))</f>
        <v>2.22222222222222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688</v>
      </c>
      <c r="D24" s="96"/>
      <c r="E24" s="99"/>
      <c r="F24" s="99"/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341</v>
      </c>
      <c r="B25" s="95" t="s">
        <v>697</v>
      </c>
      <c r="C25" s="95" t="s">
        <v>687</v>
      </c>
      <c r="D25" s="96" t="n">
        <v>10</v>
      </c>
      <c r="E25" s="97" t="n">
        <v>46379</v>
      </c>
      <c r="F25" s="97" t="n">
        <v>46388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5</v>
      </c>
      <c r="Q25" s="98" t="n">
        <f aca="false">IF($E25="",0,IF(Q$6+6&lt;$E25,0,IF(Q$6&gt;$F25,0,$D25*(IF(Q$6+6&lt;$F25,Q$6+6,$F25)-IF(Q$6&gt;$E25,Q$6,$E25)+1)/($F25-$E25+1))))</f>
        <v>5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688</v>
      </c>
      <c r="D26" s="96"/>
      <c r="E26" s="99"/>
      <c r="F26" s="99"/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369</v>
      </c>
      <c r="B27" s="95" t="s">
        <v>698</v>
      </c>
      <c r="C27" s="95" t="s">
        <v>687</v>
      </c>
      <c r="D27" s="96" t="n">
        <v>20</v>
      </c>
      <c r="E27" s="97" t="n">
        <v>46379</v>
      </c>
      <c r="F27" s="97" t="n">
        <v>46388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10</v>
      </c>
      <c r="Q27" s="98" t="n">
        <f aca="false">IF($E27="",0,IF(Q$6+6&lt;$E27,0,IF(Q$6&gt;$F27,0,$D27*(IF(Q$6+6&lt;$F27,Q$6+6,$F27)-IF(Q$6&gt;$E27,Q$6,$E27)+1)/($F27-$E27+1))))</f>
        <v>10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688</v>
      </c>
      <c r="D28" s="96"/>
      <c r="E28" s="99"/>
      <c r="F28" s="99"/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396</v>
      </c>
      <c r="B29" s="95" t="s">
        <v>699</v>
      </c>
      <c r="C29" s="95" t="s">
        <v>687</v>
      </c>
      <c r="D29" s="96" t="n">
        <v>2.5</v>
      </c>
      <c r="E29" s="97" t="n">
        <v>46382</v>
      </c>
      <c r="F29" s="97" t="n">
        <v>46385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1.25</v>
      </c>
      <c r="Q29" s="98" t="n">
        <f aca="false">IF($E29="",0,IF(Q$6+6&lt;$E29,0,IF(Q$6&gt;$F29,0,$D29*(IF(Q$6+6&lt;$F29,Q$6+6,$F29)-IF(Q$6&gt;$E29,Q$6,$E29)+1)/($F29-$E29+1))))</f>
        <v>1.25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688</v>
      </c>
      <c r="D30" s="96"/>
      <c r="E30" s="99"/>
      <c r="F30" s="99"/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409</v>
      </c>
      <c r="B31" s="95" t="s">
        <v>700</v>
      </c>
      <c r="C31" s="95" t="s">
        <v>687</v>
      </c>
      <c r="D31" s="96" t="n">
        <v>15</v>
      </c>
      <c r="E31" s="97" t="n">
        <v>46378</v>
      </c>
      <c r="F31" s="97" t="n">
        <v>46386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10</v>
      </c>
      <c r="Q31" s="98" t="n">
        <f aca="false">IF($E31="",0,IF(Q$6+6&lt;$E31,0,IF(Q$6&gt;$F31,0,$D31*(IF(Q$6+6&lt;$F31,Q$6+6,$F31)-IF(Q$6&gt;$E31,Q$6,$E31)+1)/($F31-$E31+1))))</f>
        <v>5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688</v>
      </c>
      <c r="D32" s="96"/>
      <c r="E32" s="99"/>
      <c r="F32" s="99"/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433</v>
      </c>
      <c r="B33" s="95" t="s">
        <v>701</v>
      </c>
      <c r="C33" s="95" t="s">
        <v>687</v>
      </c>
      <c r="D33" s="96" t="n">
        <v>10</v>
      </c>
      <c r="E33" s="97" t="n">
        <v>46378</v>
      </c>
      <c r="F33" s="97" t="n">
        <v>46387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6</v>
      </c>
      <c r="Q33" s="98" t="n">
        <f aca="false">IF($E33="",0,IF(Q$6+6&lt;$E33,0,IF(Q$6&gt;$F33,0,$D33*(IF(Q$6+6&lt;$F33,Q$6+6,$F33)-IF(Q$6&gt;$E33,Q$6,$E33)+1)/($F33-$E33+1))))</f>
        <v>4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688</v>
      </c>
      <c r="D34" s="96"/>
      <c r="E34" s="99"/>
      <c r="F34" s="99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462</v>
      </c>
      <c r="B35" s="95" t="s">
        <v>702</v>
      </c>
      <c r="C35" s="95" t="s">
        <v>687</v>
      </c>
      <c r="D35" s="96" t="n">
        <v>5</v>
      </c>
      <c r="E35" s="97" t="n">
        <v>46381</v>
      </c>
      <c r="F35" s="97" t="n">
        <v>46387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2.14285714285714</v>
      </c>
      <c r="Q35" s="98" t="n">
        <f aca="false">IF($E35="",0,IF(Q$6+6&lt;$E35,0,IF(Q$6&gt;$F35,0,$D35*(IF(Q$6+6&lt;$F35,Q$6+6,$F35)-IF(Q$6&gt;$E35,Q$6,$E35)+1)/($F35-$E35+1))))</f>
        <v>2.85714285714286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688</v>
      </c>
      <c r="D36" s="96"/>
      <c r="E36" s="99"/>
      <c r="F36" s="99"/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480</v>
      </c>
      <c r="B37" s="95" t="s">
        <v>703</v>
      </c>
      <c r="C37" s="95" t="s">
        <v>687</v>
      </c>
      <c r="D37" s="96" t="n">
        <v>5</v>
      </c>
      <c r="E37" s="97" t="n">
        <v>46383</v>
      </c>
      <c r="F37" s="97" t="n">
        <v>46388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0.833333333333333</v>
      </c>
      <c r="Q37" s="98" t="n">
        <f aca="false">IF($E37="",0,IF(Q$6+6&lt;$E37,0,IF(Q$6&gt;$F37,0,$D37*(IF(Q$6+6&lt;$F37,Q$6+6,$F37)-IF(Q$6&gt;$E37,Q$6,$E37)+1)/($F37-$E37+1))))</f>
        <v>4.16666666666667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688</v>
      </c>
      <c r="D38" s="96"/>
      <c r="E38" s="99"/>
      <c r="F38" s="99"/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513</v>
      </c>
      <c r="B39" s="95" t="s">
        <v>704</v>
      </c>
      <c r="C39" s="95" t="s">
        <v>687</v>
      </c>
      <c r="D39" s="96" t="n">
        <v>2.5</v>
      </c>
      <c r="E39" s="97" t="n">
        <v>46385</v>
      </c>
      <c r="F39" s="97" t="n">
        <v>46389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2.5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688</v>
      </c>
      <c r="D40" s="96"/>
      <c r="E40" s="99"/>
      <c r="F40" s="99"/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705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545</v>
      </c>
      <c r="B42" s="95" t="s">
        <v>706</v>
      </c>
      <c r="C42" s="95" t="s">
        <v>687</v>
      </c>
      <c r="D42" s="96" t="n">
        <v>2.5</v>
      </c>
      <c r="E42" s="97" t="n">
        <v>46391</v>
      </c>
      <c r="F42" s="97" t="n">
        <v>46393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2.5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688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582</v>
      </c>
      <c r="B44" s="95" t="s">
        <v>707</v>
      </c>
      <c r="C44" s="95" t="s">
        <v>687</v>
      </c>
      <c r="D44" s="96" t="n">
        <v>2.5</v>
      </c>
      <c r="E44" s="97" t="n">
        <v>46440</v>
      </c>
      <c r="F44" s="97" t="n">
        <v>46453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1.25</v>
      </c>
      <c r="Z44" s="98" t="n">
        <f aca="false">IF($E44="",0,IF(Z$6+6&lt;$E44,0,IF(Z$6&gt;$F44,0,$D44*(IF(Z$6+6&lt;$F44,Z$6+6,$F44)-IF(Z$6&gt;$E44,Z$6,$E44)+1)/($F44-$E44+1))))</f>
        <v>1.25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688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708</v>
      </c>
      <c r="H47" s="103" t="n">
        <f aca="false">SUMIF($C$7:$C$45,"Plan",H$7:H$45)</f>
        <v>0</v>
      </c>
      <c r="I47" s="103" t="n">
        <f aca="false">SUMIF($C$7:$C$45,"Plan",I$7:I$45)</f>
        <v>0.5</v>
      </c>
      <c r="J47" s="103" t="n">
        <f aca="false">SUMIF($C$7:$C$45,"Plan",J$7:J$45)</f>
        <v>1.2</v>
      </c>
      <c r="K47" s="103" t="n">
        <f aca="false">SUMIF($C$7:$C$45,"Plan",K$7:K$45)</f>
        <v>0.8</v>
      </c>
      <c r="L47" s="103" t="n">
        <f aca="false">SUMIF($C$7:$C$45,"Plan",L$7:L$45)</f>
        <v>0</v>
      </c>
      <c r="M47" s="103" t="n">
        <f aca="false">SUMIF($C$7:$C$45,"Plan",M$7:M$45)</f>
        <v>2.72222222222222</v>
      </c>
      <c r="N47" s="103" t="n">
        <f aca="false">SUMIF($C$7:$C$45,"Plan",N$7:N$45)</f>
        <v>7.77777777777778</v>
      </c>
      <c r="O47" s="103" t="n">
        <f aca="false">SUMIF($C$7:$C$45,"Plan",O$7:O$45)</f>
        <v>7.77777777777778</v>
      </c>
      <c r="P47" s="103" t="n">
        <f aca="false">SUMIF($C$7:$C$45,"Plan",P$7:P$45)</f>
        <v>37.4484126984127</v>
      </c>
      <c r="Q47" s="103" t="n">
        <f aca="false">SUMIF($C$7:$C$45,"Plan",Q$7:Q$45)</f>
        <v>34.7738095238095</v>
      </c>
      <c r="R47" s="103" t="n">
        <f aca="false">SUMIF($C$7:$C$45,"Plan",R$7:R$45)</f>
        <v>3.65217391304348</v>
      </c>
      <c r="S47" s="103" t="n">
        <f aca="false">SUMIF($C$7:$C$45,"Plan",S$7:S$45)</f>
        <v>0.152173913043478</v>
      </c>
      <c r="T47" s="103" t="n">
        <f aca="false">SUMIF($C$7:$C$45,"Plan",T$7:T$45)</f>
        <v>0.152173913043478</v>
      </c>
      <c r="U47" s="103" t="n">
        <f aca="false">SUMIF($C$7:$C$45,"Plan",U$7:U$45)</f>
        <v>0.152173913043478</v>
      </c>
      <c r="V47" s="103" t="n">
        <f aca="false">SUMIF($C$7:$C$45,"Plan",V$7:V$45)</f>
        <v>0.152173913043478</v>
      </c>
      <c r="W47" s="103" t="n">
        <f aca="false">SUMIF($C$7:$C$45,"Plan",W$7:W$45)</f>
        <v>0.152173913043478</v>
      </c>
      <c r="X47" s="103" t="n">
        <f aca="false">SUMIF($C$7:$C$45,"Plan",X$7:X$45)</f>
        <v>0.0869565217391304</v>
      </c>
      <c r="Y47" s="103" t="n">
        <f aca="false">SUMIF($C$7:$C$45,"Plan",Y$7:Y$45)</f>
        <v>1.25</v>
      </c>
      <c r="Z47" s="103" t="n">
        <f aca="false">SUMIF($C$7:$C$45,"Plan",Z$7:Z$45)</f>
        <v>1.25</v>
      </c>
      <c r="AA47" s="103" t="n">
        <f aca="false">SUMIF($C$7:$C$45,"Plan",AA$7:AA$45)</f>
        <v>0</v>
      </c>
      <c r="AB47" s="103" t="n">
        <f aca="false">SUMIF($C$7:$C$45,"Plan",AB$7:AB$45)</f>
        <v>0</v>
      </c>
      <c r="AC47" s="103" t="n">
        <f aca="false">SUMIF($C$7:$C$45,"Plan",AC$7:AC$45)</f>
        <v>0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709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</v>
      </c>
      <c r="P48" s="103" t="n">
        <f aca="false">SUMIF($C$7:$C$45,"Actual",P$7:P$45)</f>
        <v>0</v>
      </c>
      <c r="Q48" s="103" t="n">
        <f aca="false">SUMIF($C$7:$C$45,"Actual",Q$7:Q$45)</f>
        <v>0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</v>
      </c>
      <c r="AC48" s="103" t="n">
        <f aca="false">SUMIF($C$7:$C$45,"Actual",AC$7:AC$45)</f>
        <v>0</v>
      </c>
      <c r="AD48" s="103" t="n">
        <f aca="false">SUMIF($C$7:$C$45,"Actual",AD$7:AD$45)</f>
        <v>0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710</v>
      </c>
      <c r="H49" s="105" t="n">
        <f aca="false">H47</f>
        <v>0</v>
      </c>
      <c r="I49" s="105" t="n">
        <f aca="false">H49+I47</f>
        <v>0.5</v>
      </c>
      <c r="J49" s="105" t="n">
        <f aca="false">I49+J47</f>
        <v>1.7</v>
      </c>
      <c r="K49" s="105" t="n">
        <f aca="false">J49+K47</f>
        <v>2.5</v>
      </c>
      <c r="L49" s="105" t="n">
        <f aca="false">K49+L47</f>
        <v>2.5</v>
      </c>
      <c r="M49" s="105" t="n">
        <f aca="false">L49+M47</f>
        <v>5.22222222222222</v>
      </c>
      <c r="N49" s="105" t="n">
        <f aca="false">M49+N47</f>
        <v>13</v>
      </c>
      <c r="O49" s="105" t="n">
        <f aca="false">N49+O47</f>
        <v>20.7777777777778</v>
      </c>
      <c r="P49" s="105" t="n">
        <f aca="false">O49+P47</f>
        <v>58.2261904761905</v>
      </c>
      <c r="Q49" s="105" t="n">
        <f aca="false">P49+Q47</f>
        <v>93</v>
      </c>
      <c r="R49" s="105" t="n">
        <f aca="false">Q49+R47</f>
        <v>96.6521739130435</v>
      </c>
      <c r="S49" s="105" t="n">
        <f aca="false">R49+S47</f>
        <v>96.804347826087</v>
      </c>
      <c r="T49" s="105" t="n">
        <f aca="false">S49+T47</f>
        <v>96.9565217391305</v>
      </c>
      <c r="U49" s="105" t="n">
        <f aca="false">T49+U47</f>
        <v>97.1086956521739</v>
      </c>
      <c r="V49" s="105" t="n">
        <f aca="false">U49+V47</f>
        <v>97.2608695652174</v>
      </c>
      <c r="W49" s="105" t="n">
        <f aca="false">V49+W47</f>
        <v>97.4130434782609</v>
      </c>
      <c r="X49" s="105" t="n">
        <f aca="false">W49+X47</f>
        <v>97.5</v>
      </c>
      <c r="Y49" s="105" t="n">
        <f aca="false">X49+Y47</f>
        <v>98.75</v>
      </c>
      <c r="Z49" s="105" t="n">
        <f aca="false">Y49+Z47</f>
        <v>100</v>
      </c>
      <c r="AA49" s="105" t="n">
        <f aca="false">Z49+AA47</f>
        <v>100</v>
      </c>
      <c r="AB49" s="105" t="n">
        <f aca="false">AA49+AB47</f>
        <v>100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711</v>
      </c>
      <c r="H50" s="105" t="n">
        <f aca="false">H48</f>
        <v>0</v>
      </c>
      <c r="I50" s="105" t="n">
        <f aca="false">IF(I$6&gt;46328,"",H50+I48)</f>
        <v>0</v>
      </c>
      <c r="J50" s="105" t="str">
        <f aca="false">IF(J$6&gt;46328,"",I50+J48)</f>
        <v/>
      </c>
      <c r="K50" s="105" t="str">
        <f aca="false">IF(K$6&gt;46328,"",J50+K48)</f>
        <v/>
      </c>
      <c r="L50" s="105" t="str">
        <f aca="false">IF(L$6&gt;46328,"",K50+L48)</f>
        <v/>
      </c>
      <c r="M50" s="105" t="str">
        <f aca="false">IF(M$6&gt;46328,"",L50+M48)</f>
        <v/>
      </c>
      <c r="N50" s="105" t="str">
        <f aca="false">IF(N$6&gt;46328,"",M50+N48)</f>
        <v/>
      </c>
      <c r="O50" s="105" t="str">
        <f aca="false">IF(O$6&gt;46328,"",N50+O48)</f>
        <v/>
      </c>
      <c r="P50" s="105" t="str">
        <f aca="false">IF(P$6&gt;46328,"",O50+P48)</f>
        <v/>
      </c>
      <c r="Q50" s="105" t="str">
        <f aca="false">IF(Q$6&gt;46328,"",P50+Q48)</f>
        <v/>
      </c>
      <c r="R50" s="105" t="str">
        <f aca="false">IF(R$6&gt;46328,"",Q50+R48)</f>
        <v/>
      </c>
      <c r="S50" s="105" t="str">
        <f aca="false">IF(S$6&gt;46328,"",R50+S48)</f>
        <v/>
      </c>
      <c r="T50" s="105" t="str">
        <f aca="false">IF(T$6&gt;46328,"",S50+T48)</f>
        <v/>
      </c>
      <c r="U50" s="105" t="str">
        <f aca="false">IF(U$6&gt;46328,"",T50+U48)</f>
        <v/>
      </c>
      <c r="V50" s="105" t="str">
        <f aca="false">IF(V$6&gt;46328,"",U50+V48)</f>
        <v/>
      </c>
      <c r="W50" s="105" t="str">
        <f aca="false">IF(W$6&gt;46328,"",V50+W48)</f>
        <v/>
      </c>
      <c r="X50" s="105" t="str">
        <f aca="false">IF(X$6&gt;46328,"",W50+X48)</f>
        <v/>
      </c>
      <c r="Y50" s="105" t="str">
        <f aca="false">IF(Y$6&gt;46328,"",X50+Y48)</f>
        <v/>
      </c>
      <c r="Z50" s="105" t="str">
        <f aca="false">IF(Z$6&gt;46328,"",Y50+Z48)</f>
        <v/>
      </c>
      <c r="AA50" s="105" t="str">
        <f aca="false">IF(AA$6&gt;46328,"",Z50+AA48)</f>
        <v/>
      </c>
      <c r="AB50" s="105" t="str">
        <f aca="false">IF(AB$6&gt;46328,"",AA50+AB48)</f>
        <v/>
      </c>
      <c r="AC50" s="105" t="str">
        <f aca="false">IF(AC$6&gt;46328,"",AB50+AC48)</f>
        <v/>
      </c>
      <c r="AD50" s="105" t="str">
        <f aca="false">IF(AD$6&gt;46328,"",AC50+AD48)</f>
        <v/>
      </c>
      <c r="AE50" s="105" t="str">
        <f aca="false">IF(AE$6&gt;46328,"",AD50+AE48)</f>
        <v/>
      </c>
      <c r="AF50" s="105" t="str">
        <f aca="false">IF(AF$6&gt;46328,"",AE50+AF48)</f>
        <v/>
      </c>
      <c r="AG50" s="105" t="str">
        <f aca="false">IF(AG$6&gt;46328,"",AF50+AG48)</f>
        <v/>
      </c>
      <c r="AH50" s="105" t="str">
        <f aca="false">IF(AH$6&gt;46328,"",AG50+AH48)</f>
        <v/>
      </c>
      <c r="AI50" s="105" t="str">
        <f aca="false">IF(AI$6&gt;46328,"",AH50+AI48)</f>
        <v/>
      </c>
      <c r="AJ50" s="105" t="str">
        <f aca="false">IF(AJ$6&gt;46328,"",AI50+AJ48)</f>
        <v/>
      </c>
      <c r="AK50" s="105" t="str">
        <f aca="false">IF(AK$6&gt;46328,"",AJ50+AK48)</f>
        <v/>
      </c>
      <c r="AL50" s="105" t="str">
        <f aca="false">IF(AL$6&gt;46328,"",AK50+AL48)</f>
        <v/>
      </c>
      <c r="AM50" s="105" t="str">
        <f aca="false">IF(AM$6&gt;46328,"",AL50+AM48)</f>
        <v/>
      </c>
      <c r="AN50" s="105" t="str">
        <f aca="false">IF(AN$6&gt;46328,"",AM50+AN48)</f>
        <v/>
      </c>
      <c r="AO50" s="105" t="str">
        <f aca="false">IF(AO$6&gt;46328,"",AN50+AO48)</f>
        <v/>
      </c>
      <c r="AP50" s="105" t="str">
        <f aca="false">IF(AP$6&gt;46328,"",AO50+AP48)</f>
        <v/>
      </c>
      <c r="AQ50" s="105" t="str">
        <f aca="false">IF(AQ$6&gt;46328,"",AP50+AQ48)</f>
        <v/>
      </c>
      <c r="AR50" s="105" t="str">
        <f aca="false">IF(AR$6&gt;46328,"",AQ50+AR48)</f>
        <v/>
      </c>
      <c r="AS50" s="105" t="str">
        <f aca="false">IF(AS$6&gt;46328,"",AR50+AS48)</f>
        <v/>
      </c>
      <c r="AT50" s="105" t="str">
        <f aca="false">IF(AT$6&gt;46328,"",AS50+AT48)</f>
        <v/>
      </c>
      <c r="AU50" s="105" t="str">
        <f aca="false">IF(AU$6&gt;46328,"",AT50+AU48)</f>
        <v/>
      </c>
      <c r="AV50" s="105" t="str">
        <f aca="false">IF(AV$6&gt;46328,"",AU50+AV48)</f>
        <v/>
      </c>
      <c r="AW50" s="105" t="str">
        <f aca="false">IF(AW$6&gt;46328,"",AV50+AW48)</f>
        <v/>
      </c>
      <c r="AX50" s="105" t="str">
        <f aca="false">IF(AX$6&gt;46328,"",AW50+AX48)</f>
        <v/>
      </c>
      <c r="AY50" s="105" t="str">
        <f aca="false">IF(AY$6&gt;46328,"",AX50+AY48)</f>
        <v/>
      </c>
      <c r="AZ50" s="105" t="str">
        <f aca="false">IF(AZ$6&gt;46328,"",AY50+AZ48)</f>
        <v/>
      </c>
      <c r="BA50" s="105" t="str">
        <f aca="false">IF(BA$6&gt;46328,"",AZ50+BA48)</f>
        <v/>
      </c>
      <c r="BB50" s="105" t="str">
        <f aca="false">IF(BB$6&gt;46328,"",BA50+BB48)</f>
        <v/>
      </c>
      <c r="BC50" s="105" t="str">
        <f aca="false">IF(BC$6&gt;46328,"",BB50+BC48)</f>
        <v/>
      </c>
      <c r="BD50" s="105" t="str">
        <f aca="false">IF(BD$6&gt;46328,"",BC50+BD48)</f>
        <v/>
      </c>
      <c r="BE50" s="105" t="str">
        <f aca="false">IF(BE$6&gt;46328,"",BD50+BE48)</f>
        <v/>
      </c>
      <c r="BF50" s="105" t="str">
        <f aca="false">IF(BF$6&gt;46328,"",BE50+BF48)</f>
        <v/>
      </c>
      <c r="BG50" s="105" t="str">
        <f aca="false">IF(BG$6&gt;46328,"",BF50+BG48)</f>
        <v/>
      </c>
      <c r="BH50" s="105" t="str">
        <f aca="false">IF(BH$6&gt;46328,"",BG50+BH48)</f>
        <v/>
      </c>
      <c r="BI50" s="105" t="str">
        <f aca="false">IF(BI$6&gt;46328,"",BH50+BI48)</f>
        <v/>
      </c>
      <c r="BJ50" s="105" t="str">
        <f aca="false">IF(BJ$6&gt;46328,"",BI50+BJ48)</f>
        <v/>
      </c>
      <c r="BK50" s="105" t="str">
        <f aca="false">IF(BK$6&gt;46328,"",BJ50+BK48)</f>
        <v/>
      </c>
      <c r="BL50" s="105" t="str">
        <f aca="false">IF(BL$6&gt;46328,"",BK50+BL48)</f>
        <v/>
      </c>
      <c r="BM50" s="105" t="str">
        <f aca="false">IF(BM$6&gt;46328,"",BL50+BM48)</f>
        <v/>
      </c>
      <c r="BN50" s="105" t="str">
        <f aca="false">IF(BN$6&gt;46328,"",BM50+BN48)</f>
        <v/>
      </c>
      <c r="BO50" s="105" t="str">
        <f aca="false">IF(BO$6&gt;46328,"",BN50+BO48)</f>
        <v/>
      </c>
      <c r="BP50" s="105" t="str">
        <f aca="false">IF(BP$6&gt;46328,"",BO50+BP48)</f>
        <v/>
      </c>
      <c r="BQ50" s="105" t="str">
        <f aca="false">IF(BQ$6&gt;46328,"",BP50+BQ48)</f>
        <v/>
      </c>
      <c r="BR50" s="105" t="str">
        <f aca="false">IF(BR$6&gt;46328,"",BQ50+BR48)</f>
        <v/>
      </c>
      <c r="BS50" s="105" t="str">
        <f aca="false">IF(BS$6&gt;46328,"",BR50+BS48)</f>
        <v/>
      </c>
      <c r="BT50" s="105" t="str">
        <f aca="false">IF(BT$6&gt;46328,"",BS50+BT48)</f>
        <v/>
      </c>
      <c r="BU50" s="105" t="str">
        <f aca="false">IF(BU$6&gt;46328,"",BT50+BU48)</f>
        <v/>
      </c>
      <c r="BV50" s="105" t="str">
        <f aca="false">IF(BV$6&gt;46328,"",BU50+BV48)</f>
        <v/>
      </c>
      <c r="BW50" s="105" t="str">
        <f aca="false">IF(BW$6&gt;46328,"",BV50+BW48)</f>
        <v/>
      </c>
      <c r="BX50" s="105" t="str">
        <f aca="false">IF(BX$6&gt;46328,"",BW50+BX48)</f>
        <v/>
      </c>
      <c r="BY50" s="105" t="str">
        <f aca="false">IF(BY$6&gt;46328,"",BX50+BY48)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2026-10-25T16:13:58Z</dcterms:created>
  <dc:creator>openpyxl</dc:creator>
  <dc:description/>
  <dc:language>en-US</dc:language>
  <cp:lastModifiedBy/>
  <dcterms:modified xsi:type="dcterms:W3CDTF">2026-10-25T23:15:06Z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