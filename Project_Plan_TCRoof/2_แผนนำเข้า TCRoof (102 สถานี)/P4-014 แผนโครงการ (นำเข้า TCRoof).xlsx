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<sst xmlns="http://schemas.openxmlformats.org/spreadsheetml/2006/main" count="1310" uniqueCount="670">
  <si>
    <t xml:space="preserve">แผนโครงการ P4-014 – โรงสูบน้ำแรงต่ำรวมสำนักงานประปาอ่างทอง 147.06 kWp</t>
  </si>
  <si>
    <t xml:space="preserve">กปภ.สาขาอ่างทอง, ภาคเหนือ-กลาง, กฟภ. เขต ก.1, Inverter 125 kW (ไม่ต้อง พค.2), Zero export LV, คำขอ PPIM1A50659C, วิศวกร เก้า, Admin กิ่ง,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</si>
  <si>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</si>
  <si>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</si>
  <si>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</si>
  <si>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</si>
  <si>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</si>
  <si>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</si>
  <si>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</si>
  <si>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</si>
  <si>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</si>
  <si>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</si>
  <si>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</si>
  <si>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</si>
  <si>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</si>
  <si>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</si>
  <si>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</si>
  <si>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</si>
  <si>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</si>
  <si>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</si>
  <si>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</si>
  <si>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</si>
  <si>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</si>
  <si>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</si>
  <si>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</si>
  <si>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</si>
  <si>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</si>
  <si>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</si>
  <si>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แบบ As-built + รายการคำนวณ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</si>
  <si>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</si>
  <si>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</si>
  <si>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</si>
  <si>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</si>
  <si>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</si>
  <si>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</si>
  <si>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</si>
  <si>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</si>
  <si>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</si>
  <si>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</si>
  <si>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</si>
  <si>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</si>
  <si>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</si>
  <si>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</si>
  <si>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</si>
  <si>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</si>
  <si>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</si>
  <si>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</si>
  <si>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</si>
  <si>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</si>
  <si>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</si>
  <si>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</si>
  <si>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</si>
  <si>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</si>
  <si>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</si>
  <si>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</si>
  <si>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</si>
  <si>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</si>
  <si>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</si>
  <si>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</si>
  <si>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</si>
  <si>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</si>
  <si>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</si>
  <si>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</si>
  <si>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</si>
  <si>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</si>
  <si>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</si>
  <si>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</si>
  <si>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</si>
  <si>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</si>
  <si>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</si>
  <si>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</si>
  <si>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</si>
  <si>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</si>
  <si>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</si>
  <si>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</si>
  <si>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</si>
  <si>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</si>
  <si>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</si>
  <si>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</si>
  <si>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</si>
  <si>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</si>
  <si>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</si>
  <si>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</si>
  <si>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</si>
  <si>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</si>
  <si>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</si>
  <si>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</si>
  <si>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</si>
  <si>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</si>
  <si>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</si>
  <si>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</si>
  <si>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</si>
  <si>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</si>
  <si>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</si>
  <si>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</si>
  <si>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</si>
  <si>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</si>
  <si>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</si>
  <si>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</si>
  <si>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</si>
  <si>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</si>
  <si>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</si>
  <si>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</si>
  <si>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</si>
  <si>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</si>
  <si>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</si>
  <si>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</si>
  <si>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</si>
  <si>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</si>
  <si>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</si>
  <si>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</si>
  <si>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</si>
  <si>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</si>
  <si>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</si>
  <si>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</si>
  <si>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</si>
  <si>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</si>
  <si>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</si>
  <si>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</si>
  <si>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</si>
  <si>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</si>
  <si>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</si>
  <si>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</si>
  <si>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</si>
  <si>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</si>
  <si>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</si>
  <si>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</si>
  <si>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</si>
  <si>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</si>
  <si>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</si>
  <si>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</si>
  <si>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</si>
  <si>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</si>
  <si>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</si>
  <si>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</si>
  <si>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</si>
  <si>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</si>
  <si>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</si>
  <si>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</si>
  <si>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</si>
  <si>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</si>
  <si>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</si>
  <si>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</si>
  <si>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</si>
  <si>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WBS'!L1966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</si>
  <si>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</si>
  <si>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</si>
  <si>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</si>
  <si>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</si>
  <si>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</si>
  <si>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</si>
  <si>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</si>
  <si>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</si>
  <si>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WBS'!L1967</t>
    </r>
  </si>
  <si>
    <t xml:space="preserve">0.3</t>
  </si>
  <si>
    <t xml:space="preserve">หนังสือแจ้งขอดับไฟ</t>
  </si>
  <si>
    <t xml:space="preserve">TC-PML-2026-414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</si>
  <si>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</si>
  <si>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</si>
  <si>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</si>
  <si>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</si>
  <si>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</si>
  <si>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</si>
  <si>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</si>
  <si>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</si>
  <si>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</si>
  <si>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</si>
  <si>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</si>
  <si>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</si>
  <si>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</si>
  <si>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</si>
  <si>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</si>
  <si>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</si>
  <si>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</si>
  <si>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</si>
  <si>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</si>
  <si>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</si>
  <si>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</si>
  <si>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</si>
  <si>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</si>
  <si>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</si>
  <si>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</si>
  <si>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</si>
  <si>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</si>
  <si>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</si>
  <si>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</si>
  <si>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</si>
  <si>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</si>
  <si>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</si>
  <si>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</si>
  <si>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</si>
  <si>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</si>
  <si>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</si>
  <si>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</si>
  <si>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</si>
  <si>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</si>
  <si>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</si>
  <si>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</si>
  <si>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</si>
  <si>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</si>
  <si>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</si>
  <si>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</si>
  <si>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</si>
  <si>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</si>
  <si>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</si>
  <si>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</si>
  <si>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</si>
  <si>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</si>
  <si>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</si>
  <si>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</si>
  <si>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</si>
  <si>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</si>
  <si>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</si>
  <si>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</si>
  <si>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</si>
  <si>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</si>
  <si>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</si>
  <si>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</si>
  <si>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</si>
  <si>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</si>
  <si>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</si>
  <si>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</si>
  <si>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</si>
  <si>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</si>
  <si>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</si>
  <si>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</si>
  <si>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</si>
  <si>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</si>
  <si>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</si>
  <si>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</si>
  <si>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</si>
  <si>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</si>
  <si>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</si>
  <si>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</si>
  <si>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</si>
  <si>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</si>
  <si>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</si>
  <si>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</si>
  <si>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</si>
  <si>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</si>
  <si>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</si>
  <si>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</si>
  <si>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</si>
  <si>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</si>
  <si>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</si>
  <si>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</si>
  <si>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</si>
  <si>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</si>
  <si>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</si>
  <si>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</si>
  <si>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</si>
  <si>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</si>
  <si>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</si>
  <si>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</si>
  <si>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</si>
  <si>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</si>
  <si>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</si>
  <si>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</si>
  <si>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</si>
  <si>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</si>
  <si>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</si>
  <si>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</si>
  <si>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</si>
  <si>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</si>
  <si>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</si>
  <si>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</si>
  <si>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</si>
  <si>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</si>
  <si>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</si>
  <si>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</si>
  <si>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</si>
  <si>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</si>
  <si>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WBS'!L1985</t>
    </r>
  </si>
  <si>
    <t xml:space="preserve">1.7.1</t>
  </si>
  <si>
    <t xml:space="preserve">คำขอขนานไฟ PPIM (ชุด 11 ไฟล์)</t>
  </si>
  <si>
    <t xml:space="preserve">PPIM1A50659C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</si>
  <si>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</si>
  <si>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</si>
  <si>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</si>
  <si>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</si>
  <si>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</si>
  <si>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</si>
  <si>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</si>
  <si>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</si>
  <si>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</si>
  <si>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</si>
  <si>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</si>
  <si>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</si>
  <si>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</si>
  <si>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</si>
  <si>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</si>
  <si>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</si>
  <si>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</si>
  <si>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</si>
  <si>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</si>
  <si>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</si>
  <si>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</si>
  <si>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</si>
  <si>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</si>
  <si>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</si>
  <si>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</si>
  <si>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</si>
  <si>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</si>
  <si>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</si>
  <si>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</si>
  <si>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</si>
  <si>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</si>
  <si>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</si>
  <si>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</si>
  <si>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</si>
  <si>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</si>
  <si>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</si>
  <si>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</si>
  <si>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</si>
  <si>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</si>
  <si>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</si>
  <si>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</si>
  <si>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</si>
  <si>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</si>
  <si>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</si>
  <si>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</si>
  <si>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</si>
  <si>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</si>
  <si>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</si>
  <si>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</si>
  <si>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</si>
  <si>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</si>
  <si>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</si>
  <si>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</si>
  <si>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</si>
  <si>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</si>
  <si>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</si>
  <si>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</si>
  <si>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</si>
  <si>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</si>
  <si>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</si>
  <si>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</si>
  <si>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</si>
  <si>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</si>
  <si>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</si>
  <si>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</si>
  <si>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</si>
  <si>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</si>
  <si>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</si>
  <si>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</si>
  <si>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</si>
  <si>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</si>
  <si>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</si>
  <si>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</si>
  <si>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</si>
  <si>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</si>
  <si>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</si>
  <si>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</si>
  <si>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</si>
  <si>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</si>
  <si>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</si>
  <si>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</si>
  <si>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</si>
  <si>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</si>
  <si>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</si>
  <si>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</si>
  <si>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</si>
  <si>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</si>
  <si>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</si>
  <si>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</si>
  <si>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</si>
  <si>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</si>
  <si>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</si>
  <si>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</si>
  <si>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</si>
  <si>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</si>
  <si>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</si>
  <si>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</si>
  <si>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</si>
  <si>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</si>
  <si>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</si>
  <si>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</si>
  <si>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</si>
  <si>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</si>
  <si>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</si>
  <si>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</si>
  <si>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</si>
  <si>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</si>
  <si>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</si>
  <si>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</si>
  <si>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</si>
  <si>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</si>
  <si>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</si>
  <si>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</si>
  <si>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</si>
  <si>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</si>
  <si>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WBS'!L2004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</si>
  <si>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</si>
  <si>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</si>
  <si>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</si>
  <si>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</si>
  <si>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</si>
  <si>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</si>
  <si>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</si>
  <si>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</si>
  <si>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</si>
  <si>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</si>
  <si>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</si>
  <si>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</si>
  <si>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</si>
  <si>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</si>
  <si>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</si>
  <si>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</si>
  <si>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</si>
  <si>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</si>
  <si>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</si>
  <si>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</si>
  <si>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</si>
  <si>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</si>
  <si>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</si>
  <si>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</si>
  <si>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</si>
  <si>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</si>
  <si>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</si>
  <si>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</si>
  <si>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</si>
  <si>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</si>
  <si>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</si>
  <si>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</si>
  <si>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</si>
  <si>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</si>
  <si>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</si>
  <si>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</si>
  <si>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</si>
  <si>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</si>
  <si>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</si>
  <si>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</si>
  <si>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</si>
  <si>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</si>
  <si>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</si>
  <si>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</si>
  <si>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</si>
  <si>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</si>
  <si>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</si>
  <si>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</si>
  <si>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</si>
  <si>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</si>
  <si>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</si>
  <si>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</si>
  <si>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</si>
  <si>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</si>
  <si>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</si>
  <si>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</si>
  <si>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</si>
  <si>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</si>
  <si>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</si>
  <si>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</si>
  <si>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</si>
  <si>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</si>
  <si>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</si>
  <si>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</si>
  <si>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</si>
  <si>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</si>
  <si>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</si>
  <si>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</si>
  <si>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</si>
  <si>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</si>
  <si>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</si>
  <si>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</si>
  <si>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</si>
  <si>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</si>
  <si>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</si>
  <si>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</si>
  <si>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</si>
  <si>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</si>
  <si>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</si>
  <si>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</si>
  <si>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</si>
  <si>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</si>
  <si>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</si>
  <si>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</si>
  <si>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</si>
  <si>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</si>
  <si>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</si>
  <si>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</si>
  <si>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</si>
  <si>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</si>
  <si>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</si>
  <si>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</si>
  <si>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</si>
  <si>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</si>
  <si>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</si>
  <si>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</si>
  <si>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</si>
  <si>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</si>
  <si>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</si>
  <si>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</si>
  <si>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WBS'!L2023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</si>
  <si>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</si>
  <si>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</si>
  <si>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8/8/69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</si>
  <si>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</si>
  <si>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</si>
  <si>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</si>
  <si>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</si>
  <si>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</si>
  <si>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</si>
  <si>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</si>
  <si>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</si>
  <si>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</si>
  <si>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</si>
  <si>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</si>
  <si>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</si>
  <si>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</si>
  <si>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</si>
  <si>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</si>
  <si>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</si>
  <si>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</si>
  <si>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</si>
  <si>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</si>
  <si>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</si>
  <si>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</si>
  <si>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</si>
  <si>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</si>
  <si>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</si>
  <si>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</si>
  <si>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</si>
  <si>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</si>
  <si>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</si>
  <si>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</si>
  <si>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</si>
  <si>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</si>
  <si>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</si>
  <si>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</si>
  <si>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</si>
  <si>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</si>
  <si>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</si>
  <si>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</si>
  <si>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</si>
  <si>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</si>
  <si>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</si>
  <si>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</si>
  <si>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</si>
  <si>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</si>
  <si>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</si>
  <si>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</si>
  <si>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</si>
  <si>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</si>
  <si>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</si>
  <si>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</si>
  <si>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</si>
  <si>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</si>
  <si>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</si>
  <si>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</si>
  <si>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</si>
  <si>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</si>
  <si>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</si>
  <si>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</si>
  <si>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</si>
  <si>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</si>
  <si>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</si>
  <si>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</si>
  <si>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</si>
  <si>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</si>
  <si>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</si>
  <si>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</si>
  <si>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</si>
  <si>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</si>
  <si>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</si>
  <si>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</si>
  <si>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</si>
  <si>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</si>
  <si>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</si>
  <si>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</si>
  <si>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</si>
  <si>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</si>
  <si>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</si>
  <si>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</si>
  <si>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</si>
  <si>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</si>
  <si>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</si>
  <si>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</si>
  <si>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</si>
  <si>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</si>
  <si>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</si>
  <si>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</si>
  <si>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</si>
  <si>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</si>
  <si>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</si>
  <si>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</si>
  <si>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</si>
  <si>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</si>
  <si>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</si>
  <si>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</si>
  <si>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</si>
  <si>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</si>
  <si>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</si>
  <si>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</si>
  <si>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</si>
  <si>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</si>
  <si>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</si>
  <si>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</si>
  <si>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</si>
  <si>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</si>
  <si>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</si>
  <si>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</si>
  <si>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</si>
  <si>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</si>
  <si>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</si>
  <si>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</si>
  <si>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</si>
  <si>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</si>
  <si>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</si>
  <si>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</si>
  <si>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</si>
  <si>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</si>
  <si>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</si>
  <si>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</si>
  <si>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</si>
  <si>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</si>
  <si>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โรงสูบน้ำแรงต่ำรวมสำนักงานประปาอ่างทอง การประปาส่วนภูมิภาคสาขาอ่างทอง ขนาดกำลังผลิต </t>
    </r>
    <r>
      <rPr>
        <sz val="10"/>
        <rFont val="Tahoma"/>
        <family val="0"/>
        <charset val="1"/>
      </rPr>
      <t xml:space="preserve">147.06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</si>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</sst>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3.5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46.0001</c:v>
                </c:pt>
                <c:pt idx="11">
                  <c:v>93.5001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874846"/>
        <c:axId val="28207500"/>
      </c:lineChart>
      <c:catAx>
        <c:axId val="5187484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07500"/>
        <c:crosses val="autoZero"/>
        <c:auto val="1"/>
        <c:lblAlgn val="ctr"/>
        <c:lblOffset val="100"/>
        <c:noMultiLvlLbl val="0"/>
      </c:catAx>
      <c:valAx>
        <c:axId val="28207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748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118</v>
      </c>
      <c r="M4" s="12"/>
      <c r="N4" s="12" t="n">
        <v>65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46182</v>
      </c>
      <c r="O8" s="33" t="n">
        <v>46398</v>
      </c>
      <c r="P8" s="34" t="s">
        <v>75</v>
      </c>
      <c r="Q8" s="31" t="n">
        <v>89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46182</v>
      </c>
      <c r="O9" s="45" t="n">
        <v>46398</v>
      </c>
      <c r="P9" s="46" t="s">
        <v>75</v>
      </c>
      <c r="Q9" s="37" t="n">
        <v>89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46182</v>
      </c>
      <c r="O10" s="55" t="n">
        <v>46204</v>
      </c>
      <c r="P10" s="50" t="s">
        <v>75</v>
      </c>
      <c r="Q10" s="52" t="n">
        <v>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46182</v>
      </c>
      <c r="O11" s="55" t="n">
        <v>46204</v>
      </c>
      <c r="P11" s="50" t="s">
        <v>75</v>
      </c>
      <c r="Q11" s="52" t="n">
        <v>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46182</v>
      </c>
      <c r="O12" s="55" t="n">
        <v>46204</v>
      </c>
      <c r="P12" s="50" t="s">
        <v>75</v>
      </c>
      <c r="Q12" s="52" t="n">
        <v>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46182</v>
      </c>
      <c r="O13" s="55" t="n">
        <v>46214</v>
      </c>
      <c r="P13" s="50" t="s">
        <v>75</v>
      </c>
      <c r="Q13" s="52" t="n">
        <v>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46204</v>
      </c>
      <c r="O14" s="55" t="n">
        <v>46398</v>
      </c>
      <c r="P14" s="50" t="s">
        <v>75</v>
      </c>
      <c r="Q14" s="52" t="n">
        <v>89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46204</v>
      </c>
      <c r="O15" s="55" t="n">
        <v>46398</v>
      </c>
      <c r="P15" s="50" t="s">
        <v>75</v>
      </c>
      <c r="Q15" s="52" t="n">
        <v>89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153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46219</v>
      </c>
      <c r="M25" s="43"/>
      <c r="N25" s="44" t="n">
        <v>46219</v>
      </c>
      <c r="O25" s="45" t="n">
        <v>46219</v>
      </c>
      <c r="P25" s="46" t="s">
        <v>60</v>
      </c>
      <c r="Q25" s="37" t="n">
        <v>11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164</v>
      </c>
      <c r="N26" s="55" t="n">
        <v>46219</v>
      </c>
      <c r="O26" s="55" t="n">
        <v>46219</v>
      </c>
      <c r="P26" s="50" t="s">
        <v>124</v>
      </c>
      <c r="Q26" s="52" t="n">
        <v>11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168</v>
      </c>
      <c r="N27" s="55" t="n">
        <v>46219</v>
      </c>
      <c r="O27" s="55" t="n">
        <v>46219</v>
      </c>
      <c r="P27" s="50" t="s">
        <v>124</v>
      </c>
      <c r="Q27" s="52" t="n">
        <v>11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172</v>
      </c>
      <c r="N28" s="55" t="n">
        <v>46219</v>
      </c>
      <c r="O28" s="55" t="n">
        <v>46219</v>
      </c>
      <c r="P28" s="50" t="s">
        <v>124</v>
      </c>
      <c r="Q28" s="52" t="n">
        <v>11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46182</v>
      </c>
      <c r="O29" s="33" t="n">
        <v>46357</v>
      </c>
      <c r="P29" s="34" t="s">
        <v>75</v>
      </c>
      <c r="Q29" s="31" t="n">
        <v>65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46182</v>
      </c>
      <c r="O30" s="45" t="n">
        <v>46182</v>
      </c>
      <c r="P30" s="46" t="s">
        <v>115</v>
      </c>
      <c r="Q30" s="37" t="n">
        <v>-2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182</v>
      </c>
      <c r="N31" s="55" t="n">
        <v>46182</v>
      </c>
      <c r="O31" s="55" t="n">
        <v>46182</v>
      </c>
      <c r="P31" s="50" t="s">
        <v>124</v>
      </c>
      <c r="Q31" s="52" t="n">
        <v>-2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186</v>
      </c>
      <c r="N32" s="55" t="n">
        <v>46182</v>
      </c>
      <c r="O32" s="55" t="n">
        <v>46182</v>
      </c>
      <c r="P32" s="50" t="s">
        <v>124</v>
      </c>
      <c r="Q32" s="52" t="n">
        <v>-2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190</v>
      </c>
      <c r="N33" s="55" t="n">
        <v>46182</v>
      </c>
      <c r="O33" s="55" t="n">
        <v>46182</v>
      </c>
      <c r="P33" s="50" t="s">
        <v>124</v>
      </c>
      <c r="Q33" s="52" t="n">
        <v>-2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46188</v>
      </c>
      <c r="O34" s="45" t="n">
        <v>46197</v>
      </c>
      <c r="P34" s="46" t="s">
        <v>115</v>
      </c>
      <c r="Q34" s="37" t="n">
        <v>-3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198</v>
      </c>
      <c r="N35" s="55" t="n">
        <v>46188</v>
      </c>
      <c r="O35" s="55" t="n">
        <v>46193</v>
      </c>
      <c r="P35" s="50" t="s">
        <v>124</v>
      </c>
      <c r="Q35" s="52" t="n">
        <v>-2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202</v>
      </c>
      <c r="N36" s="55" t="n">
        <v>46188</v>
      </c>
      <c r="O36" s="55" t="n">
        <v>46193</v>
      </c>
      <c r="P36" s="50" t="s">
        <v>124</v>
      </c>
      <c r="Q36" s="52" t="n">
        <v>-3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206</v>
      </c>
      <c r="N37" s="55" t="n">
        <v>46191</v>
      </c>
      <c r="O37" s="55" t="n">
        <v>46194</v>
      </c>
      <c r="P37" s="50" t="s">
        <v>124</v>
      </c>
      <c r="Q37" s="52" t="n">
        <v>-3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210</v>
      </c>
      <c r="N38" s="55" t="n">
        <v>46193</v>
      </c>
      <c r="O38" s="55" t="n">
        <v>46197</v>
      </c>
      <c r="P38" s="50" t="s">
        <v>124</v>
      </c>
      <c r="Q38" s="52" t="n">
        <v>-3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46207</v>
      </c>
      <c r="O39" s="45" t="n">
        <v>46207</v>
      </c>
      <c r="P39" s="46" t="s">
        <v>115</v>
      </c>
      <c r="Q39" s="37" t="n">
        <v>-7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218</v>
      </c>
      <c r="N40" s="55" t="n">
        <v>46207</v>
      </c>
      <c r="O40" s="55" t="n">
        <v>46207</v>
      </c>
      <c r="P40" s="50" t="s">
        <v>124</v>
      </c>
      <c r="Q40" s="52" t="n">
        <v>-7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222</v>
      </c>
      <c r="N41" s="55" t="n">
        <v>46207</v>
      </c>
      <c r="O41" s="55" t="n">
        <v>46207</v>
      </c>
      <c r="P41" s="50" t="s">
        <v>124</v>
      </c>
      <c r="Q41" s="52" t="n">
        <v>-7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226</v>
      </c>
      <c r="N42" s="55" t="n">
        <v>46207</v>
      </c>
      <c r="O42" s="55" t="n">
        <v>46207</v>
      </c>
      <c r="P42" s="50" t="s">
        <v>124</v>
      </c>
      <c r="Q42" s="52" t="n">
        <v>-7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46189</v>
      </c>
      <c r="O43" s="45" t="n">
        <v>46202</v>
      </c>
      <c r="P43" s="46" t="s">
        <v>115</v>
      </c>
      <c r="Q43" s="37" t="n">
        <v>-2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235</v>
      </c>
      <c r="N44" s="55" t="n">
        <v>46189</v>
      </c>
      <c r="O44" s="55" t="n">
        <v>46192</v>
      </c>
      <c r="P44" s="50" t="s">
        <v>124</v>
      </c>
      <c r="Q44" s="52" t="n">
        <v>-2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239</v>
      </c>
      <c r="N45" s="55" t="n">
        <v>46190</v>
      </c>
      <c r="O45" s="55" t="n">
        <v>46196</v>
      </c>
      <c r="P45" s="50" t="s">
        <v>124</v>
      </c>
      <c r="Q45" s="52" t="n">
        <v>-1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243</v>
      </c>
      <c r="N46" s="55" t="n">
        <v>46196</v>
      </c>
      <c r="O46" s="55" t="n">
        <v>46202</v>
      </c>
      <c r="P46" s="50" t="s">
        <v>124</v>
      </c>
      <c r="Q46" s="52" t="n">
        <v>-2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13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46248</v>
      </c>
      <c r="J57" s="41" t="n">
        <v>46268</v>
      </c>
      <c r="K57" s="42" t="n">
        <v>46260</v>
      </c>
      <c r="L57" s="42"/>
      <c r="M57" s="43" t="s">
        <v>114</v>
      </c>
      <c r="N57" s="44" t="n">
        <v>46260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38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46316</v>
      </c>
      <c r="O60" s="59" t="n">
        <v>46357</v>
      </c>
      <c r="P60" s="46" t="s">
        <v>293</v>
      </c>
      <c r="Q60" s="37" t="n">
        <v>65</v>
      </c>
      <c r="R60" s="39"/>
      <c r="S60" s="39" t="n">
        <v>1</v>
      </c>
      <c r="T60" s="39" t="s">
        <v>294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46220</v>
      </c>
      <c r="O61" s="33" t="n">
        <v>46242</v>
      </c>
      <c r="P61" s="34" t="s">
        <v>60</v>
      </c>
      <c r="Q61" s="31" t="n">
        <v>-4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15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46220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307</v>
      </c>
      <c r="N63" s="55" t="n">
        <v>46220</v>
      </c>
      <c r="O63" s="55" t="n">
        <v>46221</v>
      </c>
      <c r="P63" s="50" t="s">
        <v>124</v>
      </c>
      <c r="Q63" s="52" t="n">
        <v>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311</v>
      </c>
      <c r="N64" s="55" t="n">
        <v>46220</v>
      </c>
      <c r="O64" s="55" t="n">
        <v>46223</v>
      </c>
      <c r="P64" s="50" t="s">
        <v>124</v>
      </c>
      <c r="Q64" s="52" t="n">
        <v>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315</v>
      </c>
      <c r="N65" s="55" t="n">
        <v>46221</v>
      </c>
      <c r="O65" s="55" t="n">
        <v>46227</v>
      </c>
      <c r="P65" s="50" t="s">
        <v>124</v>
      </c>
      <c r="Q65" s="52" t="n">
        <v>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319</v>
      </c>
      <c r="N66" s="55" t="n">
        <v>46226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323</v>
      </c>
      <c r="N67" s="55" t="n">
        <v>46228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327</v>
      </c>
      <c r="N68" s="55" t="n">
        <v>46231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331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46236</v>
      </c>
      <c r="O70" s="45" t="n">
        <v>46239</v>
      </c>
      <c r="P70" s="46" t="s">
        <v>115</v>
      </c>
      <c r="Q70" s="37" t="n">
        <v>-5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339</v>
      </c>
      <c r="N71" s="55" t="n">
        <v>46236</v>
      </c>
      <c r="O71" s="55" t="n">
        <v>46237</v>
      </c>
      <c r="P71" s="50" t="s">
        <v>124</v>
      </c>
      <c r="Q71" s="52" t="n">
        <v>-2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343</v>
      </c>
      <c r="N72" s="55" t="n">
        <v>46237</v>
      </c>
      <c r="O72" s="55" t="n">
        <v>46238</v>
      </c>
      <c r="P72" s="50" t="s">
        <v>124</v>
      </c>
      <c r="Q72" s="52" t="n">
        <v>-4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347</v>
      </c>
      <c r="N73" s="55" t="n">
        <v>46237</v>
      </c>
      <c r="O73" s="55" t="n">
        <v>46238</v>
      </c>
      <c r="P73" s="50" t="s">
        <v>124</v>
      </c>
      <c r="Q73" s="52" t="n">
        <v>-4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351</v>
      </c>
      <c r="N74" s="55" t="n">
        <v>46238</v>
      </c>
      <c r="O74" s="55" t="n">
        <v>46239</v>
      </c>
      <c r="P74" s="50" t="s">
        <v>124</v>
      </c>
      <c r="Q74" s="52" t="n">
        <v>-5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355</v>
      </c>
      <c r="N75" s="55" t="n">
        <v>46238</v>
      </c>
      <c r="O75" s="55" t="n">
        <v>46239</v>
      </c>
      <c r="P75" s="50" t="s">
        <v>124</v>
      </c>
      <c r="Q75" s="52" t="n">
        <v>-5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6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46235</v>
      </c>
      <c r="O76" s="45" t="n">
        <v>46240</v>
      </c>
      <c r="P76" s="46" t="s">
        <v>115</v>
      </c>
      <c r="Q76" s="37" t="n">
        <v>-4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363</v>
      </c>
      <c r="N77" s="55" t="n">
        <v>46235</v>
      </c>
      <c r="O77" s="55" t="n">
        <v>46237</v>
      </c>
      <c r="P77" s="50" t="s">
        <v>124</v>
      </c>
      <c r="Q77" s="52" t="n">
        <v>-1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367</v>
      </c>
      <c r="N78" s="55" t="n">
        <v>46236</v>
      </c>
      <c r="O78" s="55" t="n">
        <v>46239</v>
      </c>
      <c r="P78" s="50" t="s">
        <v>124</v>
      </c>
      <c r="Q78" s="52" t="n">
        <v>-4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371</v>
      </c>
      <c r="N79" s="55" t="n">
        <v>46237</v>
      </c>
      <c r="O79" s="55" t="n">
        <v>46240</v>
      </c>
      <c r="P79" s="50" t="s">
        <v>124</v>
      </c>
      <c r="Q79" s="52" t="n">
        <v>-4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375</v>
      </c>
      <c r="N80" s="55" t="n">
        <v>46239</v>
      </c>
      <c r="O80" s="55" t="n">
        <v>46240</v>
      </c>
      <c r="P80" s="50" t="s">
        <v>124</v>
      </c>
      <c r="Q80" s="52" t="n">
        <v>-4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379</v>
      </c>
      <c r="N81" s="55" t="n">
        <v>46240</v>
      </c>
      <c r="O81" s="55" t="n">
        <v>46240</v>
      </c>
      <c r="P81" s="50" t="s">
        <v>124</v>
      </c>
      <c r="Q81" s="52" t="n">
        <v>-4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46238</v>
      </c>
      <c r="O82" s="45" t="n">
        <v>46240</v>
      </c>
      <c r="P82" s="46" t="s">
        <v>115</v>
      </c>
      <c r="Q82" s="37" t="n">
        <v>-1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387</v>
      </c>
      <c r="N83" s="55" t="n">
        <v>46238</v>
      </c>
      <c r="O83" s="55" t="n">
        <v>46239</v>
      </c>
      <c r="P83" s="50" t="s">
        <v>124</v>
      </c>
      <c r="Q83" s="52" t="n">
        <v>-1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391</v>
      </c>
      <c r="N84" s="55" t="n">
        <v>46239</v>
      </c>
      <c r="O84" s="55" t="n">
        <v>46240</v>
      </c>
      <c r="P84" s="50" t="s">
        <v>124</v>
      </c>
      <c r="Q84" s="52" t="n">
        <v>-1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46236</v>
      </c>
      <c r="O85" s="45" t="n">
        <v>46239</v>
      </c>
      <c r="P85" s="46" t="s">
        <v>115</v>
      </c>
      <c r="Q85" s="37" t="n">
        <v>-3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399</v>
      </c>
      <c r="N86" s="55" t="n">
        <v>46236</v>
      </c>
      <c r="O86" s="55" t="n">
        <v>46238</v>
      </c>
      <c r="P86" s="50" t="s">
        <v>124</v>
      </c>
      <c r="Q86" s="52" t="n">
        <v>0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403</v>
      </c>
      <c r="N87" s="55" t="n">
        <v>46237</v>
      </c>
      <c r="O87" s="55" t="n">
        <v>46239</v>
      </c>
      <c r="P87" s="50" t="s">
        <v>124</v>
      </c>
      <c r="Q87" s="52" t="n">
        <v>-2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407</v>
      </c>
      <c r="N88" s="55" t="n">
        <v>46238</v>
      </c>
      <c r="O88" s="55" t="n">
        <v>46239</v>
      </c>
      <c r="P88" s="50" t="s">
        <v>124</v>
      </c>
      <c r="Q88" s="52" t="n">
        <v>-3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411</v>
      </c>
      <c r="N89" s="55" t="n">
        <v>46239</v>
      </c>
      <c r="O89" s="55" t="n">
        <v>46239</v>
      </c>
      <c r="P89" s="50" t="s">
        <v>124</v>
      </c>
      <c r="Q89" s="52" t="n">
        <v>-3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46237</v>
      </c>
      <c r="O90" s="45" t="n">
        <v>46240</v>
      </c>
      <c r="P90" s="46" t="s">
        <v>115</v>
      </c>
      <c r="Q90" s="37" t="n">
        <v>-3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8" t="s">
        <v>416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420</v>
      </c>
      <c r="N91" s="55" t="n">
        <v>46237</v>
      </c>
      <c r="O91" s="55" t="n">
        <v>46239</v>
      </c>
      <c r="P91" s="50" t="s">
        <v>124</v>
      </c>
      <c r="Q91" s="52" t="n">
        <v>0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416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424</v>
      </c>
      <c r="N92" s="55" t="n">
        <v>46239</v>
      </c>
      <c r="O92" s="55" t="n">
        <v>46240</v>
      </c>
      <c r="P92" s="50" t="s">
        <v>124</v>
      </c>
      <c r="Q92" s="52" t="n">
        <v>-3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416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428</v>
      </c>
      <c r="N93" s="55" t="n">
        <v>46237</v>
      </c>
      <c r="O93" s="55" t="n">
        <v>46239</v>
      </c>
      <c r="P93" s="50" t="s">
        <v>124</v>
      </c>
      <c r="Q93" s="52" t="n">
        <v>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416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432</v>
      </c>
      <c r="N94" s="55" t="n">
        <v>46239</v>
      </c>
      <c r="O94" s="55" t="n">
        <v>46240</v>
      </c>
      <c r="P94" s="50" t="s">
        <v>124</v>
      </c>
      <c r="Q94" s="52" t="n">
        <v>-3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416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436</v>
      </c>
      <c r="N95" s="55" t="n">
        <v>46240</v>
      </c>
      <c r="O95" s="55" t="n">
        <v>46240</v>
      </c>
      <c r="P95" s="50" t="s">
        <v>124</v>
      </c>
      <c r="Q95" s="52" t="n">
        <v>-3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416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46238</v>
      </c>
      <c r="O96" s="45" t="n">
        <v>46240</v>
      </c>
      <c r="P96" s="46" t="s">
        <v>115</v>
      </c>
      <c r="Q96" s="37" t="n">
        <v>-3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8" t="s">
        <v>416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443</v>
      </c>
      <c r="N97" s="55" t="n">
        <v>46238</v>
      </c>
      <c r="O97" s="55" t="n">
        <v>46240</v>
      </c>
      <c r="P97" s="50" t="s">
        <v>124</v>
      </c>
      <c r="Q97" s="52" t="n">
        <v>-2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416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447</v>
      </c>
      <c r="N98" s="55" t="n">
        <v>46239</v>
      </c>
      <c r="O98" s="55" t="n">
        <v>46240</v>
      </c>
      <c r="P98" s="50" t="s">
        <v>124</v>
      </c>
      <c r="Q98" s="52" t="n">
        <v>-3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416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451</v>
      </c>
      <c r="N99" s="55" t="n">
        <v>46240</v>
      </c>
      <c r="O99" s="55" t="n">
        <v>46240</v>
      </c>
      <c r="P99" s="50" t="s">
        <v>124</v>
      </c>
      <c r="Q99" s="52" t="n">
        <v>-3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416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300</v>
      </c>
      <c r="E100" s="40" t="n">
        <v>5</v>
      </c>
      <c r="F100" s="39" t="s">
        <v>455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46239</v>
      </c>
      <c r="O100" s="45" t="n">
        <v>46241</v>
      </c>
      <c r="P100" s="46" t="s">
        <v>115</v>
      </c>
      <c r="Q100" s="37" t="n">
        <v>-3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8" t="s">
        <v>416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2</v>
      </c>
      <c r="F103" s="52"/>
      <c r="G103" s="52"/>
      <c r="H103" s="52"/>
      <c r="I103" s="53" t="n">
        <v>46240</v>
      </c>
      <c r="J103" s="53" t="n">
        <v>46243</v>
      </c>
      <c r="K103" s="52"/>
      <c r="L103" s="52"/>
      <c r="M103" s="54" t="s">
        <v>465</v>
      </c>
      <c r="N103" s="55" t="n">
        <v>46239</v>
      </c>
      <c r="O103" s="55" t="n">
        <v>46240</v>
      </c>
      <c r="P103" s="50" t="s">
        <v>124</v>
      </c>
      <c r="Q103" s="52" t="n">
        <v>-3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416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466</v>
      </c>
      <c r="B104" s="50" t="s">
        <v>467</v>
      </c>
      <c r="C104" s="50" t="s">
        <v>468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469</v>
      </c>
      <c r="N104" s="55" t="n">
        <v>46240</v>
      </c>
      <c r="O104" s="55" t="n">
        <v>46241</v>
      </c>
      <c r="P104" s="50" t="s">
        <v>124</v>
      </c>
      <c r="Q104" s="52" t="n">
        <v>-2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416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470</v>
      </c>
      <c r="B105" s="50" t="s">
        <v>471</v>
      </c>
      <c r="C105" s="50" t="s">
        <v>472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473</v>
      </c>
      <c r="N105" s="55" t="n">
        <v>46240</v>
      </c>
      <c r="O105" s="55" t="n">
        <v>46241</v>
      </c>
      <c r="P105" s="50" t="s">
        <v>124</v>
      </c>
      <c r="Q105" s="52" t="n">
        <v>-3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416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474</v>
      </c>
      <c r="B106" s="52" t="s">
        <v>475</v>
      </c>
      <c r="C106" s="50" t="s">
        <v>476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477</v>
      </c>
      <c r="N106" s="55" t="n">
        <v>46241</v>
      </c>
      <c r="O106" s="55" t="n">
        <v>46241</v>
      </c>
      <c r="P106" s="50" t="s">
        <v>124</v>
      </c>
      <c r="Q106" s="52" t="n">
        <v>-3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416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478</v>
      </c>
      <c r="B107" s="39" t="s">
        <v>479</v>
      </c>
      <c r="C107" s="39"/>
      <c r="D107" s="39" t="s">
        <v>300</v>
      </c>
      <c r="E107" s="40" t="n">
        <v>2.5</v>
      </c>
      <c r="F107" s="39" t="s">
        <v>455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46240</v>
      </c>
      <c r="O107" s="45" t="n">
        <v>46241</v>
      </c>
      <c r="P107" s="46" t="s">
        <v>115</v>
      </c>
      <c r="Q107" s="37" t="n">
        <v>-4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480</v>
      </c>
      <c r="Y107" s="38" t="s">
        <v>416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481</v>
      </c>
      <c r="B108" s="52" t="s">
        <v>482</v>
      </c>
      <c r="C108" s="52" t="s">
        <v>483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484</v>
      </c>
      <c r="N108" s="55" t="n">
        <v>46240</v>
      </c>
      <c r="O108" s="55" t="n">
        <v>46241</v>
      </c>
      <c r="P108" s="50" t="s">
        <v>124</v>
      </c>
      <c r="Q108" s="52" t="n">
        <v>-3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416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485</v>
      </c>
      <c r="B109" s="50" t="s">
        <v>486</v>
      </c>
      <c r="C109" s="50" t="s">
        <v>487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488</v>
      </c>
      <c r="N109" s="55" t="n">
        <v>46241</v>
      </c>
      <c r="O109" s="55" t="n">
        <v>46241</v>
      </c>
      <c r="P109" s="50" t="s">
        <v>124</v>
      </c>
      <c r="Q109" s="52" t="n">
        <v>-4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416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489</v>
      </c>
      <c r="B110" s="52" t="s">
        <v>490</v>
      </c>
      <c r="C110" s="50" t="s">
        <v>491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492</v>
      </c>
      <c r="N110" s="55" t="n">
        <v>46240</v>
      </c>
      <c r="O110" s="55" t="n">
        <v>46241</v>
      </c>
      <c r="P110" s="50" t="s">
        <v>124</v>
      </c>
      <c r="Q110" s="52" t="n">
        <v>-3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416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493</v>
      </c>
      <c r="B111" s="39" t="s">
        <v>494</v>
      </c>
      <c r="C111" s="39" t="s">
        <v>495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46242</v>
      </c>
      <c r="M111" s="43"/>
      <c r="N111" s="44" t="n">
        <v>46242</v>
      </c>
      <c r="O111" s="45" t="n">
        <v>46242</v>
      </c>
      <c r="P111" s="46" t="s">
        <v>60</v>
      </c>
      <c r="Q111" s="37" t="n">
        <v>-4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496</v>
      </c>
      <c r="Y111" s="38" t="s">
        <v>497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498</v>
      </c>
      <c r="B112" s="50" t="s">
        <v>499</v>
      </c>
      <c r="C112" s="50" t="s">
        <v>500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501</v>
      </c>
      <c r="N112" s="55" t="n">
        <v>46242</v>
      </c>
      <c r="O112" s="55" t="n">
        <v>46242</v>
      </c>
      <c r="P112" s="50" t="s">
        <v>124</v>
      </c>
      <c r="Q112" s="52" t="n">
        <v>-4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497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502</v>
      </c>
      <c r="B113" s="50" t="s">
        <v>503</v>
      </c>
      <c r="C113" s="50" t="s">
        <v>504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505</v>
      </c>
      <c r="N113" s="55" t="n">
        <v>46242</v>
      </c>
      <c r="O113" s="55" t="n">
        <v>46242</v>
      </c>
      <c r="P113" s="50" t="s">
        <v>124</v>
      </c>
      <c r="Q113" s="52" t="n">
        <v>-4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497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506</v>
      </c>
      <c r="B114" s="31" t="s">
        <v>507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46398</v>
      </c>
      <c r="P114" s="34" t="s">
        <v>75</v>
      </c>
      <c r="Q114" s="31" t="n">
        <v>89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508</v>
      </c>
      <c r="B115" s="39" t="s">
        <v>509</v>
      </c>
      <c r="C115" s="39"/>
      <c r="D115" s="39" t="s">
        <v>300</v>
      </c>
      <c r="E115" s="40" t="n">
        <v>2.5</v>
      </c>
      <c r="F115" s="38" t="s">
        <v>246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46367</v>
      </c>
      <c r="O115" s="45" t="n">
        <v>46367</v>
      </c>
      <c r="P115" s="46" t="s">
        <v>293</v>
      </c>
      <c r="Q115" s="37" t="n">
        <v>118</v>
      </c>
      <c r="R115" s="39"/>
      <c r="S115" s="39" t="n">
        <v>1</v>
      </c>
      <c r="T115" s="39" t="s">
        <v>294</v>
      </c>
      <c r="U115" s="60" t="n">
        <v>46367.0115</v>
      </c>
      <c r="V115" s="47" t="n">
        <v>0</v>
      </c>
      <c r="W115" s="39" t="s">
        <v>86</v>
      </c>
      <c r="X115" s="39" t="s">
        <v>510</v>
      </c>
      <c r="Y115" s="38" t="s">
        <v>511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512</v>
      </c>
      <c r="B116" s="52" t="s">
        <v>513</v>
      </c>
      <c r="C116" s="52" t="s">
        <v>514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515</v>
      </c>
      <c r="N116" s="55" t="n">
        <v>46367</v>
      </c>
      <c r="O116" s="55" t="n">
        <v>46367</v>
      </c>
      <c r="P116" s="50" t="s">
        <v>293</v>
      </c>
      <c r="Q116" s="52" t="n">
        <v>120</v>
      </c>
      <c r="R116" s="52"/>
      <c r="S116" s="52" t="n">
        <v>2</v>
      </c>
      <c r="T116" s="52" t="s">
        <v>294</v>
      </c>
      <c r="U116" s="52"/>
      <c r="V116" s="56" t="n">
        <v>0</v>
      </c>
      <c r="W116" s="52" t="s">
        <v>80</v>
      </c>
      <c r="X116" s="52"/>
      <c r="Y116" s="52" t="s">
        <v>511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516</v>
      </c>
      <c r="B117" s="50" t="s">
        <v>517</v>
      </c>
      <c r="C117" s="50" t="s">
        <v>518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519</v>
      </c>
      <c r="N117" s="55" t="n">
        <v>46367</v>
      </c>
      <c r="O117" s="55" t="n">
        <v>46367</v>
      </c>
      <c r="P117" s="50" t="s">
        <v>293</v>
      </c>
      <c r="Q117" s="52" t="n">
        <v>119</v>
      </c>
      <c r="R117" s="52"/>
      <c r="S117" s="52" t="n">
        <v>2</v>
      </c>
      <c r="T117" s="52" t="s">
        <v>294</v>
      </c>
      <c r="U117" s="52"/>
      <c r="V117" s="56" t="n">
        <v>0</v>
      </c>
      <c r="W117" s="50" t="s">
        <v>86</v>
      </c>
      <c r="X117" s="52"/>
      <c r="Y117" s="52" t="s">
        <v>511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520</v>
      </c>
      <c r="B118" s="50" t="s">
        <v>521</v>
      </c>
      <c r="C118" s="50" t="s">
        <v>522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523</v>
      </c>
      <c r="N118" s="55" t="n">
        <v>46367</v>
      </c>
      <c r="O118" s="55" t="n">
        <v>46367</v>
      </c>
      <c r="P118" s="50" t="s">
        <v>293</v>
      </c>
      <c r="Q118" s="52" t="n">
        <v>119</v>
      </c>
      <c r="R118" s="52"/>
      <c r="S118" s="52" t="n">
        <v>2</v>
      </c>
      <c r="T118" s="52" t="s">
        <v>294</v>
      </c>
      <c r="U118" s="52"/>
      <c r="V118" s="56" t="n">
        <v>0</v>
      </c>
      <c r="W118" s="50" t="s">
        <v>86</v>
      </c>
      <c r="X118" s="52"/>
      <c r="Y118" s="52" t="s">
        <v>511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524</v>
      </c>
      <c r="B119" s="50" t="s">
        <v>525</v>
      </c>
      <c r="C119" s="50" t="s">
        <v>526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527</v>
      </c>
      <c r="N119" s="55" t="n">
        <v>46367</v>
      </c>
      <c r="O119" s="55" t="n">
        <v>46367</v>
      </c>
      <c r="P119" s="50" t="s">
        <v>293</v>
      </c>
      <c r="Q119" s="52" t="n">
        <v>119</v>
      </c>
      <c r="R119" s="52"/>
      <c r="S119" s="52" t="n">
        <v>2</v>
      </c>
      <c r="T119" s="52" t="s">
        <v>294</v>
      </c>
      <c r="U119" s="52"/>
      <c r="V119" s="56" t="n">
        <v>0</v>
      </c>
      <c r="W119" s="50" t="s">
        <v>86</v>
      </c>
      <c r="X119" s="52"/>
      <c r="Y119" s="52" t="s">
        <v>511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528</v>
      </c>
      <c r="B120" s="50" t="s">
        <v>529</v>
      </c>
      <c r="C120" s="50" t="s">
        <v>530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531</v>
      </c>
      <c r="N120" s="55" t="n">
        <v>46367</v>
      </c>
      <c r="O120" s="55" t="n">
        <v>46367</v>
      </c>
      <c r="P120" s="50" t="s">
        <v>293</v>
      </c>
      <c r="Q120" s="52" t="n">
        <v>118</v>
      </c>
      <c r="R120" s="52"/>
      <c r="S120" s="52" t="n">
        <v>2</v>
      </c>
      <c r="T120" s="52" t="s">
        <v>294</v>
      </c>
      <c r="U120" s="52"/>
      <c r="V120" s="56" t="n">
        <v>0</v>
      </c>
      <c r="W120" s="50" t="s">
        <v>86</v>
      </c>
      <c r="X120" s="52"/>
      <c r="Y120" s="52" t="s">
        <v>511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532</v>
      </c>
      <c r="B121" s="50" t="s">
        <v>533</v>
      </c>
      <c r="C121" s="50" t="s">
        <v>534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535</v>
      </c>
      <c r="N121" s="55" t="n">
        <v>46367</v>
      </c>
      <c r="O121" s="55" t="n">
        <v>46367</v>
      </c>
      <c r="P121" s="50" t="s">
        <v>293</v>
      </c>
      <c r="Q121" s="52" t="n">
        <v>118</v>
      </c>
      <c r="R121" s="52"/>
      <c r="S121" s="52" t="n">
        <v>2</v>
      </c>
      <c r="T121" s="52" t="s">
        <v>294</v>
      </c>
      <c r="U121" s="52"/>
      <c r="V121" s="56" t="n">
        <v>0</v>
      </c>
      <c r="W121" s="50" t="s">
        <v>86</v>
      </c>
      <c r="X121" s="52"/>
      <c r="Y121" s="52" t="s">
        <v>511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536</v>
      </c>
      <c r="B122" s="39" t="s">
        <v>537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46335</v>
      </c>
      <c r="O122" s="45" t="n">
        <v>46335</v>
      </c>
      <c r="P122" s="46" t="s">
        <v>293</v>
      </c>
      <c r="Q122" s="37" t="n">
        <v>86</v>
      </c>
      <c r="R122" s="39"/>
      <c r="S122" s="39" t="n">
        <v>1</v>
      </c>
      <c r="T122" s="39" t="s">
        <v>294</v>
      </c>
      <c r="U122" s="60" t="n">
        <v>46335.0122</v>
      </c>
      <c r="V122" s="47" t="n">
        <v>0</v>
      </c>
      <c r="W122" s="38" t="s">
        <v>80</v>
      </c>
      <c r="X122" s="39"/>
      <c r="Y122" s="38" t="s">
        <v>538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539</v>
      </c>
      <c r="B123" s="39" t="s">
        <v>28</v>
      </c>
      <c r="C123" s="38" t="s">
        <v>540</v>
      </c>
      <c r="D123" s="39" t="s">
        <v>79</v>
      </c>
      <c r="E123" s="40" t="n">
        <v>0</v>
      </c>
      <c r="F123" s="38" t="s">
        <v>493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/>
      <c r="M123" s="43"/>
      <c r="N123" s="44" t="n">
        <v>46239</v>
      </c>
      <c r="O123" s="45" t="n">
        <v>46314</v>
      </c>
      <c r="P123" s="46" t="s">
        <v>75</v>
      </c>
      <c r="Q123" s="37" t="n">
        <v>63</v>
      </c>
      <c r="R123" s="39"/>
      <c r="S123" s="39" t="n">
        <v>1</v>
      </c>
      <c r="T123" s="39" t="s">
        <v>76</v>
      </c>
      <c r="U123" s="60" t="n">
        <v>46239.0123</v>
      </c>
      <c r="V123" s="47" t="n">
        <v>0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46385</v>
      </c>
      <c r="O124" s="45" t="n">
        <v>46398</v>
      </c>
      <c r="P124" s="46" t="s">
        <v>293</v>
      </c>
      <c r="Q124" s="37" t="n">
        <v>89</v>
      </c>
      <c r="R124" s="39"/>
      <c r="S124" s="39" t="n">
        <v>1</v>
      </c>
      <c r="T124" s="39" t="s">
        <v>294</v>
      </c>
      <c r="U124" s="60" t="n">
        <v>46385.0124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549</v>
      </c>
      <c r="N125" s="55" t="n">
        <v>46385</v>
      </c>
      <c r="O125" s="55" t="n">
        <v>46389</v>
      </c>
      <c r="P125" s="50" t="s">
        <v>293</v>
      </c>
      <c r="Q125" s="52" t="n">
        <v>89</v>
      </c>
      <c r="R125" s="52"/>
      <c r="S125" s="52" t="n">
        <v>2</v>
      </c>
      <c r="T125" s="52" t="s">
        <v>294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553</v>
      </c>
      <c r="N126" s="55" t="n">
        <v>46388</v>
      </c>
      <c r="O126" s="55" t="n">
        <v>46395</v>
      </c>
      <c r="P126" s="50" t="s">
        <v>293</v>
      </c>
      <c r="Q126" s="52" t="n">
        <v>89</v>
      </c>
      <c r="R126" s="52"/>
      <c r="S126" s="52" t="n">
        <v>2</v>
      </c>
      <c r="T126" s="52" t="s">
        <v>294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557</v>
      </c>
      <c r="N127" s="55" t="n">
        <v>46395</v>
      </c>
      <c r="O127" s="55" t="n">
        <v>46398</v>
      </c>
      <c r="P127" s="50" t="s">
        <v>293</v>
      </c>
      <c r="Q127" s="52" t="n">
        <v>89</v>
      </c>
      <c r="R127" s="52"/>
      <c r="S127" s="52" t="n">
        <v>2</v>
      </c>
      <c r="T127" s="52" t="s">
        <v>294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300</v>
      </c>
      <c r="E128" s="40" t="n">
        <v>0</v>
      </c>
      <c r="F128" s="38" t="s">
        <v>246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46377</v>
      </c>
      <c r="O128" s="45" t="n">
        <v>46377</v>
      </c>
      <c r="P128" s="46" t="s">
        <v>293</v>
      </c>
      <c r="Q128" s="37" t="n">
        <v>118</v>
      </c>
      <c r="R128" s="39"/>
      <c r="S128" s="39" t="n">
        <v>1</v>
      </c>
      <c r="T128" s="39" t="s">
        <v>294</v>
      </c>
      <c r="U128" s="60" t="n">
        <v>46377.0128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46378</v>
      </c>
      <c r="O129" s="45" t="n">
        <v>46378</v>
      </c>
      <c r="P129" s="46" t="s">
        <v>293</v>
      </c>
      <c r="Q129" s="37" t="n">
        <v>119</v>
      </c>
      <c r="R129" s="39"/>
      <c r="S129" s="39" t="n">
        <v>1</v>
      </c>
      <c r="T129" s="39" t="s">
        <v>294</v>
      </c>
      <c r="U129" s="60" t="n">
        <v>46378.0129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 t="s">
        <v>565</v>
      </c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46378</v>
      </c>
      <c r="O130" s="45" t="n">
        <v>46384</v>
      </c>
      <c r="P130" s="46" t="s">
        <v>293</v>
      </c>
      <c r="Q130" s="37" t="n">
        <v>125</v>
      </c>
      <c r="R130" s="39"/>
      <c r="S130" s="39" t="n">
        <v>1</v>
      </c>
      <c r="T130" s="39" t="s">
        <v>294</v>
      </c>
      <c r="U130" s="60" t="n">
        <v>46378.013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46358</v>
      </c>
      <c r="O131" s="45" t="n">
        <v>46360</v>
      </c>
      <c r="P131" s="46" t="s">
        <v>293</v>
      </c>
      <c r="Q131" s="37" t="n">
        <v>65</v>
      </c>
      <c r="R131" s="39"/>
      <c r="S131" s="39" t="n">
        <v>1</v>
      </c>
      <c r="T131" s="39" t="s">
        <v>294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568</v>
      </c>
      <c r="D134" s="6" t="s">
        <v>569</v>
      </c>
    </row>
    <row r="135" customFormat="false" ht="15" hidden="false" customHeight="true" outlineLevel="0" collapsed="false">
      <c r="B135" s="62" t="s">
        <v>570</v>
      </c>
      <c r="D135" s="62" t="s">
        <v>571</v>
      </c>
      <c r="E135" s="62" t="s">
        <v>572</v>
      </c>
      <c r="I135" s="63" t="s">
        <v>573</v>
      </c>
      <c r="J135" s="63" t="s">
        <v>574</v>
      </c>
      <c r="K135" s="63" t="s">
        <v>575</v>
      </c>
      <c r="L135" s="63" t="s">
        <v>576</v>
      </c>
      <c r="O135" s="62" t="s">
        <v>577</v>
      </c>
      <c r="P135" s="62" t="s">
        <v>578</v>
      </c>
    </row>
    <row r="136" customFormat="false" ht="15" hidden="false" customHeight="true" outlineLevel="0" collapsed="false">
      <c r="B136" s="64" t="s">
        <v>579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580</v>
      </c>
    </row>
    <row r="137" customFormat="false" ht="15" hidden="false" customHeight="true" outlineLevel="0" collapsed="false">
      <c r="B137" s="64" t="s">
        <v>581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582</v>
      </c>
    </row>
    <row r="138" customFormat="false" ht="15" hidden="false" customHeight="true" outlineLevel="0" collapsed="false">
      <c r="B138" s="64" t="s">
        <v>583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584</v>
      </c>
    </row>
    <row r="139" customFormat="false" ht="15" hidden="false" customHeight="true" outlineLevel="0" collapsed="false">
      <c r="B139" s="64" t="s">
        <v>585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586</v>
      </c>
    </row>
    <row r="140" customFormat="false" ht="15" hidden="false" customHeight="true" outlineLevel="0" collapsed="false">
      <c r="B140" s="64" t="s">
        <v>587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588</v>
      </c>
    </row>
    <row r="141" customFormat="false" ht="15" hidden="false" customHeight="true" outlineLevel="0" collapsed="false">
      <c r="B141" s="69" t="s">
        <v>589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590</v>
      </c>
    </row>
    <row r="142" customFormat="false" ht="15" hidden="false" customHeight="true" outlineLevel="0" collapsed="false">
      <c r="B142" s="71" t="s">
        <v>591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6" t="s">
        <v>593</v>
      </c>
    </row>
    <row r="146" customFormat="false" ht="15" hidden="false" customHeight="true" outlineLevel="0" collapsed="false">
      <c r="B146" s="17" t="s">
        <v>594</v>
      </c>
      <c r="D146" s="77" t="s">
        <v>595</v>
      </c>
      <c r="E146" s="77"/>
      <c r="F146" s="77"/>
      <c r="G146" s="77"/>
      <c r="H146" s="77"/>
      <c r="I146" s="77"/>
      <c r="J146" s="77"/>
      <c r="K146" s="19" t="s">
        <v>596</v>
      </c>
    </row>
    <row r="147" customFormat="false" ht="15" hidden="false" customHeight="true" outlineLevel="0" collapsed="false">
      <c r="B147" s="78" t="s">
        <v>597</v>
      </c>
      <c r="E147" s="79" t="s">
        <v>598</v>
      </c>
      <c r="I147" s="78" t="s">
        <v>599</v>
      </c>
    </row>
    <row r="148" customFormat="false" ht="24" hidden="false" customHeight="true" outlineLevel="0" collapsed="false">
      <c r="A148" s="80" t="s">
        <v>600</v>
      </c>
      <c r="B148" s="81" t="s">
        <v>601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602</v>
      </c>
      <c r="B149" s="81" t="s">
        <v>603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604</v>
      </c>
      <c r="B150" s="81" t="s">
        <v>605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606</v>
      </c>
      <c r="B151" s="81" t="s">
        <v>607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608</v>
      </c>
      <c r="B152" s="81" t="s">
        <v>609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610</v>
      </c>
      <c r="B153" s="81" t="s">
        <v>611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612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644</v>
      </c>
      <c r="C8" s="95" t="s">
        <v>645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 t="n">
        <v>46182</v>
      </c>
      <c r="F9" s="99" t="n">
        <v>46182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647</v>
      </c>
      <c r="C10" s="95" t="s">
        <v>645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 t="n">
        <v>46188</v>
      </c>
      <c r="F11" s="99" t="n">
        <v>46197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648</v>
      </c>
      <c r="C12" s="95" t="s">
        <v>645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 t="n">
        <v>46207</v>
      </c>
      <c r="F13" s="99" t="n">
        <v>46207</v>
      </c>
      <c r="G13" s="100"/>
      <c r="H13" s="101"/>
      <c r="I13" s="101"/>
      <c r="J13" s="101"/>
      <c r="K13" s="101"/>
      <c r="L13" s="101"/>
      <c r="M13" s="101"/>
      <c r="N13" s="101" t="n">
        <v>0.5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649</v>
      </c>
      <c r="C14" s="95" t="s">
        <v>645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46189</v>
      </c>
      <c r="F15" s="99" t="n">
        <v>46202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650</v>
      </c>
      <c r="C16" s="95" t="s">
        <v>645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654</v>
      </c>
      <c r="C23" s="95" t="s">
        <v>645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 t="n">
        <v>46220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655</v>
      </c>
      <c r="C25" s="95" t="s">
        <v>645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 t="n">
        <v>46236</v>
      </c>
      <c r="F26" s="99" t="n">
        <v>46239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 t="n">
        <v>5</v>
      </c>
      <c r="S26" s="101" t="n">
        <v>5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656</v>
      </c>
      <c r="C27" s="95" t="s">
        <v>645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 t="n">
        <v>46235</v>
      </c>
      <c r="F28" s="99" t="n">
        <v>46240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 t="n">
        <v>10</v>
      </c>
      <c r="S28" s="101" t="n">
        <v>10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657</v>
      </c>
      <c r="C29" s="95" t="s">
        <v>645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 t="n">
        <v>46238</v>
      </c>
      <c r="F30" s="99" t="n">
        <v>46240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658</v>
      </c>
      <c r="C31" s="95" t="s">
        <v>645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 t="n">
        <v>46236</v>
      </c>
      <c r="F32" s="99" t="n">
        <v>46239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 t="n">
        <v>7.5</v>
      </c>
      <c r="S32" s="101" t="n">
        <v>7.5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659</v>
      </c>
      <c r="C33" s="95" t="s">
        <v>645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 t="n">
        <v>46237</v>
      </c>
      <c r="F34" s="99" t="n">
        <v>46240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660</v>
      </c>
      <c r="C35" s="95" t="s">
        <v>645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 t="n">
        <v>46238</v>
      </c>
      <c r="F36" s="99" t="n">
        <v>46240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661</v>
      </c>
      <c r="C37" s="95" t="s">
        <v>645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 t="n">
        <v>46239</v>
      </c>
      <c r="F38" s="99" t="n">
        <v>46241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478</v>
      </c>
      <c r="B39" s="95" t="s">
        <v>662</v>
      </c>
      <c r="C39" s="95" t="s">
        <v>645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 t="n">
        <v>46240</v>
      </c>
      <c r="F40" s="99" t="n">
        <v>46241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508</v>
      </c>
      <c r="B42" s="95" t="s">
        <v>664</v>
      </c>
      <c r="C42" s="95" t="s">
        <v>645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665</v>
      </c>
      <c r="C44" s="95" t="s">
        <v>645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1</v>
      </c>
      <c r="O48" s="103" t="n">
        <f aca="false">SUMIF($C$7:$C$45,"Actual",O$7:O$45)</f>
        <v>0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29.1667</v>
      </c>
      <c r="S48" s="103" t="n">
        <f aca="false">SUMIF($C$7:$C$45,"Actual",S$7:S$45)</f>
        <v>47.5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3.5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46.0001</v>
      </c>
      <c r="S50" s="105" t="n">
        <f aca="false">IF(S$6&gt;46314,"",R50+S48)</f>
        <v>93.5001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2026-10-26T04:43:02Z</dcterms:created>
  <dc:creator>openpyxl</dc:creator>
  <dc:description/>
  <dc:language>en-US</dc:language>
  <cp:lastModifiedBy/>
  <dcterms:modified xsi:type="dcterms:W3CDTF">2026-10-26T11:46:47Z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