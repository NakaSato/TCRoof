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<sst xmlns="http://schemas.openxmlformats.org/spreadsheetml/2006/main" count="1305" uniqueCount="669">
  <si>
    <t xml:space="preserve">แผนโครงการ P4-025 – สถานีผลิตน้ำทุ่งน้อย 92.34 kWp</t>
  </si>
  <si>
    <t xml:space="preserve">กปภ.สาขาเมืองพล, ภาคอีสาน, กฟภ. เขต ฉ.1, Inverter 80 kW (ไม่ต้อง พค.2), Zero export LV, คำขอ PPIM1A507190, วิศวกร อ๋อง, Admin เตย,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</si>
  <si>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</si>
  <si>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</si>
  <si>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</si>
  <si>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</si>
  <si>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</si>
  <si>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</si>
  <si>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</si>
  <si>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</si>
  <si>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</si>
  <si>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</si>
  <si>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</si>
  <si>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</si>
  <si>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</si>
  <si>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</si>
  <si>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</si>
  <si>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</si>
  <si>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</si>
  <si>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</si>
  <si>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</si>
  <si>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</si>
  <si>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</si>
  <si>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</si>
  <si>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</si>
  <si>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</si>
  <si>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</si>
  <si>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</si>
  <si>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</si>
  <si>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</si>
  <si>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</si>
  <si>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</si>
  <si>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</si>
  <si>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</si>
  <si>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</si>
  <si>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</si>
  <si>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</si>
  <si>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</si>
  <si>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</si>
  <si>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</si>
  <si>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</si>
  <si>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</si>
  <si>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</si>
  <si>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</si>
  <si>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</si>
  <si>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</si>
  <si>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</si>
  <si>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</si>
  <si>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</si>
  <si>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</si>
  <si>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</si>
  <si>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</si>
  <si>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</si>
  <si>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</si>
  <si>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</si>
  <si>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</si>
  <si>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</si>
  <si>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</si>
  <si>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</si>
  <si>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</si>
  <si>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</si>
  <si>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</si>
  <si>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</si>
  <si>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</si>
  <si>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</si>
  <si>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</si>
  <si>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</si>
  <si>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</si>
  <si>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</si>
  <si>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</si>
  <si>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</si>
  <si>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</si>
  <si>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</si>
  <si>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</si>
  <si>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</si>
  <si>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</si>
  <si>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</si>
  <si>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</si>
  <si>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</si>
  <si>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</si>
  <si>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</si>
  <si>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</si>
  <si>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</si>
  <si>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</si>
  <si>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</si>
  <si>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</si>
  <si>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</si>
  <si>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</si>
  <si>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</si>
  <si>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</si>
  <si>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</si>
  <si>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</si>
  <si>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</si>
  <si>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</si>
  <si>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</si>
  <si>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</si>
  <si>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</si>
  <si>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</si>
  <si>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</si>
  <si>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</si>
  <si>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</si>
  <si>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</si>
  <si>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</si>
  <si>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</si>
  <si>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</si>
  <si>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</si>
  <si>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</si>
  <si>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</si>
  <si>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</si>
  <si>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</si>
  <si>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</si>
  <si>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TC-PML-2026-176,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</si>
  <si>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</si>
  <si>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</si>
  <si>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</si>
  <si>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</si>
  <si>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</si>
  <si>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</si>
  <si>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</si>
  <si>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</si>
  <si>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</si>
  <si>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</si>
  <si>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</si>
  <si>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</si>
  <si>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</si>
  <si>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</si>
  <si>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</si>
  <si>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</si>
  <si>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</si>
  <si>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</si>
  <si>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</si>
  <si>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</si>
  <si>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</si>
  <si>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</si>
  <si>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</si>
  <si>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</si>
  <si>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</si>
  <si>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</si>
  <si>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</si>
  <si>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</si>
  <si>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</si>
  <si>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</si>
  <si>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</si>
  <si>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</si>
  <si>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</si>
  <si>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</si>
  <si>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</si>
  <si>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</si>
  <si>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</si>
  <si>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</si>
  <si>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</si>
  <si>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</si>
  <si>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</si>
  <si>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WBS'!L4352</t>
    </r>
  </si>
  <si>
    <t xml:space="preserve">0.3</t>
  </si>
  <si>
    <t xml:space="preserve">หนังสือแจ้งขอดับไฟ</t>
  </si>
  <si>
    <t xml:space="preserve">TC-PML-2026-508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</si>
  <si>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</si>
  <si>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</si>
  <si>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</si>
  <si>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</si>
  <si>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</si>
  <si>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</si>
  <si>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</si>
  <si>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</si>
  <si>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</si>
  <si>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</si>
  <si>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</si>
  <si>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</si>
  <si>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</si>
  <si>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</si>
  <si>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</si>
  <si>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</si>
  <si>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</si>
  <si>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</si>
  <si>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</si>
  <si>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</si>
  <si>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</si>
  <si>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</si>
  <si>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</si>
  <si>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</si>
  <si>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</si>
  <si>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</si>
  <si>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</si>
  <si>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</si>
  <si>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</si>
  <si>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</si>
  <si>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</si>
  <si>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</si>
  <si>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</si>
  <si>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</si>
  <si>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</si>
  <si>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</si>
  <si>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</si>
  <si>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</si>
  <si>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</si>
  <si>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</si>
  <si>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</si>
  <si>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</si>
  <si>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</si>
  <si>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</si>
  <si>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</si>
  <si>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</si>
  <si>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</si>
  <si>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</si>
  <si>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</si>
  <si>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</si>
  <si>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</si>
  <si>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</si>
  <si>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</si>
  <si>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</si>
  <si>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</si>
  <si>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</si>
  <si>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</si>
  <si>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</si>
  <si>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</si>
  <si>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</si>
  <si>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</si>
  <si>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</si>
  <si>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</si>
  <si>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</si>
  <si>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</si>
  <si>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</si>
  <si>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</si>
  <si>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</si>
  <si>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</si>
  <si>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</si>
  <si>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</si>
  <si>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</si>
  <si>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</si>
  <si>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</si>
  <si>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</si>
  <si>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</si>
  <si>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</si>
  <si>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</si>
  <si>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</si>
  <si>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</si>
  <si>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</si>
  <si>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</si>
  <si>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</si>
  <si>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</si>
  <si>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</si>
  <si>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</si>
  <si>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</si>
  <si>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</si>
  <si>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</si>
  <si>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</si>
  <si>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</si>
  <si>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</si>
  <si>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</si>
  <si>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</si>
  <si>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</si>
  <si>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</si>
  <si>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</si>
  <si>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</si>
  <si>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</si>
  <si>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</si>
  <si>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</si>
  <si>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</si>
  <si>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</si>
  <si>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</si>
  <si>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</si>
  <si>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</si>
  <si>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</si>
  <si>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</si>
  <si>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</si>
  <si>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</si>
  <si>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</si>
  <si>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</si>
  <si>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</si>
  <si>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</si>
  <si>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</si>
  <si>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WBS'!L4370</t>
    </r>
  </si>
  <si>
    <t xml:space="preserve">1.7.1</t>
  </si>
  <si>
    <t xml:space="preserve">คำขอขนานไฟ PPIM (ชุด 11 ไฟล์)</t>
  </si>
  <si>
    <t xml:space="preserve">PPIM1A507190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</si>
  <si>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</si>
  <si>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</si>
  <si>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</si>
  <si>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</si>
  <si>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</si>
  <si>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</si>
  <si>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</si>
  <si>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</si>
  <si>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</si>
  <si>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</si>
  <si>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</si>
  <si>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</si>
  <si>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</si>
  <si>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</si>
  <si>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</si>
  <si>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</si>
  <si>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</si>
  <si>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</si>
  <si>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</si>
  <si>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</si>
  <si>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</si>
  <si>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</si>
  <si>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</si>
  <si>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</si>
  <si>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</si>
  <si>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</si>
  <si>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</si>
  <si>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</si>
  <si>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</si>
  <si>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</si>
  <si>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</si>
  <si>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</si>
  <si>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</si>
  <si>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</si>
  <si>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</si>
  <si>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</si>
  <si>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</si>
  <si>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</si>
  <si>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</si>
  <si>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</si>
  <si>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</si>
  <si>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</si>
  <si>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</si>
  <si>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</si>
  <si>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</si>
  <si>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</si>
  <si>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</si>
  <si>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</si>
  <si>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</si>
  <si>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</si>
  <si>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</si>
  <si>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</si>
  <si>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</si>
  <si>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</si>
  <si>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</si>
  <si>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</si>
  <si>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</si>
  <si>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</si>
  <si>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</si>
  <si>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</si>
  <si>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</si>
  <si>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</si>
  <si>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</si>
  <si>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</si>
  <si>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</si>
  <si>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</si>
  <si>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</si>
  <si>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</si>
  <si>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</si>
  <si>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</si>
  <si>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</si>
  <si>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</si>
  <si>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</si>
  <si>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</si>
  <si>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</si>
  <si>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</si>
  <si>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</si>
  <si>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</si>
  <si>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</si>
  <si>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</si>
  <si>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</si>
  <si>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</si>
  <si>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</si>
  <si>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</si>
  <si>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</si>
  <si>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</si>
  <si>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</si>
  <si>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</si>
  <si>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</si>
  <si>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</si>
  <si>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</si>
  <si>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</si>
  <si>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</si>
  <si>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</si>
  <si>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</si>
  <si>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</si>
  <si>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</si>
  <si>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</si>
  <si>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</si>
  <si>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</si>
  <si>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</si>
  <si>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</si>
  <si>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</si>
  <si>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</si>
  <si>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</si>
  <si>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</si>
  <si>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</si>
  <si>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</si>
  <si>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</si>
  <si>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</si>
  <si>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</si>
  <si>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</si>
  <si>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</si>
  <si>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WBS'!L4389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</si>
  <si>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</si>
  <si>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</si>
  <si>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</si>
  <si>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</si>
  <si>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</si>
  <si>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</si>
  <si>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</si>
  <si>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</si>
  <si>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</si>
  <si>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</si>
  <si>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</si>
  <si>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</si>
  <si>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</si>
  <si>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</si>
  <si>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</si>
  <si>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</si>
  <si>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</si>
  <si>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</si>
  <si>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</si>
  <si>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</si>
  <si>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</si>
  <si>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</si>
  <si>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</si>
  <si>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</si>
  <si>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</si>
  <si>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</si>
  <si>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</si>
  <si>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</si>
  <si>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</si>
  <si>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</si>
  <si>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</si>
  <si>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</si>
  <si>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</si>
  <si>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</si>
  <si>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</si>
  <si>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</si>
  <si>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</si>
  <si>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</si>
  <si>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</si>
  <si>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</si>
  <si>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</si>
  <si>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</si>
  <si>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</si>
  <si>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</si>
  <si>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</si>
  <si>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</si>
  <si>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</si>
  <si>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</si>
  <si>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</si>
  <si>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</si>
  <si>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</si>
  <si>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</si>
  <si>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</si>
  <si>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</si>
  <si>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</si>
  <si>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</si>
  <si>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</si>
  <si>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</si>
  <si>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</si>
  <si>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</si>
  <si>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</si>
  <si>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</si>
  <si>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</si>
  <si>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</si>
  <si>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</si>
  <si>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</si>
  <si>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</si>
  <si>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</si>
  <si>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</si>
  <si>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</si>
  <si>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</si>
  <si>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</si>
  <si>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</si>
  <si>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</si>
  <si>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</si>
  <si>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</si>
  <si>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</si>
  <si>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</si>
  <si>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</si>
  <si>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</si>
  <si>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</si>
  <si>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</si>
  <si>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</si>
  <si>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</si>
  <si>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</si>
  <si>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</si>
  <si>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</si>
  <si>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</si>
  <si>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</si>
  <si>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</si>
  <si>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</si>
  <si>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</si>
  <si>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</si>
  <si>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</si>
  <si>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</si>
  <si>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</si>
  <si>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</si>
  <si>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</si>
  <si>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</si>
  <si>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</si>
  <si>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</si>
  <si>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</si>
  <si>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</si>
  <si>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</si>
  <si>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</si>
  <si>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</si>
  <si>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</si>
  <si>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</si>
  <si>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</si>
  <si>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</si>
  <si>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</si>
  <si>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</si>
  <si>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</si>
  <si>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</si>
  <si>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</si>
  <si>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</si>
  <si>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</si>
  <si>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</si>
  <si>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</si>
  <si>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</si>
  <si>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</si>
  <si>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</si>
  <si>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</si>
  <si>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</si>
  <si>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</si>
  <si>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</si>
  <si>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</si>
  <si>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</si>
  <si>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</si>
  <si>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</si>
  <si>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</si>
  <si>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</si>
  <si>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</si>
  <si>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</si>
  <si>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</si>
  <si>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</si>
  <si>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</si>
  <si>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</si>
  <si>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</si>
  <si>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</si>
  <si>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</si>
  <si>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</si>
  <si>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</si>
  <si>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</si>
  <si>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</si>
  <si>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</si>
  <si>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</si>
  <si>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</si>
  <si>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</si>
  <si>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</si>
  <si>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</si>
  <si>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</si>
  <si>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</si>
  <si>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</si>
  <si>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</si>
  <si>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</si>
  <si>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</si>
  <si>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</si>
  <si>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</si>
  <si>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</si>
  <si>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</si>
  <si>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</si>
  <si>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</si>
  <si>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</si>
  <si>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</si>
  <si>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WBS'!L4419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</si>
  <si>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</si>
  <si>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</si>
  <si>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</si>
  <si>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</si>
  <si>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</si>
  <si>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</si>
  <si>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</si>
  <si>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</si>
  <si>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</si>
  <si>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</si>
  <si>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</si>
  <si>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</si>
  <si>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</si>
  <si>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</si>
  <si>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</si>
  <si>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</si>
  <si>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</si>
  <si>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</si>
  <si>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</si>
  <si>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</si>
  <si>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</si>
  <si>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</si>
  <si>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</si>
  <si>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</si>
  <si>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</si>
  <si>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</si>
  <si>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</si>
  <si>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</si>
  <si>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</si>
  <si>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</si>
  <si>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</si>
  <si>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</si>
  <si>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</si>
  <si>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</si>
  <si>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</si>
  <si>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</si>
  <si>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</si>
  <si>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</si>
  <si>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</si>
  <si>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</si>
  <si>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</si>
  <si>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</si>
  <si>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</si>
  <si>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</si>
  <si>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</si>
  <si>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</si>
  <si>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</si>
  <si>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</si>
  <si>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</si>
  <si>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</si>
  <si>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</si>
  <si>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</si>
  <si>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</si>
  <si>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</si>
  <si>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</si>
  <si>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</si>
  <si>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</si>
  <si>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</si>
  <si>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สถานีผลิตน้ำทุ่งน้อย การประปาส่วนภูมิภาคสาขาเมืองพล ขนาดกำลังผลิต </t>
    </r>
    <r>
      <rPr>
        <sz val="10"/>
        <rFont val="Tahoma"/>
        <family val="0"/>
        <charset val="1"/>
      </rPr>
      <t xml:space="preserve">92.34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</si>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</sst>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13.5</c:v>
                </c:pt>
                <c:pt idx="12">
                  <c:v>36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93.5</c:v>
                </c:pt>
                <c:pt idx="17">
                  <c:v>93.75</c:v>
                </c:pt>
                <c:pt idx="18">
                  <c:v>94</c:v>
                </c:pt>
                <c:pt idx="19">
                  <c:v>94.25</c:v>
                </c:pt>
                <c:pt idx="20">
                  <c:v>94.5</c:v>
                </c:pt>
                <c:pt idx="21">
                  <c:v>94.75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369285"/>
        <c:axId val="13639573"/>
      </c:lineChart>
      <c:catAx>
        <c:axId val="6036928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39573"/>
        <c:crosses val="autoZero"/>
        <c:auto val="1"/>
        <c:lblAlgn val="ctr"/>
        <c:lblOffset val="100"/>
        <c:noMultiLvlLbl val="0"/>
      </c:catAx>
      <c:valAx>
        <c:axId val="13639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692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46436</v>
      </c>
      <c r="G4" s="10"/>
      <c r="H4" s="10"/>
      <c r="J4" s="11" t="n">
        <v>0.95</v>
      </c>
      <c r="K4" s="11"/>
      <c r="L4" s="12" t="n">
        <v>49</v>
      </c>
      <c r="M4" s="12"/>
      <c r="N4" s="12" t="n">
        <v>131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46196</v>
      </c>
      <c r="O8" s="33" t="n">
        <v>46455</v>
      </c>
      <c r="P8" s="34" t="s">
        <v>75</v>
      </c>
      <c r="Q8" s="31" t="n">
        <v>133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46196</v>
      </c>
      <c r="O9" s="45" t="n">
        <v>46455</v>
      </c>
      <c r="P9" s="46" t="s">
        <v>75</v>
      </c>
      <c r="Q9" s="37" t="n">
        <v>133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46196</v>
      </c>
      <c r="O10" s="55" t="n">
        <v>46222</v>
      </c>
      <c r="P10" s="50" t="s">
        <v>75</v>
      </c>
      <c r="Q10" s="52" t="n">
        <v>13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46196</v>
      </c>
      <c r="O11" s="55" t="n">
        <v>46222</v>
      </c>
      <c r="P11" s="50" t="s">
        <v>75</v>
      </c>
      <c r="Q11" s="52" t="n">
        <v>13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46196</v>
      </c>
      <c r="O12" s="55" t="n">
        <v>46222</v>
      </c>
      <c r="P12" s="50" t="s">
        <v>75</v>
      </c>
      <c r="Q12" s="52" t="n">
        <v>13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46196</v>
      </c>
      <c r="O13" s="55" t="n">
        <v>46235</v>
      </c>
      <c r="P13" s="50" t="s">
        <v>75</v>
      </c>
      <c r="Q13" s="52" t="n">
        <v>19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46222</v>
      </c>
      <c r="O14" s="55" t="n">
        <v>46455</v>
      </c>
      <c r="P14" s="50" t="s">
        <v>75</v>
      </c>
      <c r="Q14" s="52" t="n">
        <v>133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46222</v>
      </c>
      <c r="O15" s="55" t="n">
        <v>46455</v>
      </c>
      <c r="P15" s="50" t="s">
        <v>75</v>
      </c>
      <c r="Q15" s="52" t="n">
        <v>133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19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46240</v>
      </c>
      <c r="O26" s="55" t="n">
        <v>46240</v>
      </c>
      <c r="P26" s="50" t="s">
        <v>124</v>
      </c>
      <c r="Q26" s="52" t="n">
        <v>19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46240</v>
      </c>
      <c r="O27" s="55" t="n">
        <v>46240</v>
      </c>
      <c r="P27" s="50" t="s">
        <v>124</v>
      </c>
      <c r="Q27" s="52" t="n">
        <v>19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46240</v>
      </c>
      <c r="O28" s="55" t="n">
        <v>46240</v>
      </c>
      <c r="P28" s="50" t="s">
        <v>124</v>
      </c>
      <c r="Q28" s="52" t="n">
        <v>19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46196</v>
      </c>
      <c r="O29" s="33" t="n">
        <v>46436</v>
      </c>
      <c r="P29" s="34" t="s">
        <v>75</v>
      </c>
      <c r="Q29" s="31" t="n">
        <v>131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46196</v>
      </c>
      <c r="O30" s="45" t="n">
        <v>46196</v>
      </c>
      <c r="P30" s="46" t="s">
        <v>115</v>
      </c>
      <c r="Q30" s="37" t="n">
        <v>-1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46196</v>
      </c>
      <c r="O31" s="55" t="n">
        <v>46196</v>
      </c>
      <c r="P31" s="50" t="s">
        <v>124</v>
      </c>
      <c r="Q31" s="52" t="n">
        <v>-1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46196</v>
      </c>
      <c r="O32" s="55" t="n">
        <v>46196</v>
      </c>
      <c r="P32" s="50" t="s">
        <v>124</v>
      </c>
      <c r="Q32" s="52" t="n">
        <v>-1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46196</v>
      </c>
      <c r="O33" s="55" t="n">
        <v>46196</v>
      </c>
      <c r="P33" s="50" t="s">
        <v>124</v>
      </c>
      <c r="Q33" s="52" t="n">
        <v>-1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46202</v>
      </c>
      <c r="O34" s="45" t="n">
        <v>46211</v>
      </c>
      <c r="P34" s="46" t="s">
        <v>115</v>
      </c>
      <c r="Q34" s="37" t="n">
        <v>-2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46202</v>
      </c>
      <c r="O35" s="55" t="n">
        <v>46207</v>
      </c>
      <c r="P35" s="50" t="s">
        <v>124</v>
      </c>
      <c r="Q35" s="52" t="n">
        <v>-1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46202</v>
      </c>
      <c r="O36" s="55" t="n">
        <v>46207</v>
      </c>
      <c r="P36" s="50" t="s">
        <v>124</v>
      </c>
      <c r="Q36" s="52" t="n">
        <v>-2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46205</v>
      </c>
      <c r="O37" s="55" t="n">
        <v>46208</v>
      </c>
      <c r="P37" s="50" t="s">
        <v>124</v>
      </c>
      <c r="Q37" s="52" t="n">
        <v>-2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46207</v>
      </c>
      <c r="O38" s="55" t="n">
        <v>46211</v>
      </c>
      <c r="P38" s="50" t="s">
        <v>124</v>
      </c>
      <c r="Q38" s="52" t="n">
        <v>-2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46221</v>
      </c>
      <c r="O39" s="45" t="n">
        <v>46221</v>
      </c>
      <c r="P39" s="46" t="s">
        <v>115</v>
      </c>
      <c r="Q39" s="37" t="n">
        <v>-6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46221</v>
      </c>
      <c r="O40" s="55" t="n">
        <v>46221</v>
      </c>
      <c r="P40" s="50" t="s">
        <v>124</v>
      </c>
      <c r="Q40" s="52" t="n">
        <v>-6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46221</v>
      </c>
      <c r="O41" s="55" t="n">
        <v>46221</v>
      </c>
      <c r="P41" s="50" t="s">
        <v>124</v>
      </c>
      <c r="Q41" s="52" t="n">
        <v>-6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46221</v>
      </c>
      <c r="O42" s="55" t="n">
        <v>46221</v>
      </c>
      <c r="P42" s="50" t="s">
        <v>124</v>
      </c>
      <c r="Q42" s="52" t="n">
        <v>-6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46203</v>
      </c>
      <c r="O43" s="45" t="n">
        <v>46216</v>
      </c>
      <c r="P43" s="46" t="s">
        <v>115</v>
      </c>
      <c r="Q43" s="37" t="n">
        <v>-1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46203</v>
      </c>
      <c r="O44" s="55" t="n">
        <v>46206</v>
      </c>
      <c r="P44" s="50" t="s">
        <v>124</v>
      </c>
      <c r="Q44" s="52" t="n">
        <v>-1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46204</v>
      </c>
      <c r="O45" s="55" t="n">
        <v>46210</v>
      </c>
      <c r="P45" s="50" t="s">
        <v>124</v>
      </c>
      <c r="Q45" s="52" t="n">
        <v>0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46210</v>
      </c>
      <c r="O46" s="55" t="n">
        <v>46216</v>
      </c>
      <c r="P46" s="50" t="s">
        <v>124</v>
      </c>
      <c r="Q46" s="52" t="n">
        <v>-1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46279</v>
      </c>
      <c r="M55" s="43"/>
      <c r="N55" s="44" t="n">
        <v>46279</v>
      </c>
      <c r="O55" s="45" t="n">
        <v>46279</v>
      </c>
      <c r="P55" s="46" t="s">
        <v>60</v>
      </c>
      <c r="Q55" s="37" t="n">
        <v>19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46279</v>
      </c>
      <c r="L57" s="42"/>
      <c r="M57" s="43" t="s">
        <v>114</v>
      </c>
      <c r="N57" s="44" t="n">
        <v>46279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</v>
      </c>
      <c r="C58" s="38" t="s">
        <v>284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46315</v>
      </c>
      <c r="O58" s="45" t="n">
        <v>46321</v>
      </c>
      <c r="P58" s="46" t="s">
        <v>285</v>
      </c>
      <c r="Q58" s="37" t="n">
        <v>33</v>
      </c>
      <c r="R58" s="39"/>
      <c r="S58" s="39" t="n">
        <v>1</v>
      </c>
      <c r="T58" s="39" t="s">
        <v>286</v>
      </c>
      <c r="U58" s="58" t="n">
        <v>46315.0058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46394</v>
      </c>
      <c r="O59" s="45" t="n">
        <v>46394</v>
      </c>
      <c r="P59" s="46" t="s">
        <v>285</v>
      </c>
      <c r="Q59" s="37" t="n">
        <v>105</v>
      </c>
      <c r="R59" s="39"/>
      <c r="S59" s="39" t="n">
        <v>1</v>
      </c>
      <c r="T59" s="39" t="s">
        <v>286</v>
      </c>
      <c r="U59" s="58" t="n">
        <v>46394.0059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46395</v>
      </c>
      <c r="O60" s="60" t="n">
        <v>46436</v>
      </c>
      <c r="P60" s="46" t="s">
        <v>285</v>
      </c>
      <c r="Q60" s="37" t="n">
        <v>131</v>
      </c>
      <c r="R60" s="39"/>
      <c r="S60" s="39" t="n">
        <v>1</v>
      </c>
      <c r="T60" s="39" t="s">
        <v>286</v>
      </c>
      <c r="U60" s="58" t="n">
        <v>46395.006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46239</v>
      </c>
      <c r="O61" s="33" t="n">
        <v>46256</v>
      </c>
      <c r="P61" s="34" t="s">
        <v>60</v>
      </c>
      <c r="Q61" s="31" t="n">
        <v>-3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9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46239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305</v>
      </c>
      <c r="N63" s="55" t="n">
        <v>46239</v>
      </c>
      <c r="O63" s="55" t="n">
        <v>46240</v>
      </c>
      <c r="P63" s="50" t="s">
        <v>124</v>
      </c>
      <c r="Q63" s="52" t="n">
        <v>8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309</v>
      </c>
      <c r="N64" s="55" t="n">
        <v>46239</v>
      </c>
      <c r="O64" s="55" t="n">
        <v>46241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313</v>
      </c>
      <c r="N65" s="55" t="n">
        <v>46240</v>
      </c>
      <c r="O65" s="55" t="n">
        <v>46243</v>
      </c>
      <c r="P65" s="50" t="s">
        <v>124</v>
      </c>
      <c r="Q65" s="52" t="n">
        <v>5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317</v>
      </c>
      <c r="N66" s="55" t="n">
        <v>46242</v>
      </c>
      <c r="O66" s="55" t="n">
        <v>46246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321</v>
      </c>
      <c r="N67" s="55" t="n">
        <v>46244</v>
      </c>
      <c r="O67" s="55" t="n">
        <v>46247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325</v>
      </c>
      <c r="N68" s="55" t="n">
        <v>46245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329</v>
      </c>
      <c r="N69" s="55" t="n">
        <v>46247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46250</v>
      </c>
      <c r="O70" s="45" t="n">
        <v>46253</v>
      </c>
      <c r="P70" s="46" t="s">
        <v>115</v>
      </c>
      <c r="Q70" s="37" t="n">
        <v>-4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337</v>
      </c>
      <c r="N71" s="55" t="n">
        <v>46250</v>
      </c>
      <c r="O71" s="55" t="n">
        <v>46251</v>
      </c>
      <c r="P71" s="50" t="s">
        <v>124</v>
      </c>
      <c r="Q71" s="52" t="n">
        <v>-1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341</v>
      </c>
      <c r="N72" s="55" t="n">
        <v>46251</v>
      </c>
      <c r="O72" s="55" t="n">
        <v>46252</v>
      </c>
      <c r="P72" s="50" t="s">
        <v>124</v>
      </c>
      <c r="Q72" s="52" t="n">
        <v>-3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345</v>
      </c>
      <c r="N73" s="55" t="n">
        <v>46251</v>
      </c>
      <c r="O73" s="55" t="n">
        <v>46252</v>
      </c>
      <c r="P73" s="50" t="s">
        <v>124</v>
      </c>
      <c r="Q73" s="52" t="n">
        <v>-3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349</v>
      </c>
      <c r="N74" s="55" t="n">
        <v>46252</v>
      </c>
      <c r="O74" s="55" t="n">
        <v>46253</v>
      </c>
      <c r="P74" s="50" t="s">
        <v>124</v>
      </c>
      <c r="Q74" s="52" t="n">
        <v>-4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353</v>
      </c>
      <c r="N75" s="55" t="n">
        <v>46252</v>
      </c>
      <c r="O75" s="55" t="n">
        <v>46253</v>
      </c>
      <c r="P75" s="50" t="s">
        <v>124</v>
      </c>
      <c r="Q75" s="52" t="n">
        <v>-4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4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46251</v>
      </c>
      <c r="O76" s="45" t="n">
        <v>46254</v>
      </c>
      <c r="P76" s="46" t="s">
        <v>115</v>
      </c>
      <c r="Q76" s="37" t="n">
        <v>-3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361</v>
      </c>
      <c r="N77" s="55" t="n">
        <v>46251</v>
      </c>
      <c r="O77" s="55" t="n">
        <v>46252</v>
      </c>
      <c r="P77" s="50" t="s">
        <v>124</v>
      </c>
      <c r="Q77" s="52" t="n">
        <v>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365</v>
      </c>
      <c r="N78" s="55" t="n">
        <v>46251</v>
      </c>
      <c r="O78" s="55" t="n">
        <v>46254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369</v>
      </c>
      <c r="N79" s="55" t="n">
        <v>46252</v>
      </c>
      <c r="O79" s="55" t="n">
        <v>46254</v>
      </c>
      <c r="P79" s="50" t="s">
        <v>124</v>
      </c>
      <c r="Q79" s="52" t="n">
        <v>-3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373</v>
      </c>
      <c r="N80" s="55" t="n">
        <v>46253</v>
      </c>
      <c r="O80" s="55" t="n">
        <v>46254</v>
      </c>
      <c r="P80" s="50" t="s">
        <v>124</v>
      </c>
      <c r="Q80" s="52" t="n">
        <v>-3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377</v>
      </c>
      <c r="N81" s="55" t="n">
        <v>46254</v>
      </c>
      <c r="O81" s="55" t="n">
        <v>46254</v>
      </c>
      <c r="P81" s="50" t="s">
        <v>124</v>
      </c>
      <c r="Q81" s="52" t="n">
        <v>-3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385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389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46250</v>
      </c>
      <c r="O85" s="45" t="n">
        <v>46253</v>
      </c>
      <c r="P85" s="46" t="s">
        <v>115</v>
      </c>
      <c r="Q85" s="37" t="n">
        <v>-2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397</v>
      </c>
      <c r="N86" s="55" t="n">
        <v>46250</v>
      </c>
      <c r="O86" s="55" t="n">
        <v>46252</v>
      </c>
      <c r="P86" s="50" t="s">
        <v>124</v>
      </c>
      <c r="Q86" s="52" t="n">
        <v>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401</v>
      </c>
      <c r="N87" s="55" t="n">
        <v>46251</v>
      </c>
      <c r="O87" s="55" t="n">
        <v>46253</v>
      </c>
      <c r="P87" s="50" t="s">
        <v>124</v>
      </c>
      <c r="Q87" s="52" t="n">
        <v>-1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405</v>
      </c>
      <c r="N88" s="55" t="n">
        <v>46252</v>
      </c>
      <c r="O88" s="55" t="n">
        <v>46253</v>
      </c>
      <c r="P88" s="50" t="s">
        <v>124</v>
      </c>
      <c r="Q88" s="52" t="n">
        <v>-2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409</v>
      </c>
      <c r="N89" s="55" t="n">
        <v>46253</v>
      </c>
      <c r="O89" s="55" t="n">
        <v>46253</v>
      </c>
      <c r="P89" s="50" t="s">
        <v>124</v>
      </c>
      <c r="Q89" s="52" t="n">
        <v>-2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46251</v>
      </c>
      <c r="O90" s="45" t="n">
        <v>46254</v>
      </c>
      <c r="P90" s="46" t="s">
        <v>115</v>
      </c>
      <c r="Q90" s="37" t="n">
        <v>-2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418</v>
      </c>
      <c r="N91" s="55" t="n">
        <v>46251</v>
      </c>
      <c r="O91" s="55" t="n">
        <v>46253</v>
      </c>
      <c r="P91" s="50" t="s">
        <v>124</v>
      </c>
      <c r="Q91" s="52" t="n">
        <v>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422</v>
      </c>
      <c r="N92" s="55" t="n">
        <v>46253</v>
      </c>
      <c r="O92" s="55" t="n">
        <v>46254</v>
      </c>
      <c r="P92" s="50" t="s">
        <v>124</v>
      </c>
      <c r="Q92" s="52" t="n">
        <v>-2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426</v>
      </c>
      <c r="N93" s="55" t="n">
        <v>46251</v>
      </c>
      <c r="O93" s="55" t="n">
        <v>46253</v>
      </c>
      <c r="P93" s="50" t="s">
        <v>124</v>
      </c>
      <c r="Q93" s="52" t="n">
        <v>2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430</v>
      </c>
      <c r="N94" s="55" t="n">
        <v>46253</v>
      </c>
      <c r="O94" s="55" t="n">
        <v>46254</v>
      </c>
      <c r="P94" s="50" t="s">
        <v>124</v>
      </c>
      <c r="Q94" s="52" t="n">
        <v>-2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434</v>
      </c>
      <c r="N95" s="55" t="n">
        <v>46254</v>
      </c>
      <c r="O95" s="55" t="n">
        <v>46254</v>
      </c>
      <c r="P95" s="50" t="s">
        <v>124</v>
      </c>
      <c r="Q95" s="52" t="n">
        <v>-2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46252</v>
      </c>
      <c r="O96" s="45" t="n">
        <v>46254</v>
      </c>
      <c r="P96" s="46" t="s">
        <v>115</v>
      </c>
      <c r="Q96" s="37" t="n">
        <v>-2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441</v>
      </c>
      <c r="N97" s="55" t="n">
        <v>46252</v>
      </c>
      <c r="O97" s="55" t="n">
        <v>46254</v>
      </c>
      <c r="P97" s="50" t="s">
        <v>124</v>
      </c>
      <c r="Q97" s="52" t="n">
        <v>-1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445</v>
      </c>
      <c r="N98" s="55" t="n">
        <v>46253</v>
      </c>
      <c r="O98" s="55" t="n">
        <v>46254</v>
      </c>
      <c r="P98" s="50" t="s">
        <v>124</v>
      </c>
      <c r="Q98" s="52" t="n">
        <v>-2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449</v>
      </c>
      <c r="N99" s="55" t="n">
        <v>46254</v>
      </c>
      <c r="O99" s="55" t="n">
        <v>46254</v>
      </c>
      <c r="P99" s="50" t="s">
        <v>124</v>
      </c>
      <c r="Q99" s="52" t="n">
        <v>-2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46253</v>
      </c>
      <c r="O100" s="45" t="n">
        <v>46255</v>
      </c>
      <c r="P100" s="46" t="s">
        <v>115</v>
      </c>
      <c r="Q100" s="37" t="n">
        <v>-2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463</v>
      </c>
      <c r="N103" s="55" t="n">
        <v>46253</v>
      </c>
      <c r="O103" s="55" t="n">
        <v>46254</v>
      </c>
      <c r="P103" s="50" t="s">
        <v>124</v>
      </c>
      <c r="Q103" s="52" t="n">
        <v>-2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467</v>
      </c>
      <c r="N104" s="55" t="n">
        <v>46254</v>
      </c>
      <c r="O104" s="55" t="n">
        <v>46255</v>
      </c>
      <c r="P104" s="50" t="s">
        <v>124</v>
      </c>
      <c r="Q104" s="52" t="n">
        <v>-1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471</v>
      </c>
      <c r="N105" s="55" t="n">
        <v>46254</v>
      </c>
      <c r="O105" s="55" t="n">
        <v>46255</v>
      </c>
      <c r="P105" s="50" t="s">
        <v>124</v>
      </c>
      <c r="Q105" s="52" t="n">
        <v>-2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475</v>
      </c>
      <c r="N106" s="55" t="n">
        <v>46255</v>
      </c>
      <c r="O106" s="55" t="n">
        <v>46255</v>
      </c>
      <c r="P106" s="50" t="s">
        <v>124</v>
      </c>
      <c r="Q106" s="52" t="n">
        <v>-2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46254</v>
      </c>
      <c r="O107" s="45" t="n">
        <v>46255</v>
      </c>
      <c r="P107" s="46" t="s">
        <v>115</v>
      </c>
      <c r="Q107" s="37" t="n">
        <v>-3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482</v>
      </c>
      <c r="N108" s="55" t="n">
        <v>46254</v>
      </c>
      <c r="O108" s="55" t="n">
        <v>46255</v>
      </c>
      <c r="P108" s="50" t="s">
        <v>124</v>
      </c>
      <c r="Q108" s="52" t="n">
        <v>-2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486</v>
      </c>
      <c r="N109" s="55" t="n">
        <v>46255</v>
      </c>
      <c r="O109" s="55" t="n">
        <v>46255</v>
      </c>
      <c r="P109" s="50" t="s">
        <v>124</v>
      </c>
      <c r="Q109" s="52" t="n">
        <v>-3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490</v>
      </c>
      <c r="N110" s="55" t="n">
        <v>46254</v>
      </c>
      <c r="O110" s="55" t="n">
        <v>46255</v>
      </c>
      <c r="P110" s="50" t="s">
        <v>124</v>
      </c>
      <c r="Q110" s="52" t="n">
        <v>-2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46256</v>
      </c>
      <c r="M111" s="43"/>
      <c r="N111" s="44" t="n">
        <v>46256</v>
      </c>
      <c r="O111" s="45" t="n">
        <v>46256</v>
      </c>
      <c r="P111" s="46" t="s">
        <v>60</v>
      </c>
      <c r="Q111" s="37" t="n">
        <v>-3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498</v>
      </c>
      <c r="N112" s="55" t="n">
        <v>46256</v>
      </c>
      <c r="O112" s="55" t="n">
        <v>46256</v>
      </c>
      <c r="P112" s="50" t="s">
        <v>124</v>
      </c>
      <c r="Q112" s="52" t="n">
        <v>-3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502</v>
      </c>
      <c r="N113" s="55" t="n">
        <v>46256</v>
      </c>
      <c r="O113" s="55" t="n">
        <v>46256</v>
      </c>
      <c r="P113" s="50" t="s">
        <v>124</v>
      </c>
      <c r="Q113" s="52" t="n">
        <v>-3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46455</v>
      </c>
      <c r="P114" s="34" t="s">
        <v>75</v>
      </c>
      <c r="Q114" s="31" t="n">
        <v>133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46391</v>
      </c>
      <c r="O115" s="45" t="n">
        <v>46391</v>
      </c>
      <c r="P115" s="46" t="s">
        <v>285</v>
      </c>
      <c r="Q115" s="37" t="n">
        <v>129</v>
      </c>
      <c r="R115" s="39"/>
      <c r="S115" s="39" t="n">
        <v>1</v>
      </c>
      <c r="T115" s="39" t="s">
        <v>286</v>
      </c>
      <c r="U115" s="58" t="n">
        <v>46391.0115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512</v>
      </c>
      <c r="N116" s="55" t="n">
        <v>46391</v>
      </c>
      <c r="O116" s="55" t="n">
        <v>46391</v>
      </c>
      <c r="P116" s="50" t="s">
        <v>285</v>
      </c>
      <c r="Q116" s="52" t="n">
        <v>131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516</v>
      </c>
      <c r="N117" s="55" t="n">
        <v>46391</v>
      </c>
      <c r="O117" s="55" t="n">
        <v>46391</v>
      </c>
      <c r="P117" s="50" t="s">
        <v>285</v>
      </c>
      <c r="Q117" s="52" t="n">
        <v>130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520</v>
      </c>
      <c r="N118" s="55" t="n">
        <v>46391</v>
      </c>
      <c r="O118" s="55" t="n">
        <v>46391</v>
      </c>
      <c r="P118" s="50" t="s">
        <v>285</v>
      </c>
      <c r="Q118" s="52" t="n">
        <v>130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524</v>
      </c>
      <c r="N119" s="55" t="n">
        <v>46391</v>
      </c>
      <c r="O119" s="55" t="n">
        <v>46391</v>
      </c>
      <c r="P119" s="50" t="s">
        <v>285</v>
      </c>
      <c r="Q119" s="52" t="n">
        <v>130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528</v>
      </c>
      <c r="N120" s="55" t="n">
        <v>46391</v>
      </c>
      <c r="O120" s="55" t="n">
        <v>46391</v>
      </c>
      <c r="P120" s="50" t="s">
        <v>285</v>
      </c>
      <c r="Q120" s="52" t="n">
        <v>129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532</v>
      </c>
      <c r="N121" s="55" t="n">
        <v>46391</v>
      </c>
      <c r="O121" s="55" t="n">
        <v>46391</v>
      </c>
      <c r="P121" s="50" t="s">
        <v>285</v>
      </c>
      <c r="Q121" s="52" t="n">
        <v>129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46356</v>
      </c>
      <c r="O122" s="45" t="n">
        <v>46356</v>
      </c>
      <c r="P122" s="46" t="s">
        <v>285</v>
      </c>
      <c r="Q122" s="37" t="n">
        <v>94</v>
      </c>
      <c r="R122" s="39"/>
      <c r="S122" s="39" t="n">
        <v>1</v>
      </c>
      <c r="T122" s="39" t="s">
        <v>286</v>
      </c>
      <c r="U122" s="58" t="n">
        <v>46356.0122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46442</v>
      </c>
      <c r="O124" s="45" t="n">
        <v>46455</v>
      </c>
      <c r="P124" s="46" t="s">
        <v>285</v>
      </c>
      <c r="Q124" s="37" t="n">
        <v>133</v>
      </c>
      <c r="R124" s="39"/>
      <c r="S124" s="39" t="n">
        <v>1</v>
      </c>
      <c r="T124" s="39" t="s">
        <v>286</v>
      </c>
      <c r="U124" s="58" t="n">
        <v>46442.0124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547</v>
      </c>
      <c r="N125" s="55" t="n">
        <v>46442</v>
      </c>
      <c r="O125" s="55" t="n">
        <v>46446</v>
      </c>
      <c r="P125" s="50" t="s">
        <v>285</v>
      </c>
      <c r="Q125" s="52" t="n">
        <v>133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551</v>
      </c>
      <c r="N126" s="55" t="n">
        <v>46445</v>
      </c>
      <c r="O126" s="55" t="n">
        <v>46452</v>
      </c>
      <c r="P126" s="50" t="s">
        <v>285</v>
      </c>
      <c r="Q126" s="52" t="n">
        <v>133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555</v>
      </c>
      <c r="N127" s="55" t="n">
        <v>46452</v>
      </c>
      <c r="O127" s="55" t="n">
        <v>46455</v>
      </c>
      <c r="P127" s="50" t="s">
        <v>285</v>
      </c>
      <c r="Q127" s="52" t="n">
        <v>133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46321</v>
      </c>
      <c r="M128" s="43"/>
      <c r="N128" s="44" t="n">
        <v>46321</v>
      </c>
      <c r="O128" s="45" t="n">
        <v>46321</v>
      </c>
      <c r="P128" s="46" t="s">
        <v>558</v>
      </c>
      <c r="Q128" s="37" t="n">
        <v>49</v>
      </c>
      <c r="R128" s="39"/>
      <c r="S128" s="39" t="n">
        <v>1</v>
      </c>
      <c r="T128" s="39" t="s">
        <v>559</v>
      </c>
      <c r="U128" s="58" t="n">
        <v>46321.0128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46322</v>
      </c>
      <c r="O129" s="45" t="n">
        <v>46322</v>
      </c>
      <c r="P129" s="46" t="s">
        <v>285</v>
      </c>
      <c r="Q129" s="37" t="n">
        <v>50</v>
      </c>
      <c r="R129" s="39"/>
      <c r="S129" s="39" t="n">
        <v>1</v>
      </c>
      <c r="T129" s="39" t="s">
        <v>286</v>
      </c>
      <c r="U129" s="58" t="n">
        <v>46322.0129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46322</v>
      </c>
      <c r="O130" s="45" t="n">
        <v>46328</v>
      </c>
      <c r="P130" s="46" t="s">
        <v>285</v>
      </c>
      <c r="Q130" s="37" t="n">
        <v>56</v>
      </c>
      <c r="R130" s="39"/>
      <c r="S130" s="39" t="n">
        <v>1</v>
      </c>
      <c r="T130" s="39" t="s">
        <v>286</v>
      </c>
      <c r="U130" s="58" t="n">
        <v>46322.013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46437</v>
      </c>
      <c r="O131" s="45" t="n">
        <v>46441</v>
      </c>
      <c r="P131" s="46" t="s">
        <v>285</v>
      </c>
      <c r="Q131" s="37" t="n">
        <v>133</v>
      </c>
      <c r="R131" s="39"/>
      <c r="S131" s="39" t="n">
        <v>1</v>
      </c>
      <c r="T131" s="39" t="s">
        <v>286</v>
      </c>
      <c r="U131" s="58" t="n">
        <v>46437.0131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643</v>
      </c>
      <c r="C8" s="95" t="s">
        <v>644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46196</v>
      </c>
      <c r="F9" s="99" t="n">
        <v>46196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46202</v>
      </c>
      <c r="F11" s="99" t="n">
        <v>46211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46221</v>
      </c>
      <c r="F13" s="99" t="n">
        <v>46221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46203</v>
      </c>
      <c r="F15" s="99" t="n">
        <v>46216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46279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46239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 t="n">
        <v>10</v>
      </c>
      <c r="T24" s="101" t="n">
        <v>10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46250</v>
      </c>
      <c r="F26" s="99" t="n">
        <v>46253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5</v>
      </c>
      <c r="U26" s="101" t="n">
        <v>5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46251</v>
      </c>
      <c r="F28" s="99" t="n">
        <v>46254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20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46250</v>
      </c>
      <c r="F32" s="99" t="n">
        <v>46253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7.5</v>
      </c>
      <c r="U32" s="101" t="n">
        <v>7.5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46251</v>
      </c>
      <c r="F34" s="99" t="n">
        <v>46254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46252</v>
      </c>
      <c r="F36" s="99" t="n">
        <v>46254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46253</v>
      </c>
      <c r="F38" s="99" t="n">
        <v>46255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46254</v>
      </c>
      <c r="F40" s="99" t="n">
        <v>46255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663</v>
      </c>
      <c r="C42" s="95" t="s">
        <v>644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664</v>
      </c>
      <c r="C44" s="95" t="s">
        <v>644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1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10</v>
      </c>
      <c r="T48" s="103" t="n">
        <f aca="false">SUMIF($C$7:$C$45,"Actual",T$7:T$45)</f>
        <v>22.5</v>
      </c>
      <c r="U48" s="103" t="n">
        <f aca="false">SUMIF($C$7:$C$45,"Actual",U$7:U$45)</f>
        <v>57.5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3.5</v>
      </c>
      <c r="Q50" s="105" t="n">
        <f aca="false">IF(Q$6&gt;46314,"",P50+Q48)</f>
        <v>3.5</v>
      </c>
      <c r="R50" s="105" t="n">
        <f aca="false">IF(R$6&gt;46314,"",Q50+R48)</f>
        <v>3.5</v>
      </c>
      <c r="S50" s="105" t="n">
        <f aca="false">IF(S$6&gt;46314,"",R50+S48)</f>
        <v>13.5</v>
      </c>
      <c r="T50" s="105" t="n">
        <f aca="false">IF(T$6&gt;46314,"",S50+T48)</f>
        <v>36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93.75</v>
      </c>
      <c r="Z50" s="105" t="n">
        <f aca="false">IF(Z$6&gt;46314,"",Y50+Z48)</f>
        <v>94</v>
      </c>
      <c r="AA50" s="105" t="n">
        <f aca="false">IF(AA$6&gt;46314,"",Z50+AA48)</f>
        <v>94.25</v>
      </c>
      <c r="AB50" s="105" t="n">
        <f aca="false">IF(AB$6&gt;46314,"",AA50+AB48)</f>
        <v>94.5</v>
      </c>
      <c r="AC50" s="105" t="n">
        <f aca="false">IF(AC$6&gt;46314,"",AB50+AC48)</f>
        <v>94.75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2026-10-26T04:43:34Z</dcterms:created>
  <dc:creator>openpyxl</dc:creator>
  <dc:description/>
  <dc:language>en-US</dc:language>
  <cp:lastModifiedBy/>
  <dcterms:modified xsi:type="dcterms:W3CDTF">2026-10-26T11:47:04Z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