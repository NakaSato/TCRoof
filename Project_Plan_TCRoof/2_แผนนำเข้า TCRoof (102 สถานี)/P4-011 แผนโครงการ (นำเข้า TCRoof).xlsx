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<sst xmlns="http://schemas.openxmlformats.org/spreadsheetml/2006/main" count="1303" uniqueCount="666">
  <si>
    <t xml:space="preserve">แผนโครงการ P4-011 – สถานีหนองฉาง 84.36 kWp</t>
  </si>
  <si>
    <t xml:space="preserve">กปภ.สาขาอุทัยธานี, ภาคเหนือ-กลาง, กฟภ. เขต น.3, Inverter 80 kW (ไม่ต้อง พค.2), Zero export LV, คำขอ PPIM1A5066F7, วิศวกร เก้า, Admin บีม,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</si>
  <si>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</si>
  <si>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</si>
  <si>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</si>
  <si>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</si>
  <si>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</si>
  <si>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</si>
  <si>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</si>
  <si>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</si>
  <si>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</si>
  <si>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</si>
  <si>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</si>
  <si>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</si>
  <si>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</si>
  <si>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</si>
  <si>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</si>
  <si>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</si>
  <si>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</si>
  <si>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</si>
  <si>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</si>
  <si>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</si>
  <si>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</si>
  <si>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</si>
  <si>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</si>
  <si>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</si>
  <si>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</si>
  <si>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</si>
  <si>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</si>
  <si>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P4-011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</si>
  <si>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</si>
  <si>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</si>
  <si>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</si>
  <si>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</si>
  <si>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</si>
  <si>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</si>
  <si>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</si>
  <si>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</si>
  <si>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</si>
  <si>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</si>
  <si>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</si>
  <si>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</si>
  <si>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</si>
  <si>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</si>
  <si>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</si>
  <si>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</si>
  <si>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</si>
  <si>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</si>
  <si>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</si>
  <si>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</si>
  <si>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</si>
  <si>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</si>
  <si>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</si>
  <si>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</si>
  <si>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</si>
  <si>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</si>
  <si>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</si>
  <si>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</si>
  <si>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</si>
  <si>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</si>
  <si>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</si>
  <si>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</si>
  <si>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</si>
  <si>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</si>
  <si>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</si>
  <si>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</si>
  <si>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</si>
  <si>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</si>
  <si>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</si>
  <si>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</si>
  <si>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</si>
  <si>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</si>
  <si>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</si>
  <si>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</si>
  <si>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</si>
  <si>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</si>
  <si>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</si>
  <si>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</si>
  <si>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</si>
  <si>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</si>
  <si>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</si>
  <si>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</si>
  <si>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</si>
  <si>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</si>
  <si>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</si>
  <si>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</si>
  <si>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</si>
  <si>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</si>
  <si>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</si>
  <si>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</si>
  <si>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</si>
  <si>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</si>
  <si>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</si>
  <si>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</si>
  <si>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</si>
  <si>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</si>
  <si>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</si>
  <si>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</si>
  <si>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</si>
  <si>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</si>
  <si>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</si>
  <si>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</si>
  <si>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</si>
  <si>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</si>
  <si>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</si>
  <si>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</si>
  <si>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</si>
  <si>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</si>
  <si>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WBS'!L1799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</si>
  <si>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</si>
  <si>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</si>
  <si>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TC-PML-2026-218,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</si>
  <si>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</si>
  <si>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</si>
  <si>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</si>
  <si>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</si>
  <si>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</si>
  <si>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</si>
  <si>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</si>
  <si>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</si>
  <si>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</si>
  <si>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</si>
  <si>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</si>
  <si>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</si>
  <si>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</si>
  <si>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</si>
  <si>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</si>
  <si>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</si>
  <si>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</si>
  <si>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</si>
  <si>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</si>
  <si>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</si>
  <si>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</si>
  <si>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</si>
  <si>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</si>
  <si>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</si>
  <si>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</si>
  <si>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</si>
  <si>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</si>
  <si>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</si>
  <si>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</si>
  <si>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</si>
  <si>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</si>
  <si>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</si>
  <si>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</si>
  <si>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</si>
  <si>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</si>
  <si>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</si>
  <si>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</si>
  <si>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</si>
  <si>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</si>
  <si>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</si>
  <si>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</si>
  <si>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WBS'!L1806</t>
    </r>
  </si>
  <si>
    <t xml:space="preserve">0.3</t>
  </si>
  <si>
    <t xml:space="preserve">หนังสือแจ้งขอดับไฟ</t>
  </si>
  <si>
    <t xml:space="preserve">TC-PML-2026-497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</si>
  <si>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</si>
  <si>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</si>
  <si>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</si>
  <si>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</si>
  <si>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</si>
  <si>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</si>
  <si>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</si>
  <si>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</si>
  <si>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</si>
  <si>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</si>
  <si>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</si>
  <si>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</si>
  <si>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</si>
  <si>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</si>
  <si>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</si>
  <si>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WBS'!L1809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</si>
  <si>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</si>
  <si>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</si>
  <si>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</si>
  <si>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</si>
  <si>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</si>
  <si>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</si>
  <si>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</si>
  <si>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</si>
  <si>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</si>
  <si>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</si>
  <si>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</si>
  <si>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</si>
  <si>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</si>
  <si>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</si>
  <si>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</si>
  <si>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</si>
  <si>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</si>
  <si>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</si>
  <si>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</si>
  <si>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</si>
  <si>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</si>
  <si>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</si>
  <si>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</si>
  <si>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</si>
  <si>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</si>
  <si>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</si>
  <si>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</si>
  <si>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</si>
  <si>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</si>
  <si>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</si>
  <si>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</si>
  <si>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</si>
  <si>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</si>
  <si>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</si>
  <si>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</si>
  <si>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</si>
  <si>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</si>
  <si>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</si>
  <si>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</si>
  <si>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</si>
  <si>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</si>
  <si>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</si>
  <si>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</si>
  <si>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</si>
  <si>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</si>
  <si>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</si>
  <si>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</si>
  <si>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</si>
  <si>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</si>
  <si>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</si>
  <si>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</si>
  <si>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</si>
  <si>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</si>
  <si>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WBS'!L1819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</si>
  <si>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</si>
  <si>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</si>
  <si>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</si>
  <si>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</si>
  <si>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</si>
  <si>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</si>
  <si>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</si>
  <si>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</si>
  <si>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</si>
  <si>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</si>
  <si>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</si>
  <si>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</si>
  <si>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</si>
  <si>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</si>
  <si>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</si>
  <si>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</si>
  <si>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</si>
  <si>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</si>
  <si>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</si>
  <si>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</si>
  <si>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</si>
  <si>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</si>
  <si>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</si>
  <si>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</si>
  <si>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</si>
  <si>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</si>
  <si>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</si>
  <si>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</si>
  <si>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</si>
  <si>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</si>
  <si>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</si>
  <si>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</si>
  <si>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</si>
  <si>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</si>
  <si>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</si>
  <si>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</si>
  <si>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</si>
  <si>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</si>
  <si>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</si>
  <si>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</si>
  <si>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</si>
  <si>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</si>
  <si>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</si>
  <si>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</si>
  <si>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</si>
  <si>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WBS'!L1824</t>
    </r>
  </si>
  <si>
    <t xml:space="preserve">1.7.1</t>
  </si>
  <si>
    <t xml:space="preserve">คำขอขนานไฟ PPIM (ชุด 11 ไฟล์)</t>
  </si>
  <si>
    <t xml:space="preserve">PPIM1A5066F7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</si>
  <si>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</si>
  <si>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</si>
  <si>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</si>
  <si>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</si>
  <si>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</si>
  <si>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</si>
  <si>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</si>
  <si>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</si>
  <si>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</si>
  <si>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</si>
  <si>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</si>
  <si>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</si>
  <si>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</si>
  <si>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</si>
  <si>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</si>
  <si>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</si>
  <si>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</si>
  <si>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</si>
  <si>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</si>
  <si>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</si>
  <si>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</si>
  <si>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</si>
  <si>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</si>
  <si>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</si>
  <si>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</si>
  <si>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</si>
  <si>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</si>
  <si>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</si>
  <si>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</si>
  <si>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</si>
  <si>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</si>
  <si>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</si>
  <si>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</si>
  <si>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</si>
  <si>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</si>
  <si>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</si>
  <si>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</si>
  <si>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</si>
  <si>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</si>
  <si>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</si>
  <si>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</si>
  <si>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</si>
  <si>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</si>
  <si>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</si>
  <si>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WBS'!L1829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</si>
  <si>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</si>
  <si>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</si>
  <si>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</si>
  <si>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</si>
  <si>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</si>
  <si>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</si>
  <si>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</si>
  <si>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</si>
  <si>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</si>
  <si>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</si>
  <si>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</si>
  <si>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</si>
  <si>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</si>
  <si>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</si>
  <si>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</si>
  <si>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</si>
  <si>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</si>
  <si>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</si>
  <si>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</si>
  <si>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</si>
  <si>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</si>
  <si>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</si>
  <si>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</si>
  <si>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</si>
  <si>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</si>
  <si>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</si>
  <si>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</si>
  <si>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</si>
  <si>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</si>
  <si>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</si>
  <si>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</si>
  <si>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</si>
  <si>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</si>
  <si>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</si>
  <si>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</si>
  <si>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</si>
  <si>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</si>
  <si>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</si>
  <si>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</si>
  <si>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</si>
  <si>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</si>
  <si>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</si>
  <si>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</si>
  <si>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</si>
  <si>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</si>
  <si>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</si>
  <si>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</si>
  <si>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WBS'!L1839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</si>
  <si>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</si>
  <si>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</si>
  <si>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</si>
  <si>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</si>
  <si>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</si>
  <si>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</si>
  <si>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</si>
  <si>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</si>
  <si>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</si>
  <si>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</si>
  <si>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</si>
  <si>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</si>
  <si>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</si>
  <si>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</si>
  <si>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</si>
  <si>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</si>
  <si>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</si>
  <si>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</si>
  <si>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</si>
  <si>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WBS'!L1843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</si>
  <si>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</si>
  <si>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</si>
  <si>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</si>
  <si>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</si>
  <si>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</si>
  <si>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</si>
  <si>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</si>
  <si>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</si>
  <si>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</si>
  <si>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</si>
  <si>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</si>
  <si>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</si>
  <si>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</si>
  <si>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</si>
  <si>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</si>
  <si>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</si>
  <si>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</si>
  <si>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</si>
  <si>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</si>
  <si>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</si>
  <si>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</si>
  <si>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</si>
  <si>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</si>
  <si>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</si>
  <si>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</si>
  <si>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</si>
  <si>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</si>
  <si>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</si>
  <si>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</si>
  <si>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</si>
  <si>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</si>
  <si>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</si>
  <si>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WBS'!L1849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</si>
  <si>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</si>
  <si>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</si>
  <si>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</si>
  <si>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</si>
  <si>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</si>
  <si>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</si>
  <si>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</si>
  <si>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</si>
  <si>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</si>
  <si>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</si>
  <si>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</si>
  <si>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</si>
  <si>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</si>
  <si>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</si>
  <si>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</si>
  <si>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</si>
  <si>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</si>
  <si>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</si>
  <si>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</si>
  <si>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</si>
  <si>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</si>
  <si>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</si>
  <si>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</si>
  <si>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</si>
  <si>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</si>
  <si>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</si>
  <si>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</si>
  <si>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</si>
  <si>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</si>
  <si>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</si>
  <si>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</si>
  <si>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</si>
  <si>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</si>
  <si>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</si>
  <si>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</si>
  <si>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</si>
  <si>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</si>
  <si>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</si>
  <si>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</si>
  <si>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</si>
  <si>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</si>
  <si>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</si>
  <si>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</si>
  <si>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</si>
  <si>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</si>
  <si>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</si>
  <si>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</si>
  <si>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</si>
  <si>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</si>
  <si>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</si>
  <si>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</si>
  <si>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</si>
  <si>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WBS'!L1859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</si>
  <si>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</si>
  <si>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</si>
  <si>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</si>
  <si>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</si>
  <si>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</si>
  <si>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</si>
  <si>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</si>
  <si>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</si>
  <si>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</si>
  <si>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</si>
  <si>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</si>
  <si>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</si>
  <si>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</si>
  <si>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</si>
  <si>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</si>
  <si>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</si>
  <si>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</si>
  <si>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</si>
  <si>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</si>
  <si>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</si>
  <si>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</si>
  <si>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</si>
  <si>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</si>
  <si>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</si>
  <si>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</si>
  <si>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</si>
  <si>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</si>
  <si>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</si>
  <si>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</si>
  <si>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</si>
  <si>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</si>
  <si>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</si>
  <si>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</si>
  <si>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</si>
  <si>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</si>
  <si>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</si>
  <si>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</si>
  <si>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</si>
  <si>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</si>
  <si>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</si>
  <si>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</si>
  <si>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</si>
  <si>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</si>
  <si>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</si>
  <si>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</si>
  <si>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</si>
  <si>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</si>
  <si>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</si>
  <si>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</si>
  <si>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</si>
  <si>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</si>
  <si>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</si>
  <si>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WBS'!L1869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</si>
  <si>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</si>
  <si>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</si>
  <si>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</si>
  <si>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</si>
  <si>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</si>
  <si>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</si>
  <si>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</si>
  <si>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</si>
  <si>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</si>
  <si>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</si>
  <si>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</si>
  <si>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</si>
  <si>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</si>
  <si>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</si>
  <si>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</si>
  <si>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</si>
  <si>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</si>
  <si>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</si>
  <si>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</si>
  <si>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</si>
  <si>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</si>
  <si>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</si>
  <si>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</si>
  <si>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</si>
  <si>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</si>
  <si>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</si>
  <si>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WBS'!L1873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</si>
  <si>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</si>
  <si>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</si>
  <si>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</si>
  <si>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</si>
  <si>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</si>
  <si>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</si>
  <si>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</si>
  <si>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</si>
  <si>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</si>
  <si>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</si>
  <si>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</si>
  <si>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</si>
  <si>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</si>
  <si>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</si>
  <si>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</si>
  <si>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</si>
  <si>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</si>
  <si>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</si>
  <si>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</si>
  <si>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</si>
  <si>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</si>
  <si>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</si>
  <si>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</si>
  <si>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</si>
  <si>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</si>
  <si>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</si>
  <si>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</si>
  <si>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</si>
  <si>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</si>
  <si>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</si>
  <si>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</si>
  <si>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</si>
  <si>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</si>
  <si>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</si>
  <si>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</si>
  <si>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</si>
  <si>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</si>
  <si>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</si>
  <si>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</si>
  <si>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</si>
  <si>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</si>
  <si>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</si>
  <si>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</si>
  <si>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</si>
  <si>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</si>
  <si>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</si>
  <si>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</si>
  <si>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</si>
  <si>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</si>
  <si>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</si>
  <si>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</si>
  <si>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</si>
  <si>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</si>
  <si>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</si>
  <si>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</si>
  <si>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</si>
  <si>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สถานีหนองฉาง การประปาส่วนภูมิภาคสาขาอุทัยธานี ขนาดกำลังผลิต </t>
    </r>
    <r>
      <rPr>
        <sz val="10"/>
        <rFont val="Tahoma"/>
        <family val="0"/>
        <charset val="1"/>
      </rPr>
      <t xml:space="preserve">84.36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</si>
  <si>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</si>
  <si>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</si>
  <si>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</si>
  <si>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P4-011,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</si>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</sst>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3.5</c:v>
                </c:pt>
                <c:pt idx="9">
                  <c:v>13.5</c:v>
                </c:pt>
                <c:pt idx="10">
                  <c:v>23.5</c:v>
                </c:pt>
                <c:pt idx="11">
                  <c:v>73.5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242827"/>
        <c:axId val="18495511"/>
      </c:lineChart>
      <c:catAx>
        <c:axId val="1024282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95511"/>
        <c:crosses val="autoZero"/>
        <c:auto val="1"/>
        <c:lblAlgn val="ctr"/>
        <c:lblOffset val="100"/>
        <c:noMultiLvlLbl val="0"/>
      </c:catAx>
      <c:valAx>
        <c:axId val="184955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428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46371</v>
      </c>
      <c r="G4" s="10"/>
      <c r="H4" s="10"/>
      <c r="J4" s="11" t="n">
        <v>0.95</v>
      </c>
      <c r="K4" s="11"/>
      <c r="L4" s="12" t="n">
        <v>73</v>
      </c>
      <c r="M4" s="12"/>
      <c r="N4" s="12" t="n">
        <v>79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46391</v>
      </c>
      <c r="P8" s="34" t="s">
        <v>75</v>
      </c>
      <c r="Q8" s="31" t="n">
        <v>82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46391</v>
      </c>
      <c r="P9" s="46" t="s">
        <v>75</v>
      </c>
      <c r="Q9" s="37" t="n">
        <v>82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46205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46205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46205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46215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46205</v>
      </c>
      <c r="O14" s="55" t="n">
        <v>46391</v>
      </c>
      <c r="P14" s="50" t="s">
        <v>75</v>
      </c>
      <c r="Q14" s="52" t="n">
        <v>82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46205</v>
      </c>
      <c r="O15" s="55" t="n">
        <v>46391</v>
      </c>
      <c r="P15" s="50" t="s">
        <v>75</v>
      </c>
      <c r="Q15" s="52" t="n">
        <v>82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153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46240</v>
      </c>
      <c r="M25" s="43"/>
      <c r="N25" s="44" t="n">
        <v>46240</v>
      </c>
      <c r="O25" s="45" t="n">
        <v>46240</v>
      </c>
      <c r="P25" s="46" t="s">
        <v>60</v>
      </c>
      <c r="Q25" s="37" t="n">
        <v>32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164</v>
      </c>
      <c r="N26" s="55" t="n">
        <v>46240</v>
      </c>
      <c r="O26" s="55" t="n">
        <v>46240</v>
      </c>
      <c r="P26" s="50" t="s">
        <v>124</v>
      </c>
      <c r="Q26" s="52" t="n">
        <v>32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168</v>
      </c>
      <c r="N27" s="55" t="n">
        <v>46240</v>
      </c>
      <c r="O27" s="55" t="n">
        <v>46240</v>
      </c>
      <c r="P27" s="50" t="s">
        <v>124</v>
      </c>
      <c r="Q27" s="52" t="n">
        <v>32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172</v>
      </c>
      <c r="N28" s="55" t="n">
        <v>46240</v>
      </c>
      <c r="O28" s="55" t="n">
        <v>46240</v>
      </c>
      <c r="P28" s="50" t="s">
        <v>124</v>
      </c>
      <c r="Q28" s="52" t="n">
        <v>32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46371</v>
      </c>
      <c r="P29" s="34" t="s">
        <v>75</v>
      </c>
      <c r="Q29" s="31" t="n">
        <v>79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182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186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190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198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202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206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210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46214</v>
      </c>
      <c r="O39" s="45" t="n">
        <v>46214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218</v>
      </c>
      <c r="N40" s="55" t="n">
        <v>46214</v>
      </c>
      <c r="O40" s="55" t="n">
        <v>46214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222</v>
      </c>
      <c r="N41" s="55" t="n">
        <v>46214</v>
      </c>
      <c r="O41" s="55" t="n">
        <v>46214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226</v>
      </c>
      <c r="N42" s="55" t="n">
        <v>46214</v>
      </c>
      <c r="O42" s="55" t="n">
        <v>46214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235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239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243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46261</v>
      </c>
      <c r="M55" s="43"/>
      <c r="N55" s="44" t="n">
        <v>46261</v>
      </c>
      <c r="O55" s="45" t="n">
        <v>46261</v>
      </c>
      <c r="P55" s="46" t="s">
        <v>60</v>
      </c>
      <c r="Q55" s="37" t="n">
        <v>14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46248</v>
      </c>
      <c r="J57" s="41" t="n">
        <v>46268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46316</v>
      </c>
      <c r="O58" s="45" t="n">
        <v>46322</v>
      </c>
      <c r="P58" s="46" t="s">
        <v>284</v>
      </c>
      <c r="Q58" s="37" t="n">
        <v>47</v>
      </c>
      <c r="R58" s="39"/>
      <c r="S58" s="39" t="n">
        <v>1</v>
      </c>
      <c r="T58" s="39" t="s">
        <v>285</v>
      </c>
      <c r="U58" s="58" t="n">
        <v>46316.0058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46325</v>
      </c>
      <c r="O59" s="45" t="n">
        <v>46325</v>
      </c>
      <c r="P59" s="46" t="s">
        <v>284</v>
      </c>
      <c r="Q59" s="37" t="n">
        <v>49</v>
      </c>
      <c r="R59" s="39"/>
      <c r="S59" s="39" t="n">
        <v>1</v>
      </c>
      <c r="T59" s="39" t="s">
        <v>285</v>
      </c>
      <c r="U59" s="58" t="n">
        <v>46325.0059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46330</v>
      </c>
      <c r="O60" s="60" t="n">
        <v>46371</v>
      </c>
      <c r="P60" s="46" t="s">
        <v>284</v>
      </c>
      <c r="Q60" s="37" t="n">
        <v>79</v>
      </c>
      <c r="R60" s="39"/>
      <c r="S60" s="39" t="n">
        <v>1</v>
      </c>
      <c r="T60" s="39" t="s">
        <v>285</v>
      </c>
      <c r="U60" s="58" t="n">
        <v>46330.006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46227</v>
      </c>
      <c r="O61" s="33" t="n">
        <v>46252</v>
      </c>
      <c r="P61" s="34" t="s">
        <v>60</v>
      </c>
      <c r="Q61" s="31" t="n">
        <v>6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8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46227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304</v>
      </c>
      <c r="N63" s="55" t="n">
        <v>46227</v>
      </c>
      <c r="O63" s="55" t="n">
        <v>46228</v>
      </c>
      <c r="P63" s="50" t="s">
        <v>124</v>
      </c>
      <c r="Q63" s="52" t="n">
        <v>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308</v>
      </c>
      <c r="N64" s="55" t="n">
        <v>46227</v>
      </c>
      <c r="O64" s="55" t="n">
        <v>46228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312</v>
      </c>
      <c r="N65" s="55" t="n">
        <v>46228</v>
      </c>
      <c r="O65" s="55" t="n">
        <v>46231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316</v>
      </c>
      <c r="N66" s="55" t="n">
        <v>46230</v>
      </c>
      <c r="O66" s="55" t="n">
        <v>46233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320</v>
      </c>
      <c r="N67" s="55" t="n">
        <v>46231</v>
      </c>
      <c r="O67" s="55" t="n">
        <v>46234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324</v>
      </c>
      <c r="N68" s="55" t="n">
        <v>46233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328</v>
      </c>
      <c r="N69" s="55" t="n">
        <v>46234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46241</v>
      </c>
      <c r="O70" s="45" t="n">
        <v>46244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336</v>
      </c>
      <c r="N71" s="55" t="n">
        <v>46241</v>
      </c>
      <c r="O71" s="55" t="n">
        <v>46242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340</v>
      </c>
      <c r="N72" s="55" t="n">
        <v>46242</v>
      </c>
      <c r="O72" s="55" t="n">
        <v>46243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344</v>
      </c>
      <c r="N73" s="55" t="n">
        <v>46242</v>
      </c>
      <c r="O73" s="55" t="n">
        <v>46243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348</v>
      </c>
      <c r="N74" s="55" t="n">
        <v>46243</v>
      </c>
      <c r="O74" s="55" t="n">
        <v>46244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352</v>
      </c>
      <c r="N75" s="55" t="n">
        <v>46243</v>
      </c>
      <c r="O75" s="55" t="n">
        <v>46244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3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46242</v>
      </c>
      <c r="O76" s="45" t="n">
        <v>46244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360</v>
      </c>
      <c r="N77" s="55" t="n">
        <v>46242</v>
      </c>
      <c r="O77" s="55" t="n">
        <v>46243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364</v>
      </c>
      <c r="N78" s="55" t="n">
        <v>46242</v>
      </c>
      <c r="O78" s="55" t="n">
        <v>46244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368</v>
      </c>
      <c r="N79" s="55" t="n">
        <v>46243</v>
      </c>
      <c r="O79" s="55" t="n">
        <v>46244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372</v>
      </c>
      <c r="N80" s="55" t="n">
        <v>46244</v>
      </c>
      <c r="O80" s="55" t="n">
        <v>46244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376</v>
      </c>
      <c r="N81" s="55" t="n">
        <v>46244</v>
      </c>
      <c r="O81" s="55" t="n">
        <v>46244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384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388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396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400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404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408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8" t="s">
        <v>413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417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413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421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413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425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413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429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413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433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413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436</v>
      </c>
      <c r="Y96" s="38" t="s">
        <v>413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440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413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444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413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448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413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297</v>
      </c>
      <c r="E100" s="40" t="n">
        <v>5</v>
      </c>
      <c r="F100" s="39" t="s">
        <v>452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453</v>
      </c>
      <c r="Y100" s="38" t="s">
        <v>413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46240</v>
      </c>
      <c r="J103" s="53" t="n">
        <v>46243</v>
      </c>
      <c r="K103" s="52"/>
      <c r="L103" s="52"/>
      <c r="M103" s="54" t="s">
        <v>462</v>
      </c>
      <c r="N103" s="55" t="n">
        <v>46242</v>
      </c>
      <c r="O103" s="55" t="n">
        <v>46243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413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466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413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470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413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474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297</v>
      </c>
      <c r="E107" s="40" t="n">
        <v>2.5</v>
      </c>
      <c r="F107" s="39" t="s">
        <v>452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46244</v>
      </c>
      <c r="O107" s="45" t="n">
        <v>46245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477</v>
      </c>
      <c r="Y107" s="38" t="s">
        <v>413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481</v>
      </c>
      <c r="N108" s="55" t="n">
        <v>46244</v>
      </c>
      <c r="O108" s="55" t="n">
        <v>46245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413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485</v>
      </c>
      <c r="N109" s="55" t="n">
        <v>46245</v>
      </c>
      <c r="O109" s="55" t="n">
        <v>46245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413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489</v>
      </c>
      <c r="N110" s="55" t="n">
        <v>46244</v>
      </c>
      <c r="O110" s="55" t="n">
        <v>46245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413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46252</v>
      </c>
      <c r="M111" s="43"/>
      <c r="N111" s="44" t="n">
        <v>46252</v>
      </c>
      <c r="O111" s="45" t="n">
        <v>46252</v>
      </c>
      <c r="P111" s="46" t="s">
        <v>60</v>
      </c>
      <c r="Q111" s="37" t="n">
        <v>6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497</v>
      </c>
      <c r="N112" s="55" t="n">
        <v>46252</v>
      </c>
      <c r="O112" s="55" t="n">
        <v>46252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501</v>
      </c>
      <c r="N113" s="55" t="n">
        <v>46252</v>
      </c>
      <c r="O113" s="55" t="n">
        <v>46252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46252</v>
      </c>
      <c r="O114" s="33" t="n">
        <v>46391</v>
      </c>
      <c r="P114" s="34" t="s">
        <v>75</v>
      </c>
      <c r="Q114" s="31" t="n">
        <v>82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46322</v>
      </c>
      <c r="O115" s="45" t="n">
        <v>46322</v>
      </c>
      <c r="P115" s="46" t="s">
        <v>284</v>
      </c>
      <c r="Q115" s="37" t="n">
        <v>73</v>
      </c>
      <c r="R115" s="39"/>
      <c r="S115" s="39" t="n">
        <v>1</v>
      </c>
      <c r="T115" s="39" t="s">
        <v>285</v>
      </c>
      <c r="U115" s="58" t="n">
        <v>46322.0115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511</v>
      </c>
      <c r="N116" s="55" t="n">
        <v>46322</v>
      </c>
      <c r="O116" s="55" t="n">
        <v>46322</v>
      </c>
      <c r="P116" s="50" t="s">
        <v>284</v>
      </c>
      <c r="Q116" s="52" t="n">
        <v>75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515</v>
      </c>
      <c r="N117" s="55" t="n">
        <v>46322</v>
      </c>
      <c r="O117" s="55" t="n">
        <v>46322</v>
      </c>
      <c r="P117" s="50" t="s">
        <v>284</v>
      </c>
      <c r="Q117" s="52" t="n">
        <v>74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519</v>
      </c>
      <c r="N118" s="55" t="n">
        <v>46322</v>
      </c>
      <c r="O118" s="55" t="n">
        <v>46322</v>
      </c>
      <c r="P118" s="50" t="s">
        <v>284</v>
      </c>
      <c r="Q118" s="52" t="n">
        <v>74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523</v>
      </c>
      <c r="N119" s="55" t="n">
        <v>46322</v>
      </c>
      <c r="O119" s="55" t="n">
        <v>46322</v>
      </c>
      <c r="P119" s="50" t="s">
        <v>284</v>
      </c>
      <c r="Q119" s="52" t="n">
        <v>74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527</v>
      </c>
      <c r="N120" s="55" t="n">
        <v>46322</v>
      </c>
      <c r="O120" s="55" t="n">
        <v>46322</v>
      </c>
      <c r="P120" s="50" t="s">
        <v>284</v>
      </c>
      <c r="Q120" s="52" t="n">
        <v>73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531</v>
      </c>
      <c r="N121" s="55" t="n">
        <v>46322</v>
      </c>
      <c r="O121" s="55" t="n">
        <v>46322</v>
      </c>
      <c r="P121" s="50" t="s">
        <v>284</v>
      </c>
      <c r="Q121" s="52" t="n">
        <v>73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 t="n">
        <v>46277</v>
      </c>
      <c r="M122" s="43"/>
      <c r="N122" s="44" t="n">
        <v>46277</v>
      </c>
      <c r="O122" s="45" t="n">
        <v>46277</v>
      </c>
      <c r="P122" s="46" t="s">
        <v>60</v>
      </c>
      <c r="Q122" s="37" t="n">
        <v>28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8" t="s">
        <v>537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46252</v>
      </c>
      <c r="L123" s="42" t="n">
        <v>46255</v>
      </c>
      <c r="M123" s="43"/>
      <c r="N123" s="44" t="n">
        <v>46252</v>
      </c>
      <c r="O123" s="45" t="n">
        <v>46255</v>
      </c>
      <c r="P123" s="46" t="s">
        <v>60</v>
      </c>
      <c r="Q123" s="37" t="n">
        <v>4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46375</v>
      </c>
      <c r="O124" s="45" t="n">
        <v>46391</v>
      </c>
      <c r="P124" s="46" t="s">
        <v>284</v>
      </c>
      <c r="Q124" s="37" t="n">
        <v>82</v>
      </c>
      <c r="R124" s="39"/>
      <c r="S124" s="39" t="n">
        <v>1</v>
      </c>
      <c r="T124" s="39" t="s">
        <v>285</v>
      </c>
      <c r="U124" s="58" t="n">
        <v>46375.0124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546</v>
      </c>
      <c r="N125" s="55" t="n">
        <v>46375</v>
      </c>
      <c r="O125" s="55" t="n">
        <v>46380</v>
      </c>
      <c r="P125" s="50" t="s">
        <v>284</v>
      </c>
      <c r="Q125" s="52" t="n">
        <v>80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550</v>
      </c>
      <c r="N126" s="55" t="n">
        <v>46378</v>
      </c>
      <c r="O126" s="55" t="n">
        <v>46388</v>
      </c>
      <c r="P126" s="50" t="s">
        <v>284</v>
      </c>
      <c r="Q126" s="52" t="n">
        <v>82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554</v>
      </c>
      <c r="N127" s="55" t="n">
        <v>46388</v>
      </c>
      <c r="O127" s="55" t="n">
        <v>46391</v>
      </c>
      <c r="P127" s="50" t="s">
        <v>284</v>
      </c>
      <c r="Q127" s="52" t="n">
        <v>82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46332</v>
      </c>
      <c r="O128" s="45" t="n">
        <v>46332</v>
      </c>
      <c r="P128" s="46" t="s">
        <v>284</v>
      </c>
      <c r="Q128" s="37" t="n">
        <v>73</v>
      </c>
      <c r="R128" s="39"/>
      <c r="S128" s="39" t="n">
        <v>1</v>
      </c>
      <c r="T128" s="39" t="s">
        <v>285</v>
      </c>
      <c r="U128" s="58" t="n">
        <v>46332.0128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/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/>
      <c r="N129" s="44" t="n">
        <v>46333</v>
      </c>
      <c r="O129" s="45" t="n">
        <v>46335</v>
      </c>
      <c r="P129" s="46" t="s">
        <v>284</v>
      </c>
      <c r="Q129" s="37" t="n">
        <v>76</v>
      </c>
      <c r="R129" s="39"/>
      <c r="S129" s="39" t="n">
        <v>1</v>
      </c>
      <c r="T129" s="39" t="s">
        <v>285</v>
      </c>
      <c r="U129" s="58" t="n">
        <v>46333.0129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560</v>
      </c>
      <c r="B130" s="38" t="s">
        <v>561</v>
      </c>
      <c r="C130" s="39"/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46333</v>
      </c>
      <c r="O130" s="45" t="n">
        <v>46337</v>
      </c>
      <c r="P130" s="46" t="s">
        <v>284</v>
      </c>
      <c r="Q130" s="37" t="n">
        <v>78</v>
      </c>
      <c r="R130" s="39"/>
      <c r="S130" s="39" t="n">
        <v>1</v>
      </c>
      <c r="T130" s="39" t="s">
        <v>285</v>
      </c>
      <c r="U130" s="58" t="n">
        <v>46333.013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562</v>
      </c>
      <c r="B131" s="39" t="s">
        <v>563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46372</v>
      </c>
      <c r="O131" s="45" t="n">
        <v>46374</v>
      </c>
      <c r="P131" s="46" t="s">
        <v>284</v>
      </c>
      <c r="Q131" s="37" t="n">
        <v>79</v>
      </c>
      <c r="R131" s="39"/>
      <c r="S131" s="39" t="n">
        <v>1</v>
      </c>
      <c r="T131" s="39" t="s">
        <v>285</v>
      </c>
      <c r="U131" s="58" t="n">
        <v>46372.0131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564</v>
      </c>
      <c r="D134" s="6" t="s">
        <v>565</v>
      </c>
    </row>
    <row r="135" customFormat="false" ht="15" hidden="false" customHeight="true" outlineLevel="0" collapsed="false">
      <c r="B135" s="62" t="s">
        <v>566</v>
      </c>
      <c r="D135" s="62" t="s">
        <v>567</v>
      </c>
      <c r="E135" s="62" t="s">
        <v>568</v>
      </c>
      <c r="I135" s="63" t="s">
        <v>569</v>
      </c>
      <c r="J135" s="63" t="s">
        <v>570</v>
      </c>
      <c r="K135" s="63" t="s">
        <v>571</v>
      </c>
      <c r="L135" s="63" t="s">
        <v>572</v>
      </c>
      <c r="O135" s="62" t="s">
        <v>573</v>
      </c>
      <c r="P135" s="62" t="s">
        <v>574</v>
      </c>
    </row>
    <row r="136" customFormat="false" ht="15" hidden="false" customHeight="true" outlineLevel="0" collapsed="false">
      <c r="B136" s="64" t="s">
        <v>575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576</v>
      </c>
    </row>
    <row r="137" customFormat="false" ht="15" hidden="false" customHeight="true" outlineLevel="0" collapsed="false">
      <c r="B137" s="64" t="s">
        <v>577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578</v>
      </c>
    </row>
    <row r="138" customFormat="false" ht="15" hidden="false" customHeight="true" outlineLevel="0" collapsed="false">
      <c r="B138" s="64" t="s">
        <v>579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580</v>
      </c>
    </row>
    <row r="139" customFormat="false" ht="15" hidden="false" customHeight="true" outlineLevel="0" collapsed="false">
      <c r="B139" s="64" t="s">
        <v>581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582</v>
      </c>
    </row>
    <row r="140" customFormat="false" ht="15" hidden="false" customHeight="true" outlineLevel="0" collapsed="false">
      <c r="B140" s="64" t="s">
        <v>583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584</v>
      </c>
    </row>
    <row r="141" customFormat="false" ht="15" hidden="false" customHeight="true" outlineLevel="0" collapsed="false">
      <c r="B141" s="69" t="s">
        <v>585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586</v>
      </c>
    </row>
    <row r="142" customFormat="false" ht="15" hidden="false" customHeight="true" outlineLevel="0" collapsed="false">
      <c r="B142" s="71" t="s">
        <v>587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588</v>
      </c>
    </row>
    <row r="145" customFormat="false" ht="15.75" hidden="false" customHeight="true" outlineLevel="0" collapsed="false">
      <c r="A145" s="76" t="s">
        <v>589</v>
      </c>
    </row>
    <row r="146" customFormat="false" ht="15" hidden="false" customHeight="true" outlineLevel="0" collapsed="false">
      <c r="B146" s="17" t="s">
        <v>590</v>
      </c>
      <c r="D146" s="77" t="s">
        <v>591</v>
      </c>
      <c r="E146" s="77"/>
      <c r="F146" s="77"/>
      <c r="G146" s="77"/>
      <c r="H146" s="77"/>
      <c r="I146" s="77"/>
      <c r="J146" s="77"/>
      <c r="K146" s="19" t="s">
        <v>592</v>
      </c>
    </row>
    <row r="147" customFormat="false" ht="15" hidden="false" customHeight="true" outlineLevel="0" collapsed="false">
      <c r="B147" s="78" t="s">
        <v>593</v>
      </c>
      <c r="E147" s="79" t="s">
        <v>594</v>
      </c>
      <c r="I147" s="78" t="s">
        <v>595</v>
      </c>
    </row>
    <row r="148" customFormat="false" ht="24" hidden="false" customHeight="true" outlineLevel="0" collapsed="false">
      <c r="A148" s="80" t="s">
        <v>596</v>
      </c>
      <c r="B148" s="81" t="s">
        <v>597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598</v>
      </c>
      <c r="B149" s="81" t="s">
        <v>599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600</v>
      </c>
      <c r="B150" s="81" t="s">
        <v>601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602</v>
      </c>
      <c r="B151" s="81" t="s">
        <v>603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604</v>
      </c>
      <c r="B152" s="81" t="s">
        <v>605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606</v>
      </c>
      <c r="B153" s="81" t="s">
        <v>607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609</v>
      </c>
    </row>
    <row r="2" customFormat="false" ht="15" hidden="false" customHeight="false" outlineLevel="0" collapsed="false">
      <c r="B2" s="87" t="s">
        <v>610</v>
      </c>
      <c r="C2" s="88" t="s">
        <v>611</v>
      </c>
    </row>
    <row r="3" customFormat="false" ht="15" hidden="false" customHeight="false" outlineLevel="0" collapsed="false">
      <c r="B3" s="87" t="s">
        <v>612</v>
      </c>
      <c r="C3" s="88" t="s">
        <v>613</v>
      </c>
    </row>
    <row r="4" customFormat="false" ht="15" hidden="false" customHeight="false" outlineLevel="0" collapsed="false">
      <c r="B4" s="89" t="s">
        <v>614</v>
      </c>
      <c r="C4" s="88" t="s">
        <v>615</v>
      </c>
    </row>
    <row r="5" customFormat="false" ht="15" hidden="false" customHeight="false" outlineLevel="0" collapsed="false">
      <c r="H5" s="90" t="s">
        <v>616</v>
      </c>
      <c r="I5" s="90"/>
      <c r="J5" s="90" t="s">
        <v>617</v>
      </c>
      <c r="K5" s="90"/>
      <c r="L5" s="90"/>
      <c r="M5" s="90"/>
      <c r="N5" s="90"/>
      <c r="O5" s="90" t="s">
        <v>618</v>
      </c>
      <c r="P5" s="90"/>
      <c r="Q5" s="90"/>
      <c r="R5" s="90"/>
      <c r="S5" s="90" t="s">
        <v>619</v>
      </c>
      <c r="T5" s="90"/>
      <c r="U5" s="90"/>
      <c r="V5" s="90"/>
      <c r="W5" s="90"/>
      <c r="X5" s="90" t="s">
        <v>620</v>
      </c>
      <c r="Y5" s="90"/>
      <c r="Z5" s="90"/>
      <c r="AA5" s="90"/>
      <c r="AB5" s="90" t="s">
        <v>621</v>
      </c>
      <c r="AC5" s="90"/>
      <c r="AD5" s="90"/>
      <c r="AE5" s="90"/>
      <c r="AF5" s="90" t="s">
        <v>622</v>
      </c>
      <c r="AG5" s="90"/>
      <c r="AH5" s="90"/>
      <c r="AI5" s="90"/>
      <c r="AJ5" s="90"/>
      <c r="AK5" s="90" t="s">
        <v>623</v>
      </c>
      <c r="AL5" s="90"/>
      <c r="AM5" s="90"/>
      <c r="AN5" s="90"/>
      <c r="AO5" s="90" t="s">
        <v>624</v>
      </c>
      <c r="AP5" s="90"/>
      <c r="AQ5" s="90"/>
      <c r="AR5" s="90"/>
      <c r="AS5" s="90" t="s">
        <v>625</v>
      </c>
      <c r="AT5" s="90"/>
      <c r="AU5" s="90"/>
      <c r="AV5" s="90"/>
      <c r="AW5" s="90" t="s">
        <v>626</v>
      </c>
      <c r="AX5" s="90"/>
      <c r="AY5" s="90"/>
      <c r="AZ5" s="90"/>
      <c r="BA5" s="90"/>
      <c r="BB5" s="90" t="s">
        <v>627</v>
      </c>
      <c r="BC5" s="90"/>
      <c r="BD5" s="90"/>
      <c r="BE5" s="90"/>
      <c r="BF5" s="90" t="s">
        <v>628</v>
      </c>
      <c r="BG5" s="90"/>
      <c r="BH5" s="90"/>
      <c r="BI5" s="90"/>
      <c r="BJ5" s="90"/>
      <c r="BK5" s="90" t="s">
        <v>629</v>
      </c>
      <c r="BL5" s="90"/>
      <c r="BM5" s="90"/>
      <c r="BN5" s="90"/>
      <c r="BO5" s="90" t="s">
        <v>630</v>
      </c>
      <c r="BP5" s="90"/>
      <c r="BQ5" s="90"/>
      <c r="BR5" s="90"/>
      <c r="BS5" s="90" t="s">
        <v>631</v>
      </c>
      <c r="BT5" s="90"/>
      <c r="BU5" s="90"/>
      <c r="BV5" s="90"/>
      <c r="BW5" s="90"/>
      <c r="BX5" s="90" t="s">
        <v>632</v>
      </c>
      <c r="BY5" s="90"/>
    </row>
    <row r="6" customFormat="false" ht="43.5" hidden="false" customHeight="true" outlineLevel="0" collapsed="false">
      <c r="A6" s="91" t="s">
        <v>633</v>
      </c>
      <c r="B6" s="91" t="s">
        <v>634</v>
      </c>
      <c r="C6" s="91" t="s">
        <v>635</v>
      </c>
      <c r="D6" s="91" t="s">
        <v>636</v>
      </c>
      <c r="E6" s="91" t="s">
        <v>637</v>
      </c>
      <c r="F6" s="91" t="s">
        <v>638</v>
      </c>
      <c r="G6" s="91" t="s">
        <v>639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640</v>
      </c>
      <c r="C8" s="95" t="s">
        <v>641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642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643</v>
      </c>
      <c r="C10" s="95" t="s">
        <v>641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642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644</v>
      </c>
      <c r="C12" s="95" t="s">
        <v>641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642</v>
      </c>
      <c r="D13" s="96"/>
      <c r="E13" s="99" t="n">
        <v>46214</v>
      </c>
      <c r="F13" s="99" t="n">
        <v>46214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645</v>
      </c>
      <c r="C14" s="95" t="s">
        <v>641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642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646</v>
      </c>
      <c r="C16" s="95" t="s">
        <v>641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647</v>
      </c>
      <c r="C18" s="95" t="s">
        <v>641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648</v>
      </c>
      <c r="B20" s="95" t="s">
        <v>649</v>
      </c>
      <c r="C20" s="95" t="s">
        <v>641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642</v>
      </c>
      <c r="D21" s="96"/>
      <c r="E21" s="99" t="n">
        <v>46261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650</v>
      </c>
      <c r="C23" s="95" t="s">
        <v>641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642</v>
      </c>
      <c r="D24" s="96"/>
      <c r="E24" s="99" t="n">
        <v>46227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10</v>
      </c>
      <c r="R24" s="101" t="n">
        <v>10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651</v>
      </c>
      <c r="C25" s="95" t="s">
        <v>641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642</v>
      </c>
      <c r="D26" s="96"/>
      <c r="E26" s="99" t="n">
        <v>46241</v>
      </c>
      <c r="F26" s="99" t="n">
        <v>46244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652</v>
      </c>
      <c r="C27" s="95" t="s">
        <v>641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642</v>
      </c>
      <c r="D28" s="96"/>
      <c r="E28" s="99" t="n">
        <v>46242</v>
      </c>
      <c r="F28" s="99" t="n">
        <v>46244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653</v>
      </c>
      <c r="C29" s="95" t="s">
        <v>641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642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654</v>
      </c>
      <c r="C31" s="95" t="s">
        <v>641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642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655</v>
      </c>
      <c r="C33" s="95" t="s">
        <v>641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642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656</v>
      </c>
      <c r="C35" s="95" t="s">
        <v>641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642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657</v>
      </c>
      <c r="C37" s="95" t="s">
        <v>641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642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658</v>
      </c>
      <c r="C39" s="95" t="s">
        <v>641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642</v>
      </c>
      <c r="D40" s="96"/>
      <c r="E40" s="99" t="n">
        <v>46244</v>
      </c>
      <c r="F40" s="99" t="n">
        <v>46245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660</v>
      </c>
      <c r="C42" s="95" t="s">
        <v>641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661</v>
      </c>
      <c r="C44" s="95" t="s">
        <v>641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0</v>
      </c>
      <c r="Q48" s="103" t="n">
        <f aca="false">SUMIF($C$7:$C$45,"Actual",Q$7:Q$45)</f>
        <v>10</v>
      </c>
      <c r="R48" s="103" t="n">
        <f aca="false">SUMIF($C$7:$C$45,"Actual",R$7:R$45)</f>
        <v>10</v>
      </c>
      <c r="S48" s="103" t="n">
        <f aca="false">SUMIF($C$7:$C$45,"Actual",S$7:S$45)</f>
        <v>50</v>
      </c>
      <c r="T48" s="103" t="n">
        <f aca="false">SUMIF($C$7:$C$45,"Actual",T$7:T$45)</f>
        <v>20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665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3.5</v>
      </c>
      <c r="Q50" s="105" t="n">
        <f aca="false">IF(Q$6&gt;46314,"",P50+Q48)</f>
        <v>13.5</v>
      </c>
      <c r="R50" s="105" t="n">
        <f aca="false">IF(R$6&gt;46314,"",Q50+R48)</f>
        <v>23.5</v>
      </c>
      <c r="S50" s="105" t="n">
        <f aca="false">IF(S$6&gt;46314,"",R50+S48)</f>
        <v>73.5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2026-10-26T04:42:53Z</dcterms:created>
  <dc:creator>openpyxl</dc:creator>
  <dc:description/>
  <dc:language>en-US</dc:language>
  <cp:lastModifiedBy/>
  <dcterms:modified xsi:type="dcterms:W3CDTF">2026-10-26T11:46:42Z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