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<sst xmlns="http://schemas.openxmlformats.org/spreadsheetml/2006/main" count="1295" uniqueCount="671">
  <si>
    <t xml:space="preserve">แผนโครงการ P4-033 – สถานีโรงกรองน้ำเมืองใหม่ 225.72 kWp</t>
  </si>
  <si>
    <t xml:space="preserve">กปภ.สาขามุกดาหาร, ภาคอีสาน, กฟภ. เขต ฉ.2, Inverter 250 kW (ต้องยื่น พค.2), Zero export HV, คำขอ PPIM1A5064CB, วิศวกร แบงค์, Admin เตย, ผรม. C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</si>
  <si>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</si>
  <si>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</si>
  <si>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</si>
  <si>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</si>
  <si>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</si>
  <si>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</si>
  <si>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</si>
  <si>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</si>
  <si>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</si>
  <si>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</si>
  <si>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</si>
  <si>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</si>
  <si>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</si>
  <si>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</si>
  <si>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</si>
  <si>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</si>
  <si>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</si>
  <si>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</si>
  <si>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</si>
  <si>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</si>
  <si>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</si>
  <si>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</si>
  <si>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</si>
  <si>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</si>
  <si>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</si>
  <si>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</si>
  <si>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</si>
  <si>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</si>
  <si>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</si>
  <si>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</si>
  <si>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</si>
  <si>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</si>
  <si>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</si>
  <si>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</si>
  <si>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</si>
  <si>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</si>
  <si>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</si>
  <si>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</si>
  <si>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</si>
  <si>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</si>
  <si>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</si>
  <si>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</si>
  <si>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</si>
  <si>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</si>
  <si>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</si>
  <si>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</si>
  <si>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</si>
  <si>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</si>
  <si>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</si>
  <si>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</si>
  <si>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</si>
  <si>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</si>
  <si>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</si>
  <si>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</si>
  <si>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</si>
  <si>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</si>
  <si>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</si>
  <si>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</si>
  <si>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</si>
  <si>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</si>
  <si>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</si>
  <si>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</si>
  <si>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</si>
  <si>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</si>
  <si>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</si>
  <si>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</si>
  <si>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</si>
  <si>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</si>
  <si>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</si>
  <si>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</si>
  <si>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</si>
  <si>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</si>
  <si>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</si>
  <si>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</si>
  <si>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</si>
  <si>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</si>
  <si>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</si>
  <si>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แบงค์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</si>
  <si>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</si>
  <si>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</si>
  <si>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</si>
  <si>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</si>
  <si>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</si>
  <si>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</si>
  <si>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</si>
  <si>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</si>
  <si>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</si>
  <si>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</si>
  <si>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</si>
  <si>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</si>
  <si>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</si>
  <si>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</si>
  <si>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</si>
  <si>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</si>
  <si>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</si>
  <si>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</si>
  <si>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</si>
  <si>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</si>
  <si>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</si>
  <si>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</si>
  <si>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</si>
  <si>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</si>
  <si>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</si>
  <si>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</si>
  <si>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</si>
  <si>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</si>
  <si>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</si>
  <si>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</si>
  <si>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</si>
  <si>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</si>
  <si>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</si>
  <si>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</si>
  <si>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</si>
  <si>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</si>
  <si>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</si>
  <si>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</si>
  <si>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</si>
  <si>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</si>
  <si>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</si>
  <si>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</si>
  <si>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</si>
  <si>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</si>
  <si>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</si>
  <si>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</si>
  <si>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</si>
  <si>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</si>
  <si>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</si>
  <si>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</si>
  <si>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</si>
  <si>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</si>
  <si>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</si>
  <si>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</si>
  <si>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</si>
  <si>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</si>
  <si>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</si>
  <si>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</si>
  <si>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</si>
  <si>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</si>
  <si>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</si>
  <si>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</si>
  <si>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</si>
  <si>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</si>
  <si>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</si>
  <si>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</si>
  <si>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</si>
  <si>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</si>
  <si>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</si>
  <si>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</si>
  <si>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</si>
  <si>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</si>
  <si>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WBS'!L2296</t>
    </r>
  </si>
  <si>
    <t xml:space="preserve">0.3</t>
  </si>
  <si>
    <t xml:space="preserve">หนังสือแจ้งขอดับไฟ</t>
  </si>
  <si>
    <t xml:space="preserve">TC-PML-2026-427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</si>
  <si>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</si>
  <si>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</si>
  <si>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</si>
  <si>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</si>
  <si>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</si>
  <si>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</si>
  <si>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</si>
  <si>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</si>
  <si>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</si>
  <si>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</si>
  <si>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</si>
  <si>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</si>
  <si>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</si>
  <si>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</si>
  <si>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</si>
  <si>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</si>
  <si>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</si>
  <si>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</si>
  <si>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</si>
  <si>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</si>
  <si>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</si>
  <si>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</si>
  <si>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</si>
  <si>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</si>
  <si>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</si>
  <si>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</si>
  <si>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</si>
  <si>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</si>
  <si>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</si>
  <si>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</si>
  <si>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</si>
  <si>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</si>
  <si>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</si>
  <si>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</si>
  <si>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</si>
  <si>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</si>
  <si>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</si>
  <si>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</si>
  <si>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</si>
  <si>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</si>
  <si>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</si>
  <si>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</si>
  <si>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</si>
  <si>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</si>
  <si>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</si>
  <si>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</si>
  <si>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</si>
  <si>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</si>
  <si>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</si>
  <si>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</si>
  <si>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</si>
  <si>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</si>
  <si>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</si>
  <si>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</si>
  <si>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</si>
  <si>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</si>
  <si>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</si>
  <si>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</si>
  <si>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</si>
  <si>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</si>
  <si>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</si>
  <si>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</si>
  <si>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</si>
  <si>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</si>
  <si>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</si>
  <si>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</si>
  <si>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</si>
  <si>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</si>
  <si>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</si>
  <si>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</si>
  <si>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</si>
  <si>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</si>
  <si>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</si>
  <si>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</si>
  <si>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</si>
  <si>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</si>
  <si>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</si>
  <si>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</si>
  <si>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</si>
  <si>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</si>
  <si>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</si>
  <si>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</si>
  <si>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</si>
  <si>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</si>
  <si>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</si>
  <si>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</si>
  <si>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</si>
  <si>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</si>
  <si>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</si>
  <si>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</si>
  <si>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</si>
  <si>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</si>
  <si>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</si>
  <si>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</si>
  <si>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</si>
  <si>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</si>
  <si>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</si>
  <si>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</si>
  <si>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</si>
  <si>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WBS'!L2314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</si>
  <si>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</si>
  <si>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</si>
  <si>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</si>
  <si>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</si>
  <si>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</si>
  <si>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</si>
  <si>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</si>
  <si>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</si>
  <si>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</si>
  <si>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</si>
  <si>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</si>
  <si>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</si>
  <si>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</si>
  <si>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</si>
  <si>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</si>
  <si>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</si>
  <si>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</si>
  <si>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</si>
  <si>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</si>
  <si>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WBS'!L2317</t>
    </r>
  </si>
  <si>
    <t xml:space="preserve">1.7.1</t>
  </si>
  <si>
    <t xml:space="preserve">คำขอขนานไฟ PPIM (ชุด 11 ไฟล์)</t>
  </si>
  <si>
    <t xml:space="preserve">PPIM1A5064CB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</si>
  <si>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</si>
  <si>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</si>
  <si>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</si>
  <si>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</si>
  <si>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</si>
  <si>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</si>
  <si>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</si>
  <si>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</si>
  <si>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</si>
  <si>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</si>
  <si>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</si>
  <si>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</si>
  <si>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</si>
  <si>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</si>
  <si>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</si>
  <si>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</si>
  <si>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</si>
  <si>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</si>
  <si>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</si>
  <si>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</si>
  <si>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</si>
  <si>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</si>
  <si>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</si>
  <si>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</si>
  <si>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</si>
  <si>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</si>
  <si>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</si>
  <si>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</si>
  <si>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</si>
  <si>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</si>
  <si>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</si>
  <si>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</si>
  <si>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</si>
  <si>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</si>
  <si>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</si>
  <si>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</si>
  <si>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</si>
  <si>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</si>
  <si>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</si>
  <si>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</si>
  <si>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</si>
  <si>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</si>
  <si>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</si>
  <si>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</si>
  <si>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</si>
  <si>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</si>
  <si>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</si>
  <si>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</si>
  <si>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</si>
  <si>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</si>
  <si>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</si>
  <si>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</si>
  <si>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</si>
  <si>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</si>
  <si>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</si>
  <si>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</si>
  <si>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</si>
  <si>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</si>
  <si>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</si>
  <si>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</si>
  <si>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</si>
  <si>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</si>
  <si>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</si>
  <si>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</si>
  <si>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</si>
  <si>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</si>
  <si>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</si>
  <si>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</si>
  <si>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</si>
  <si>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</si>
  <si>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</si>
  <si>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</si>
  <si>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</si>
  <si>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</si>
  <si>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</si>
  <si>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</si>
  <si>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</si>
  <si>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</si>
  <si>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</si>
  <si>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</si>
  <si>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</si>
  <si>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</si>
  <si>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</si>
  <si>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</si>
  <si>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</si>
  <si>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</si>
  <si>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</si>
  <si>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</si>
  <si>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</si>
  <si>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</si>
  <si>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</si>
  <si>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</si>
  <si>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</si>
  <si>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</si>
  <si>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</si>
  <si>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</si>
  <si>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</si>
  <si>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</si>
  <si>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</si>
  <si>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</si>
  <si>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</si>
  <si>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</si>
  <si>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</si>
  <si>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</si>
  <si>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</si>
  <si>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</si>
  <si>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</si>
  <si>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</si>
  <si>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</si>
  <si>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</si>
  <si>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</si>
  <si>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</si>
  <si>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WBS'!L2336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</si>
  <si>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</si>
  <si>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</si>
  <si>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</si>
  <si>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</si>
  <si>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</si>
  <si>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</si>
  <si>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</si>
  <si>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</si>
  <si>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</si>
  <si>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</si>
  <si>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</si>
  <si>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</si>
  <si>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</si>
  <si>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</si>
  <si>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</si>
  <si>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</si>
  <si>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</si>
  <si>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</si>
  <si>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</si>
  <si>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WBS'!L2340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</si>
  <si>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</si>
  <si>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</si>
  <si>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</si>
  <si>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</si>
  <si>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</si>
  <si>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</si>
  <si>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</si>
  <si>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</si>
  <si>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</si>
  <si>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</si>
  <si>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</si>
  <si>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</si>
  <si>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</si>
  <si>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</si>
  <si>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</si>
  <si>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</si>
  <si>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</si>
  <si>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</si>
  <si>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</si>
  <si>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</si>
  <si>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</si>
  <si>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</si>
  <si>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</si>
  <si>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</si>
  <si>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</si>
  <si>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</si>
  <si>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</si>
  <si>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</si>
  <si>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</si>
  <si>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</si>
  <si>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</si>
  <si>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</si>
  <si>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</si>
  <si>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</si>
  <si>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</si>
  <si>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</si>
  <si>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</si>
  <si>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</si>
  <si>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WBS'!L2348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</si>
  <si>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</si>
  <si>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</si>
  <si>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</si>
  <si>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</si>
  <si>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</si>
  <si>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</si>
  <si>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</si>
  <si>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</si>
  <si>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</si>
  <si>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</si>
  <si>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WBS'!L2349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</si>
  <si>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</si>
  <si>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</si>
  <si>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</si>
  <si>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</si>
  <si>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</si>
  <si>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</si>
  <si>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</si>
  <si>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</si>
  <si>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</si>
  <si>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</si>
  <si>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</si>
  <si>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</si>
  <si>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</si>
  <si>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</si>
  <si>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</si>
  <si>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</si>
  <si>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</si>
  <si>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</si>
  <si>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</si>
  <si>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</si>
  <si>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</si>
  <si>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</si>
  <si>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</si>
  <si>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</si>
  <si>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</si>
  <si>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</si>
  <si>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</si>
  <si>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</si>
  <si>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</si>
  <si>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</si>
  <si>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</si>
  <si>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WBS'!L2355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</si>
  <si>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</si>
  <si>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</si>
  <si>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11/8/69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</si>
  <si>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</si>
  <si>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</si>
  <si>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</si>
  <si>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</si>
  <si>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</si>
  <si>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</si>
  <si>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</si>
  <si>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</si>
  <si>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</si>
  <si>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</si>
  <si>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</si>
  <si>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</si>
  <si>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</si>
  <si>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</si>
  <si>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</si>
  <si>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</si>
  <si>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</si>
  <si>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</si>
  <si>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</si>
  <si>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</si>
  <si>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</si>
  <si>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</si>
  <si>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</si>
  <si>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</si>
  <si>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</si>
  <si>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</si>
  <si>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</si>
  <si>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</si>
  <si>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</si>
  <si>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</si>
  <si>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</si>
  <si>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</si>
  <si>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</si>
  <si>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</si>
  <si>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</si>
  <si>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</si>
  <si>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</si>
  <si>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</si>
  <si>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</si>
  <si>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</si>
  <si>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</si>
  <si>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</si>
  <si>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</si>
  <si>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</si>
  <si>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</si>
  <si>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</si>
  <si>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</si>
  <si>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</si>
  <si>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</si>
  <si>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</si>
  <si>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</si>
  <si>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</si>
  <si>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</si>
  <si>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</si>
  <si>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</si>
  <si>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</si>
  <si>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</si>
  <si>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</si>
  <si>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</si>
  <si>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</si>
  <si>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</si>
  <si>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</si>
  <si>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</si>
  <si>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</si>
  <si>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</si>
  <si>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</si>
  <si>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</si>
  <si>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</si>
  <si>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</si>
  <si>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</si>
  <si>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</si>
  <si>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</si>
  <si>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</si>
  <si>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</si>
  <si>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</si>
  <si>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</si>
  <si>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</si>
  <si>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</si>
  <si>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</si>
  <si>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</si>
  <si>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</si>
  <si>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</si>
  <si>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</si>
  <si>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</si>
  <si>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</si>
  <si>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</si>
  <si>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</si>
  <si>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</si>
  <si>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</si>
  <si>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</si>
  <si>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</si>
  <si>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</si>
  <si>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</si>
  <si>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</si>
  <si>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</si>
  <si>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</si>
  <si>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</si>
  <si>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</si>
  <si>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</si>
  <si>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</si>
  <si>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</si>
  <si>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</si>
  <si>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</si>
  <si>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</si>
  <si>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</si>
  <si>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</si>
  <si>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</si>
  <si>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</si>
  <si>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</si>
  <si>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</si>
  <si>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</si>
  <si>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</si>
  <si>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</si>
  <si>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</si>
  <si>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</si>
  <si>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</si>
  <si>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</si>
  <si>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</si>
  <si>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</si>
  <si>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สถานีโรงกรองน้ำเมืองใหม่ การประปาส่วนภูมิภาคสาขามุกดาหาร ขนาดกำลังผลิต </t>
    </r>
    <r>
      <rPr>
        <sz val="10"/>
        <rFont val="Tahoma"/>
        <family val="0"/>
        <charset val="1"/>
      </rPr>
      <t xml:space="preserve">225.72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</si>
  <si>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</si>
  <si>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</si>
  <si>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</si>
  <si>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แบงค์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</si>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</sst>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1.18571428571429</c:v>
                </c:pt>
                <c:pt idx="5">
                  <c:v>2.28571428571429</c:v>
                </c:pt>
                <c:pt idx="6">
                  <c:v>2.5</c:v>
                </c:pt>
                <c:pt idx="7">
                  <c:v>3</c:v>
                </c:pt>
                <c:pt idx="8">
                  <c:v>9.66666666666667</c:v>
                </c:pt>
                <c:pt idx="9">
                  <c:v>17.4444444444444</c:v>
                </c:pt>
                <c:pt idx="10">
                  <c:v>37</c:v>
                </c:pt>
                <c:pt idx="11">
                  <c:v>88.1666666666667</c:v>
                </c:pt>
                <c:pt idx="12">
                  <c:v>96.5869565217391</c:v>
                </c:pt>
                <c:pt idx="13">
                  <c:v>96.7391304347826</c:v>
                </c:pt>
                <c:pt idx="14">
                  <c:v>96.8913043478261</c:v>
                </c:pt>
                <c:pt idx="15">
                  <c:v>97.0434782608696</c:v>
                </c:pt>
                <c:pt idx="16">
                  <c:v>97.1956521739131</c:v>
                </c:pt>
                <c:pt idx="17">
                  <c:v>97.3478260869565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1.3333</c:v>
                </c:pt>
                <c:pt idx="5">
                  <c:v>2.1666</c:v>
                </c:pt>
                <c:pt idx="6">
                  <c:v>2.4999</c:v>
                </c:pt>
                <c:pt idx="7">
                  <c:v>7.9999</c:v>
                </c:pt>
                <c:pt idx="8">
                  <c:v>12.9999</c:v>
                </c:pt>
                <c:pt idx="9">
                  <c:v>17.9999</c:v>
                </c:pt>
                <c:pt idx="10">
                  <c:v>32.9999</c:v>
                </c:pt>
                <c:pt idx="11">
                  <c:v>89.2499</c:v>
                </c:pt>
                <c:pt idx="12">
                  <c:v>92.9999</c:v>
                </c:pt>
                <c:pt idx="13">
                  <c:v>92.9999</c:v>
                </c:pt>
                <c:pt idx="14">
                  <c:v>93.111</c:v>
                </c:pt>
                <c:pt idx="15">
                  <c:v>93.2221</c:v>
                </c:pt>
                <c:pt idx="16">
                  <c:v>93.3332</c:v>
                </c:pt>
                <c:pt idx="17">
                  <c:v>94.4443</c:v>
                </c:pt>
                <c:pt idx="18">
                  <c:v>94.5554</c:v>
                </c:pt>
                <c:pt idx="19">
                  <c:v>94.6665</c:v>
                </c:pt>
                <c:pt idx="20">
                  <c:v>94.7776</c:v>
                </c:pt>
                <c:pt idx="21">
                  <c:v>94.8886999999999</c:v>
                </c:pt>
                <c:pt idx="22">
                  <c:v>94.9997999999999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34040"/>
        <c:axId val="31429378"/>
      </c:lineChart>
      <c:catAx>
        <c:axId val="2643404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29378"/>
        <c:crosses val="autoZero"/>
        <c:auto val="1"/>
        <c:lblAlgn val="ctr"/>
        <c:lblOffset val="100"/>
        <c:noMultiLvlLbl val="0"/>
      </c:catAx>
      <c:valAx>
        <c:axId val="31429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340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93</v>
      </c>
      <c r="M4" s="12"/>
      <c r="N4" s="12" t="n">
        <v>103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46412</v>
      </c>
      <c r="P8" s="34" t="s">
        <v>75</v>
      </c>
      <c r="Q8" s="31" t="n">
        <v>103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46412</v>
      </c>
      <c r="P9" s="46" t="s">
        <v>75</v>
      </c>
      <c r="Q9" s="37" t="n">
        <v>103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46207</v>
      </c>
      <c r="P10" s="50" t="s">
        <v>75</v>
      </c>
      <c r="Q10" s="52" t="n">
        <v>11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46207</v>
      </c>
      <c r="P11" s="50" t="s">
        <v>75</v>
      </c>
      <c r="Q11" s="52" t="n">
        <v>11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46207</v>
      </c>
      <c r="P12" s="50" t="s">
        <v>75</v>
      </c>
      <c r="Q12" s="52" t="n">
        <v>11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46218</v>
      </c>
      <c r="P13" s="50" t="s">
        <v>75</v>
      </c>
      <c r="Q13" s="52" t="n">
        <v>15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46207</v>
      </c>
      <c r="O14" s="55" t="n">
        <v>46412</v>
      </c>
      <c r="P14" s="50" t="s">
        <v>75</v>
      </c>
      <c r="Q14" s="52" t="n">
        <v>103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46207</v>
      </c>
      <c r="O15" s="55" t="n">
        <v>46412</v>
      </c>
      <c r="P15" s="50" t="s">
        <v>75</v>
      </c>
      <c r="Q15" s="52" t="n">
        <v>103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46245</v>
      </c>
      <c r="M25" s="43"/>
      <c r="N25" s="44" t="n">
        <v>46245</v>
      </c>
      <c r="O25" s="45" t="n">
        <v>46245</v>
      </c>
      <c r="P25" s="46" t="s">
        <v>60</v>
      </c>
      <c r="Q25" s="37" t="n">
        <v>37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46245</v>
      </c>
      <c r="O26" s="55" t="n">
        <v>46245</v>
      </c>
      <c r="P26" s="50" t="s">
        <v>124</v>
      </c>
      <c r="Q26" s="52" t="n">
        <v>37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46245</v>
      </c>
      <c r="O27" s="55" t="n">
        <v>46245</v>
      </c>
      <c r="P27" s="50" t="s">
        <v>124</v>
      </c>
      <c r="Q27" s="52" t="n">
        <v>37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46245</v>
      </c>
      <c r="O28" s="55" t="n">
        <v>46245</v>
      </c>
      <c r="P28" s="50" t="s">
        <v>124</v>
      </c>
      <c r="Q28" s="52" t="n">
        <v>37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46395</v>
      </c>
      <c r="P29" s="34" t="s">
        <v>75</v>
      </c>
      <c r="Q29" s="31" t="n">
        <v>103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46210</v>
      </c>
      <c r="O39" s="45" t="n">
        <v>46210</v>
      </c>
      <c r="P39" s="46" t="s">
        <v>115</v>
      </c>
      <c r="Q39" s="37" t="n">
        <v>-4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46210</v>
      </c>
      <c r="O40" s="55" t="n">
        <v>46210</v>
      </c>
      <c r="P40" s="50" t="s">
        <v>124</v>
      </c>
      <c r="Q40" s="52" t="n">
        <v>-4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46210</v>
      </c>
      <c r="O41" s="55" t="n">
        <v>46210</v>
      </c>
      <c r="P41" s="50" t="s">
        <v>124</v>
      </c>
      <c r="Q41" s="52" t="n">
        <v>-4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46210</v>
      </c>
      <c r="O42" s="55" t="n">
        <v>46210</v>
      </c>
      <c r="P42" s="50" t="s">
        <v>124</v>
      </c>
      <c r="Q42" s="52" t="n">
        <v>-4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46247</v>
      </c>
      <c r="J47" s="41" t="n">
        <v>46247</v>
      </c>
      <c r="K47" s="42"/>
      <c r="L47" s="42" t="n">
        <v>46279</v>
      </c>
      <c r="M47" s="43"/>
      <c r="N47" s="44" t="n">
        <v>46279</v>
      </c>
      <c r="O47" s="45" t="n">
        <v>46279</v>
      </c>
      <c r="P47" s="46" t="s">
        <v>60</v>
      </c>
      <c r="Q47" s="37" t="n">
        <v>32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46247</v>
      </c>
      <c r="J48" s="53" t="n">
        <v>46247</v>
      </c>
      <c r="K48" s="52"/>
      <c r="L48" s="52"/>
      <c r="M48" s="54" t="s">
        <v>251</v>
      </c>
      <c r="N48" s="55" t="n">
        <v>46279</v>
      </c>
      <c r="O48" s="55" t="n">
        <v>46279</v>
      </c>
      <c r="P48" s="50" t="s">
        <v>124</v>
      </c>
      <c r="Q48" s="52" t="n">
        <v>32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46247</v>
      </c>
      <c r="J49" s="53" t="n">
        <v>46247</v>
      </c>
      <c r="K49" s="52"/>
      <c r="L49" s="52"/>
      <c r="M49" s="54" t="s">
        <v>255</v>
      </c>
      <c r="N49" s="55" t="n">
        <v>46279</v>
      </c>
      <c r="O49" s="55" t="n">
        <v>46279</v>
      </c>
      <c r="P49" s="50" t="s">
        <v>124</v>
      </c>
      <c r="Q49" s="52" t="n">
        <v>32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46248</v>
      </c>
      <c r="J50" s="41" t="n">
        <v>46277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66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46247</v>
      </c>
      <c r="J51" s="53" t="n">
        <v>46247</v>
      </c>
      <c r="K51" s="52"/>
      <c r="L51" s="52"/>
      <c r="M51" s="54" t="s">
        <v>262</v>
      </c>
      <c r="N51" s="55" t="n">
        <v>46279</v>
      </c>
      <c r="O51" s="55" t="n">
        <v>46279</v>
      </c>
      <c r="P51" s="50" t="s">
        <v>124</v>
      </c>
      <c r="Q51" s="52" t="n">
        <v>32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12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46259</v>
      </c>
      <c r="L57" s="42"/>
      <c r="M57" s="43"/>
      <c r="N57" s="44" t="n">
        <v>46259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46259.0057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287</v>
      </c>
      <c r="Q58" s="37" t="n">
        <v>47</v>
      </c>
      <c r="R58" s="39"/>
      <c r="S58" s="39" t="n">
        <v>1</v>
      </c>
      <c r="T58" s="39" t="s">
        <v>288</v>
      </c>
      <c r="U58" s="58" t="n">
        <v>46316.0058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46349</v>
      </c>
      <c r="O59" s="45" t="n">
        <v>46349</v>
      </c>
      <c r="P59" s="46" t="s">
        <v>287</v>
      </c>
      <c r="Q59" s="37" t="n">
        <v>73</v>
      </c>
      <c r="R59" s="39"/>
      <c r="S59" s="39" t="n">
        <v>1</v>
      </c>
      <c r="T59" s="39" t="s">
        <v>288</v>
      </c>
      <c r="U59" s="58" t="n">
        <v>46349.0059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46354</v>
      </c>
      <c r="O60" s="60" t="n">
        <v>46395</v>
      </c>
      <c r="P60" s="46" t="s">
        <v>287</v>
      </c>
      <c r="Q60" s="37" t="n">
        <v>103</v>
      </c>
      <c r="R60" s="39"/>
      <c r="S60" s="39" t="n">
        <v>1</v>
      </c>
      <c r="T60" s="39" t="s">
        <v>288</v>
      </c>
      <c r="U60" s="58" t="n">
        <v>46354.006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46212</v>
      </c>
      <c r="O61" s="33" t="n">
        <v>46245</v>
      </c>
      <c r="P61" s="34" t="s">
        <v>60</v>
      </c>
      <c r="Q61" s="31" t="n">
        <v>-1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23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46212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46212</v>
      </c>
      <c r="O63" s="55" t="n">
        <v>46214</v>
      </c>
      <c r="P63" s="50" t="s">
        <v>124</v>
      </c>
      <c r="Q63" s="52" t="n">
        <v>-5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46212</v>
      </c>
      <c r="O64" s="55" t="n">
        <v>46216</v>
      </c>
      <c r="P64" s="50" t="s">
        <v>124</v>
      </c>
      <c r="Q64" s="52" t="n">
        <v>-4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46214</v>
      </c>
      <c r="O65" s="55" t="n">
        <v>46223</v>
      </c>
      <c r="P65" s="50" t="s">
        <v>124</v>
      </c>
      <c r="Q65" s="52" t="n">
        <v>-2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46221</v>
      </c>
      <c r="O66" s="55" t="n">
        <v>46231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46225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46230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46239</v>
      </c>
      <c r="O70" s="45" t="n">
        <v>46242</v>
      </c>
      <c r="P70" s="46" t="s">
        <v>115</v>
      </c>
      <c r="Q70" s="37" t="n">
        <v>-2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46239</v>
      </c>
      <c r="O71" s="55" t="n">
        <v>46240</v>
      </c>
      <c r="P71" s="50" t="s">
        <v>124</v>
      </c>
      <c r="Q71" s="52" t="n">
        <v>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46240</v>
      </c>
      <c r="O72" s="55" t="n">
        <v>46241</v>
      </c>
      <c r="P72" s="50" t="s">
        <v>124</v>
      </c>
      <c r="Q72" s="52" t="n">
        <v>-1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46240</v>
      </c>
      <c r="O73" s="55" t="n">
        <v>46241</v>
      </c>
      <c r="P73" s="50" t="s">
        <v>124</v>
      </c>
      <c r="Q73" s="52" t="n">
        <v>-1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46241</v>
      </c>
      <c r="O74" s="55" t="n">
        <v>46242</v>
      </c>
      <c r="P74" s="50" t="s">
        <v>124</v>
      </c>
      <c r="Q74" s="52" t="n">
        <v>-2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46241</v>
      </c>
      <c r="O75" s="55" t="n">
        <v>46242</v>
      </c>
      <c r="P75" s="50" t="s">
        <v>124</v>
      </c>
      <c r="Q75" s="52" t="n">
        <v>-2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9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46235</v>
      </c>
      <c r="O76" s="45" t="n">
        <v>46243</v>
      </c>
      <c r="P76" s="46" t="s">
        <v>115</v>
      </c>
      <c r="Q76" s="37" t="n">
        <v>-1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46235</v>
      </c>
      <c r="O77" s="55" t="n">
        <v>46237</v>
      </c>
      <c r="P77" s="50" t="s">
        <v>124</v>
      </c>
      <c r="Q77" s="52" t="n">
        <v>-1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46236</v>
      </c>
      <c r="O78" s="55" t="n">
        <v>46242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46238</v>
      </c>
      <c r="O79" s="55" t="n">
        <v>46243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46241</v>
      </c>
      <c r="O80" s="55" t="n">
        <v>46243</v>
      </c>
      <c r="P80" s="50" t="s">
        <v>124</v>
      </c>
      <c r="Q80" s="52" t="n">
        <v>-1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46243</v>
      </c>
      <c r="O81" s="55" t="n">
        <v>46243</v>
      </c>
      <c r="P81" s="50" t="s">
        <v>124</v>
      </c>
      <c r="Q81" s="52" t="n">
        <v>-1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419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423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427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431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435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442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446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450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46242</v>
      </c>
      <c r="O101" s="55" t="n">
        <v>46242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461</v>
      </c>
      <c r="N102" s="55" t="n">
        <v>46242</v>
      </c>
      <c r="O102" s="55" t="n">
        <v>46243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470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474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478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46243</v>
      </c>
      <c r="O107" s="45" t="n">
        <v>46244</v>
      </c>
      <c r="P107" s="46" t="s">
        <v>115</v>
      </c>
      <c r="Q107" s="37" t="n">
        <v>-1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485</v>
      </c>
      <c r="N108" s="55" t="n">
        <v>46243</v>
      </c>
      <c r="O108" s="55" t="n">
        <v>46244</v>
      </c>
      <c r="P108" s="50" t="s">
        <v>124</v>
      </c>
      <c r="Q108" s="52" t="n">
        <v>0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489</v>
      </c>
      <c r="N109" s="55" t="n">
        <v>46244</v>
      </c>
      <c r="O109" s="55" t="n">
        <v>46244</v>
      </c>
      <c r="P109" s="50" t="s">
        <v>124</v>
      </c>
      <c r="Q109" s="52" t="n">
        <v>-1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493</v>
      </c>
      <c r="N110" s="55" t="n">
        <v>46243</v>
      </c>
      <c r="O110" s="55" t="n">
        <v>46244</v>
      </c>
      <c r="P110" s="50" t="s">
        <v>124</v>
      </c>
      <c r="Q110" s="52" t="n">
        <v>0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46245</v>
      </c>
      <c r="M111" s="43"/>
      <c r="N111" s="44" t="n">
        <v>46245</v>
      </c>
      <c r="O111" s="45" t="n">
        <v>46245</v>
      </c>
      <c r="P111" s="46" t="s">
        <v>60</v>
      </c>
      <c r="Q111" s="37" t="n">
        <v>-1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502</v>
      </c>
      <c r="N112" s="55" t="n">
        <v>46245</v>
      </c>
      <c r="O112" s="55" t="n">
        <v>46245</v>
      </c>
      <c r="P112" s="50" t="s">
        <v>124</v>
      </c>
      <c r="Q112" s="52" t="n">
        <v>-1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506</v>
      </c>
      <c r="N113" s="55" t="n">
        <v>46245</v>
      </c>
      <c r="O113" s="55" t="n">
        <v>46245</v>
      </c>
      <c r="P113" s="50" t="s">
        <v>124</v>
      </c>
      <c r="Q113" s="52" t="n">
        <v>-1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46412</v>
      </c>
      <c r="P114" s="34" t="s">
        <v>75</v>
      </c>
      <c r="Q114" s="31" t="n">
        <v>103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46345</v>
      </c>
      <c r="O115" s="45" t="n">
        <v>46345</v>
      </c>
      <c r="P115" s="46" t="s">
        <v>287</v>
      </c>
      <c r="Q115" s="37" t="n">
        <v>96</v>
      </c>
      <c r="R115" s="39"/>
      <c r="S115" s="39" t="n">
        <v>1</v>
      </c>
      <c r="T115" s="39" t="s">
        <v>288</v>
      </c>
      <c r="U115" s="58" t="n">
        <v>46345.0115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516</v>
      </c>
      <c r="N116" s="55" t="n">
        <v>46345</v>
      </c>
      <c r="O116" s="55" t="n">
        <v>46345</v>
      </c>
      <c r="P116" s="50" t="s">
        <v>287</v>
      </c>
      <c r="Q116" s="52" t="n">
        <v>98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520</v>
      </c>
      <c r="N117" s="55" t="n">
        <v>46345</v>
      </c>
      <c r="O117" s="55" t="n">
        <v>46345</v>
      </c>
      <c r="P117" s="50" t="s">
        <v>287</v>
      </c>
      <c r="Q117" s="52" t="n">
        <v>97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524</v>
      </c>
      <c r="N118" s="55" t="n">
        <v>46345</v>
      </c>
      <c r="O118" s="55" t="n">
        <v>46345</v>
      </c>
      <c r="P118" s="50" t="s">
        <v>287</v>
      </c>
      <c r="Q118" s="52" t="n">
        <v>97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528</v>
      </c>
      <c r="N119" s="55" t="n">
        <v>46345</v>
      </c>
      <c r="O119" s="55" t="n">
        <v>46345</v>
      </c>
      <c r="P119" s="50" t="s">
        <v>287</v>
      </c>
      <c r="Q119" s="52" t="n">
        <v>97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532</v>
      </c>
      <c r="N120" s="55" t="n">
        <v>46345</v>
      </c>
      <c r="O120" s="55" t="n">
        <v>46345</v>
      </c>
      <c r="P120" s="50" t="s">
        <v>287</v>
      </c>
      <c r="Q120" s="52" t="n">
        <v>96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536</v>
      </c>
      <c r="N121" s="55" t="n">
        <v>46345</v>
      </c>
      <c r="O121" s="55" t="n">
        <v>46345</v>
      </c>
      <c r="P121" s="50" t="s">
        <v>287</v>
      </c>
      <c r="Q121" s="52" t="n">
        <v>96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46328</v>
      </c>
      <c r="O122" s="45" t="n">
        <v>46328</v>
      </c>
      <c r="P122" s="46" t="s">
        <v>287</v>
      </c>
      <c r="Q122" s="37" t="n">
        <v>79</v>
      </c>
      <c r="R122" s="39"/>
      <c r="S122" s="39" t="n">
        <v>1</v>
      </c>
      <c r="T122" s="39" t="s">
        <v>288</v>
      </c>
      <c r="U122" s="58" t="n">
        <v>46328.0122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46399</v>
      </c>
      <c r="O124" s="45" t="n">
        <v>46412</v>
      </c>
      <c r="P124" s="46" t="s">
        <v>287</v>
      </c>
      <c r="Q124" s="37" t="n">
        <v>103</v>
      </c>
      <c r="R124" s="39"/>
      <c r="S124" s="39" t="n">
        <v>1</v>
      </c>
      <c r="T124" s="39" t="s">
        <v>288</v>
      </c>
      <c r="U124" s="58" t="n">
        <v>46399.0124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551</v>
      </c>
      <c r="N125" s="55" t="n">
        <v>46399</v>
      </c>
      <c r="O125" s="55" t="n">
        <v>46403</v>
      </c>
      <c r="P125" s="50" t="s">
        <v>287</v>
      </c>
      <c r="Q125" s="52" t="n">
        <v>103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555</v>
      </c>
      <c r="N126" s="55" t="n">
        <v>46402</v>
      </c>
      <c r="O126" s="55" t="n">
        <v>46409</v>
      </c>
      <c r="P126" s="50" t="s">
        <v>287</v>
      </c>
      <c r="Q126" s="52" t="n">
        <v>103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559</v>
      </c>
      <c r="N127" s="55" t="n">
        <v>46409</v>
      </c>
      <c r="O127" s="55" t="n">
        <v>46412</v>
      </c>
      <c r="P127" s="50" t="s">
        <v>287</v>
      </c>
      <c r="Q127" s="52" t="n">
        <v>103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46352</v>
      </c>
      <c r="O128" s="45" t="n">
        <v>46352</v>
      </c>
      <c r="P128" s="46" t="s">
        <v>287</v>
      </c>
      <c r="Q128" s="37" t="n">
        <v>93</v>
      </c>
      <c r="R128" s="39"/>
      <c r="S128" s="39" t="n">
        <v>1</v>
      </c>
      <c r="T128" s="39" t="s">
        <v>288</v>
      </c>
      <c r="U128" s="58" t="n">
        <v>46352.0128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/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46353</v>
      </c>
      <c r="O129" s="45" t="n">
        <v>46353</v>
      </c>
      <c r="P129" s="46" t="s">
        <v>287</v>
      </c>
      <c r="Q129" s="37" t="n">
        <v>94</v>
      </c>
      <c r="R129" s="39"/>
      <c r="S129" s="39" t="n">
        <v>1</v>
      </c>
      <c r="T129" s="39" t="s">
        <v>288</v>
      </c>
      <c r="U129" s="58" t="n">
        <v>46353.0129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46353</v>
      </c>
      <c r="O130" s="45" t="n">
        <v>46357</v>
      </c>
      <c r="P130" s="46" t="s">
        <v>287</v>
      </c>
      <c r="Q130" s="37" t="n">
        <v>98</v>
      </c>
      <c r="R130" s="39"/>
      <c r="S130" s="39" t="n">
        <v>1</v>
      </c>
      <c r="T130" s="39" t="s">
        <v>288</v>
      </c>
      <c r="U130" s="58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46396</v>
      </c>
      <c r="O131" s="45" t="n">
        <v>46398</v>
      </c>
      <c r="P131" s="46" t="s">
        <v>287</v>
      </c>
      <c r="Q131" s="37" t="n">
        <v>103</v>
      </c>
      <c r="R131" s="39"/>
      <c r="S131" s="39" t="n">
        <v>1</v>
      </c>
      <c r="T131" s="39" t="s">
        <v>288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569</v>
      </c>
      <c r="D134" s="6" t="s">
        <v>570</v>
      </c>
    </row>
    <row r="135" customFormat="false" ht="15" hidden="false" customHeight="true" outlineLevel="0" collapsed="false">
      <c r="B135" s="63" t="s">
        <v>571</v>
      </c>
      <c r="D135" s="63" t="s">
        <v>572</v>
      </c>
      <c r="E135" s="63" t="s">
        <v>573</v>
      </c>
      <c r="I135" s="64" t="s">
        <v>574</v>
      </c>
      <c r="J135" s="64" t="s">
        <v>575</v>
      </c>
      <c r="K135" s="64" t="s">
        <v>576</v>
      </c>
      <c r="L135" s="64" t="s">
        <v>577</v>
      </c>
      <c r="O135" s="63" t="s">
        <v>578</v>
      </c>
      <c r="P135" s="63" t="s">
        <v>579</v>
      </c>
    </row>
    <row r="136" customFormat="false" ht="15" hidden="false" customHeight="true" outlineLevel="0" collapsed="false">
      <c r="B136" s="65" t="s">
        <v>580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581</v>
      </c>
    </row>
    <row r="137" customFormat="false" ht="15" hidden="false" customHeight="true" outlineLevel="0" collapsed="false">
      <c r="B137" s="65" t="s">
        <v>582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583</v>
      </c>
    </row>
    <row r="138" customFormat="false" ht="15" hidden="false" customHeight="true" outlineLevel="0" collapsed="false">
      <c r="B138" s="65" t="s">
        <v>584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585</v>
      </c>
    </row>
    <row r="139" customFormat="false" ht="15" hidden="false" customHeight="true" outlineLevel="0" collapsed="false">
      <c r="B139" s="65" t="s">
        <v>586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587</v>
      </c>
    </row>
    <row r="140" customFormat="false" ht="15" hidden="false" customHeight="true" outlineLevel="0" collapsed="false">
      <c r="B140" s="65" t="s">
        <v>588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589</v>
      </c>
    </row>
    <row r="141" customFormat="false" ht="15" hidden="false" customHeight="true" outlineLevel="0" collapsed="false">
      <c r="B141" s="70" t="s">
        <v>590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591</v>
      </c>
    </row>
    <row r="142" customFormat="false" ht="15" hidden="false" customHeight="true" outlineLevel="0" collapsed="false">
      <c r="B142" s="72" t="s">
        <v>592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7" t="s">
        <v>594</v>
      </c>
    </row>
    <row r="146" customFormat="false" ht="15" hidden="false" customHeight="true" outlineLevel="0" collapsed="false">
      <c r="B146" s="17" t="s">
        <v>595</v>
      </c>
      <c r="D146" s="78" t="s">
        <v>596</v>
      </c>
      <c r="E146" s="78"/>
      <c r="F146" s="78"/>
      <c r="G146" s="78"/>
      <c r="H146" s="78"/>
      <c r="I146" s="78"/>
      <c r="J146" s="78"/>
      <c r="K146" s="19" t="s">
        <v>597</v>
      </c>
    </row>
    <row r="147" customFormat="false" ht="15" hidden="false" customHeight="true" outlineLevel="0" collapsed="false">
      <c r="B147" s="79" t="s">
        <v>598</v>
      </c>
      <c r="E147" s="80" t="s">
        <v>599</v>
      </c>
      <c r="I147" s="79" t="s">
        <v>600</v>
      </c>
    </row>
    <row r="148" customFormat="false" ht="24" hidden="false" customHeight="true" outlineLevel="0" collapsed="false">
      <c r="A148" s="81" t="s">
        <v>601</v>
      </c>
      <c r="B148" s="82" t="s">
        <v>602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603</v>
      </c>
      <c r="B149" s="82" t="s">
        <v>604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605</v>
      </c>
      <c r="B150" s="82" t="s">
        <v>606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607</v>
      </c>
      <c r="B151" s="82" t="s">
        <v>608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609</v>
      </c>
      <c r="B152" s="82" t="s">
        <v>610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611</v>
      </c>
      <c r="B153" s="82" t="s">
        <v>612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613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614</v>
      </c>
    </row>
    <row r="2" customFormat="false" ht="15" hidden="false" customHeight="false" outlineLevel="0" collapsed="false">
      <c r="B2" s="87" t="s">
        <v>615</v>
      </c>
      <c r="C2" s="88" t="s">
        <v>616</v>
      </c>
    </row>
    <row r="3" customFormat="false" ht="15" hidden="false" customHeight="false" outlineLevel="0" collapsed="false">
      <c r="B3" s="87" t="s">
        <v>617</v>
      </c>
      <c r="C3" s="88" t="s">
        <v>618</v>
      </c>
    </row>
    <row r="4" customFormat="false" ht="15" hidden="false" customHeight="false" outlineLevel="0" collapsed="false">
      <c r="B4" s="89" t="s">
        <v>619</v>
      </c>
      <c r="C4" s="88" t="s">
        <v>620</v>
      </c>
    </row>
    <row r="5" customFormat="false" ht="15" hidden="false" customHeight="false" outlineLevel="0" collapsed="false">
      <c r="H5" s="90" t="s">
        <v>621</v>
      </c>
      <c r="I5" s="90"/>
      <c r="J5" s="90" t="s">
        <v>622</v>
      </c>
      <c r="K5" s="90"/>
      <c r="L5" s="90"/>
      <c r="M5" s="90"/>
      <c r="N5" s="90"/>
      <c r="O5" s="90" t="s">
        <v>623</v>
      </c>
      <c r="P5" s="90"/>
      <c r="Q5" s="90"/>
      <c r="R5" s="90"/>
      <c r="S5" s="90" t="s">
        <v>624</v>
      </c>
      <c r="T5" s="90"/>
      <c r="U5" s="90"/>
      <c r="V5" s="90"/>
      <c r="W5" s="90"/>
      <c r="X5" s="90" t="s">
        <v>625</v>
      </c>
      <c r="Y5" s="90"/>
      <c r="Z5" s="90"/>
      <c r="AA5" s="90"/>
      <c r="AB5" s="90" t="s">
        <v>626</v>
      </c>
      <c r="AC5" s="90"/>
      <c r="AD5" s="90"/>
      <c r="AE5" s="90"/>
      <c r="AF5" s="90" t="s">
        <v>627</v>
      </c>
      <c r="AG5" s="90"/>
      <c r="AH5" s="90"/>
      <c r="AI5" s="90"/>
      <c r="AJ5" s="90"/>
      <c r="AK5" s="90" t="s">
        <v>628</v>
      </c>
      <c r="AL5" s="90"/>
      <c r="AM5" s="90"/>
      <c r="AN5" s="90"/>
      <c r="AO5" s="90" t="s">
        <v>629</v>
      </c>
      <c r="AP5" s="90"/>
      <c r="AQ5" s="90"/>
      <c r="AR5" s="90"/>
      <c r="AS5" s="90" t="s">
        <v>630</v>
      </c>
      <c r="AT5" s="90"/>
      <c r="AU5" s="90"/>
      <c r="AV5" s="90"/>
      <c r="AW5" s="90" t="s">
        <v>631</v>
      </c>
      <c r="AX5" s="90"/>
      <c r="AY5" s="90"/>
      <c r="AZ5" s="90"/>
      <c r="BA5" s="90"/>
      <c r="BB5" s="90" t="s">
        <v>632</v>
      </c>
      <c r="BC5" s="90"/>
      <c r="BD5" s="90"/>
      <c r="BE5" s="90"/>
      <c r="BF5" s="90" t="s">
        <v>633</v>
      </c>
      <c r="BG5" s="90"/>
      <c r="BH5" s="90"/>
      <c r="BI5" s="90"/>
      <c r="BJ5" s="90"/>
      <c r="BK5" s="90" t="s">
        <v>634</v>
      </c>
      <c r="BL5" s="90"/>
      <c r="BM5" s="90"/>
      <c r="BN5" s="90"/>
      <c r="BO5" s="90" t="s">
        <v>635</v>
      </c>
      <c r="BP5" s="90"/>
      <c r="BQ5" s="90"/>
      <c r="BR5" s="90"/>
      <c r="BS5" s="90" t="s">
        <v>636</v>
      </c>
      <c r="BT5" s="90"/>
      <c r="BU5" s="90"/>
      <c r="BV5" s="90"/>
      <c r="BW5" s="90"/>
      <c r="BX5" s="90" t="s">
        <v>637</v>
      </c>
      <c r="BY5" s="90"/>
    </row>
    <row r="6" customFormat="false" ht="43.5" hidden="false" customHeight="true" outlineLevel="0" collapsed="false">
      <c r="A6" s="91" t="s">
        <v>638</v>
      </c>
      <c r="B6" s="91" t="s">
        <v>639</v>
      </c>
      <c r="C6" s="91" t="s">
        <v>640</v>
      </c>
      <c r="D6" s="91" t="s">
        <v>641</v>
      </c>
      <c r="E6" s="91" t="s">
        <v>642</v>
      </c>
      <c r="F6" s="91" t="s">
        <v>643</v>
      </c>
      <c r="G6" s="91" t="s">
        <v>644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645</v>
      </c>
      <c r="C8" s="95" t="s">
        <v>646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647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648</v>
      </c>
      <c r="C10" s="95" t="s">
        <v>646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647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649</v>
      </c>
      <c r="C12" s="95" t="s">
        <v>646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647</v>
      </c>
      <c r="D13" s="96"/>
      <c r="E13" s="99" t="n">
        <v>46210</v>
      </c>
      <c r="F13" s="99" t="n">
        <v>46210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650</v>
      </c>
      <c r="C14" s="95" t="s">
        <v>646</v>
      </c>
      <c r="D14" s="96" t="n">
        <v>1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0.285714285714286</v>
      </c>
      <c r="M14" s="98" t="n">
        <f aca="false">IF($E14="",0,IF(M$6+6&lt;$E14,0,IF(M$6&gt;$F14,0,$D14*(IF(M$6+6&lt;$F14,M$6+6,$F14)-IF(M$6&gt;$E14,M$6,$E14)+1)/($F14-$E14+1))))</f>
        <v>0.5</v>
      </c>
      <c r="N14" s="98" t="n">
        <f aca="false">IF($E14="",0,IF(N$6+6&lt;$E14,0,IF(N$6&gt;$F14,0,$D14*(IF(N$6+6&lt;$F14,N$6+6,$F14)-IF(N$6&gt;$E14,N$6,$E14)+1)/($F14-$E14+1))))</f>
        <v>0.214285714285714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647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0.3333</v>
      </c>
      <c r="M15" s="101" t="n">
        <v>0.3333</v>
      </c>
      <c r="N15" s="101" t="n">
        <v>0.3333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651</v>
      </c>
      <c r="C16" s="95" t="s">
        <v>646</v>
      </c>
      <c r="D16" s="96" t="n">
        <v>1</v>
      </c>
      <c r="E16" s="97" t="n">
        <v>46247</v>
      </c>
      <c r="F16" s="97" t="n">
        <v>46247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1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647</v>
      </c>
      <c r="D17" s="96"/>
      <c r="E17" s="99" t="n">
        <v>46279</v>
      </c>
      <c r="F17" s="99" t="n">
        <v>46279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652</v>
      </c>
      <c r="C18" s="95" t="s">
        <v>646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653</v>
      </c>
      <c r="B20" s="95" t="s">
        <v>654</v>
      </c>
      <c r="C20" s="95" t="s">
        <v>646</v>
      </c>
      <c r="D20" s="96" t="n">
        <v>1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0.0869565217391304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647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655</v>
      </c>
      <c r="C23" s="95" t="s">
        <v>646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647</v>
      </c>
      <c r="D24" s="96"/>
      <c r="E24" s="99" t="n">
        <v>46212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 t="n">
        <v>5</v>
      </c>
      <c r="P24" s="101" t="n">
        <v>5</v>
      </c>
      <c r="Q24" s="101" t="n">
        <v>5</v>
      </c>
      <c r="R24" s="101" t="n">
        <v>5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656</v>
      </c>
      <c r="C25" s="95" t="s">
        <v>646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647</v>
      </c>
      <c r="D26" s="96"/>
      <c r="E26" s="99" t="n">
        <v>46239</v>
      </c>
      <c r="F26" s="99" t="n">
        <v>46242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657</v>
      </c>
      <c r="C27" s="95" t="s">
        <v>646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647</v>
      </c>
      <c r="D28" s="96"/>
      <c r="E28" s="99" t="n">
        <v>46235</v>
      </c>
      <c r="F28" s="99" t="n">
        <v>46243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10</v>
      </c>
      <c r="S28" s="101" t="n">
        <v>10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658</v>
      </c>
      <c r="C29" s="95" t="s">
        <v>646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647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659</v>
      </c>
      <c r="C31" s="95" t="s">
        <v>646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647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660</v>
      </c>
      <c r="C33" s="95" t="s">
        <v>646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647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661</v>
      </c>
      <c r="C35" s="95" t="s">
        <v>646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647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662</v>
      </c>
      <c r="C37" s="95" t="s">
        <v>646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647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663</v>
      </c>
      <c r="C39" s="95" t="s">
        <v>646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647</v>
      </c>
      <c r="D40" s="96"/>
      <c r="E40" s="99" t="n">
        <v>46243</v>
      </c>
      <c r="F40" s="99" t="n">
        <v>46244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1.25</v>
      </c>
      <c r="T40" s="101" t="n">
        <v>1.25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665</v>
      </c>
      <c r="C42" s="95" t="s">
        <v>646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666</v>
      </c>
      <c r="C44" s="95" t="s">
        <v>646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667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0.685714285714286</v>
      </c>
      <c r="M47" s="103" t="n">
        <f aca="false">SUMIF($C$7:$C$45,"Plan",M$7:M$45)</f>
        <v>1.1</v>
      </c>
      <c r="N47" s="103" t="n">
        <f aca="false">SUMIF($C$7:$C$45,"Plan",N$7:N$45)</f>
        <v>0.214285714285714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8.42028985507246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0.8333</v>
      </c>
      <c r="M48" s="103" t="n">
        <f aca="false">SUMIF($C$7:$C$45,"Actual",M$7:M$45)</f>
        <v>0.8333</v>
      </c>
      <c r="N48" s="103" t="n">
        <f aca="false">SUMIF($C$7:$C$45,"Actual",N$7:N$45)</f>
        <v>0.3333</v>
      </c>
      <c r="O48" s="103" t="n">
        <f aca="false">SUMIF($C$7:$C$45,"Actual",O$7:O$45)</f>
        <v>5.5</v>
      </c>
      <c r="P48" s="103" t="n">
        <f aca="false">SUMIF($C$7:$C$45,"Actual",P$7:P$45)</f>
        <v>5</v>
      </c>
      <c r="Q48" s="103" t="n">
        <f aca="false">SUMIF($C$7:$C$45,"Actual",Q$7:Q$45)</f>
        <v>5</v>
      </c>
      <c r="R48" s="103" t="n">
        <f aca="false">SUMIF($C$7:$C$45,"Actual",R$7:R$45)</f>
        <v>15</v>
      </c>
      <c r="S48" s="103" t="n">
        <f aca="false">SUMIF($C$7:$C$45,"Actual",S$7:S$45)</f>
        <v>56.25</v>
      </c>
      <c r="T48" s="103" t="n">
        <f aca="false">SUMIF($C$7:$C$45,"Actual",T$7:T$45)</f>
        <v>3.75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0.1111</v>
      </c>
      <c r="Y48" s="103" t="n">
        <f aca="false">SUMIF($C$7:$C$45,"Actual",Y$7:Y$45)</f>
        <v>1.1111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669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1.18571428571429</v>
      </c>
      <c r="M49" s="105" t="n">
        <f aca="false">L49+M47</f>
        <v>2.28571428571429</v>
      </c>
      <c r="N49" s="105" t="n">
        <f aca="false">M49+N47</f>
        <v>2.5</v>
      </c>
      <c r="O49" s="105" t="n">
        <f aca="false">N49+O47</f>
        <v>3</v>
      </c>
      <c r="P49" s="105" t="n">
        <f aca="false">O49+P47</f>
        <v>9.66666666666667</v>
      </c>
      <c r="Q49" s="105" t="n">
        <f aca="false">P49+Q47</f>
        <v>17.4444444444444</v>
      </c>
      <c r="R49" s="105" t="n">
        <f aca="false">Q49+R47</f>
        <v>37</v>
      </c>
      <c r="S49" s="105" t="n">
        <f aca="false">R49+S47</f>
        <v>88.1666666666667</v>
      </c>
      <c r="T49" s="105" t="n">
        <f aca="false">S49+T47</f>
        <v>96.5869565217391</v>
      </c>
      <c r="U49" s="105" t="n">
        <f aca="false">T49+U47</f>
        <v>96.7391304347826</v>
      </c>
      <c r="V49" s="105" t="n">
        <f aca="false">U49+V47</f>
        <v>96.8913043478261</v>
      </c>
      <c r="W49" s="105" t="n">
        <f aca="false">V49+W47</f>
        <v>97.0434782608696</v>
      </c>
      <c r="X49" s="105" t="n">
        <f aca="false">W49+X47</f>
        <v>97.1956521739131</v>
      </c>
      <c r="Y49" s="105" t="n">
        <f aca="false">X49+Y47</f>
        <v>97.3478260869565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670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1.3333</v>
      </c>
      <c r="M50" s="105" t="n">
        <f aca="false">IF(M$6&gt;46314,"",L50+M48)</f>
        <v>2.1666</v>
      </c>
      <c r="N50" s="105" t="n">
        <f aca="false">IF(N$6&gt;46314,"",M50+N48)</f>
        <v>2.4999</v>
      </c>
      <c r="O50" s="105" t="n">
        <f aca="false">IF(O$6&gt;46314,"",N50+O48)</f>
        <v>7.9999</v>
      </c>
      <c r="P50" s="105" t="n">
        <f aca="false">IF(P$6&gt;46314,"",O50+P48)</f>
        <v>12.9999</v>
      </c>
      <c r="Q50" s="105" t="n">
        <f aca="false">IF(Q$6&gt;46314,"",P50+Q48)</f>
        <v>17.9999</v>
      </c>
      <c r="R50" s="105" t="n">
        <f aca="false">IF(R$6&gt;46314,"",Q50+R48)</f>
        <v>32.9999</v>
      </c>
      <c r="S50" s="105" t="n">
        <f aca="false">IF(S$6&gt;46314,"",R50+S48)</f>
        <v>89.2499</v>
      </c>
      <c r="T50" s="105" t="n">
        <f aca="false">IF(T$6&gt;46314,"",S50+T48)</f>
        <v>92.9999</v>
      </c>
      <c r="U50" s="105" t="n">
        <f aca="false">IF(U$6&gt;46314,"",T50+U48)</f>
        <v>92.9999</v>
      </c>
      <c r="V50" s="105" t="n">
        <f aca="false">IF(V$6&gt;46314,"",U50+V48)</f>
        <v>93.111</v>
      </c>
      <c r="W50" s="105" t="n">
        <f aca="false">IF(W$6&gt;46314,"",V50+W48)</f>
        <v>93.2221</v>
      </c>
      <c r="X50" s="105" t="n">
        <f aca="false">IF(X$6&gt;46314,"",W50+X48)</f>
        <v>93.3332</v>
      </c>
      <c r="Y50" s="105" t="n">
        <f aca="false">IF(Y$6&gt;46314,"",X50+Y48)</f>
        <v>94.4443</v>
      </c>
      <c r="Z50" s="105" t="n">
        <f aca="false">IF(Z$6&gt;46314,"",Y50+Z48)</f>
        <v>94.5554</v>
      </c>
      <c r="AA50" s="105" t="n">
        <f aca="false">IF(AA$6&gt;46314,"",Z50+AA48)</f>
        <v>94.6665</v>
      </c>
      <c r="AB50" s="105" t="n">
        <f aca="false">IF(AB$6&gt;46314,"",AA50+AB48)</f>
        <v>94.7776</v>
      </c>
      <c r="AC50" s="105" t="n">
        <f aca="false">IF(AC$6&gt;46314,"",AB50+AC48)</f>
        <v>94.8886999999999</v>
      </c>
      <c r="AD50" s="105" t="n">
        <f aca="false">IF(AD$6&gt;46314,"",AC50+AD48)</f>
        <v>94.9997999999999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2026-10-26T04:43:57Z</dcterms:created>
  <dc:creator>openpyxl</dc:creator>
  <dc:description/>
  <dc:language>en-US</dc:language>
  <cp:lastModifiedBy/>
  <dcterms:modified xsi:type="dcterms:W3CDTF">2026-10-26T11:47:16Z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