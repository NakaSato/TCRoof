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<sst xmlns="http://schemas.openxmlformats.org/spreadsheetml/2006/main" count="1314" uniqueCount="672">
  <si>
    <t xml:space="preserve">แผนโครงการ P3-037 – โรงกรองน้ำ แม่ข่ายสำนักงาน 218.88 kWp</t>
  </si>
  <si>
    <t xml:space="preserve">กปภ.สาขาปากพนัง, ภาคใต้, กฟภ. เขต ต.2, Inverter 250 kW (ต้องยื่น พค.2), Zero export LV, คำขอ PPIM1A5080CC, วิศวกร โดม, Admin ลูกแก้ว,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</si>
  <si>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</si>
  <si>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</si>
  <si>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</si>
  <si>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</si>
  <si>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</si>
  <si>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</si>
  <si>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</si>
  <si>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</si>
  <si>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</si>
  <si>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</si>
  <si>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</si>
  <si>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</si>
  <si>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</si>
  <si>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</si>
  <si>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</si>
  <si>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</si>
  <si>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</si>
  <si>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</si>
  <si>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</si>
  <si>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</si>
  <si>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</si>
  <si>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</si>
  <si>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</si>
  <si>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</si>
  <si>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</si>
  <si>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</si>
  <si>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</si>
  <si>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</si>
  <si>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</si>
  <si>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</si>
  <si>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</si>
  <si>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</si>
  <si>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</si>
  <si>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</si>
  <si>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</si>
  <si>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</si>
  <si>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</si>
  <si>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</si>
  <si>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</si>
  <si>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</si>
  <si>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</si>
  <si>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</si>
  <si>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</si>
  <si>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</si>
  <si>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</si>
  <si>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</si>
  <si>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</si>
  <si>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</si>
  <si>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</si>
  <si>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</si>
  <si>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</si>
  <si>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</si>
  <si>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</si>
  <si>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</si>
  <si>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</si>
  <si>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</si>
  <si>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</si>
  <si>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</si>
  <si>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</si>
  <si>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</si>
  <si>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</si>
  <si>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</si>
  <si>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</si>
  <si>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</si>
  <si>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</si>
  <si>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</si>
  <si>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</si>
  <si>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</si>
  <si>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</si>
  <si>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</si>
  <si>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</si>
  <si>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</si>
  <si>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</si>
  <si>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</si>
  <si>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</si>
  <si>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</si>
  <si>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</si>
  <si>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</si>
  <si>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</si>
  <si>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</si>
  <si>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</si>
  <si>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</si>
  <si>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</si>
  <si>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</si>
  <si>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</si>
  <si>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</si>
  <si>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</si>
  <si>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</si>
  <si>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</si>
  <si>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</si>
  <si>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</si>
  <si>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</si>
  <si>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</si>
  <si>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</si>
  <si>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</si>
  <si>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</si>
  <si>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</si>
  <si>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</si>
  <si>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</si>
  <si>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</si>
  <si>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</si>
  <si>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</si>
  <si>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</si>
  <si>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</si>
  <si>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</si>
  <si>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</si>
  <si>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</si>
  <si>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</si>
  <si>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</si>
  <si>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TC-PML-2026-509,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</si>
  <si>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</si>
  <si>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</si>
  <si>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</si>
  <si>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</si>
  <si>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</si>
  <si>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</si>
  <si>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</si>
  <si>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</si>
  <si>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</si>
  <si>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</si>
  <si>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</si>
  <si>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</si>
  <si>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</si>
  <si>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</si>
  <si>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</si>
  <si>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</si>
  <si>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</si>
  <si>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</si>
  <si>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</si>
  <si>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</si>
  <si>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</si>
  <si>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</si>
  <si>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</si>
  <si>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</si>
  <si>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</si>
  <si>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</si>
  <si>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</si>
  <si>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</si>
  <si>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</si>
  <si>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</si>
  <si>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</si>
  <si>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</si>
  <si>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</si>
  <si>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</si>
  <si>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</si>
  <si>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</si>
  <si>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</si>
  <si>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</si>
  <si>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</si>
  <si>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</si>
  <si>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</si>
  <si>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WBS'!L3696</t>
    </r>
  </si>
  <si>
    <t xml:space="preserve">0.3</t>
  </si>
  <si>
    <t xml:space="preserve">หนังสือแจ้งขอดับไฟ</t>
  </si>
  <si>
    <t xml:space="preserve">TC-PML-2026-528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</si>
  <si>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</si>
  <si>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</si>
  <si>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</si>
  <si>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</si>
  <si>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</si>
  <si>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</si>
  <si>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</si>
  <si>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</si>
  <si>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</si>
  <si>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</si>
  <si>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</si>
  <si>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</si>
  <si>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</si>
  <si>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</si>
  <si>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</si>
  <si>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</si>
  <si>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</si>
  <si>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</si>
  <si>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</si>
  <si>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</si>
  <si>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</si>
  <si>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</si>
  <si>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</si>
  <si>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</si>
  <si>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</si>
  <si>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</si>
  <si>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</si>
  <si>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</si>
  <si>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</si>
  <si>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</si>
  <si>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</si>
  <si>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</si>
  <si>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</si>
  <si>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</si>
  <si>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</si>
  <si>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</si>
  <si>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</si>
  <si>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</si>
  <si>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</si>
  <si>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</si>
  <si>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</si>
  <si>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</si>
  <si>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</si>
  <si>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</si>
  <si>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</si>
  <si>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</si>
  <si>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</si>
  <si>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</si>
  <si>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</si>
  <si>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</si>
  <si>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</si>
  <si>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</si>
  <si>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</si>
  <si>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</si>
  <si>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</si>
  <si>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</si>
  <si>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</si>
  <si>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</si>
  <si>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</si>
  <si>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</si>
  <si>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</si>
  <si>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</si>
  <si>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</si>
  <si>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</si>
  <si>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</si>
  <si>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</si>
  <si>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</si>
  <si>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</si>
  <si>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</si>
  <si>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</si>
  <si>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</si>
  <si>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</si>
  <si>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</si>
  <si>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</si>
  <si>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</si>
  <si>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</si>
  <si>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</si>
  <si>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</si>
  <si>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</si>
  <si>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</si>
  <si>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</si>
  <si>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</si>
  <si>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</si>
  <si>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</si>
  <si>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</si>
  <si>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</si>
  <si>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</si>
  <si>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</si>
  <si>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</si>
  <si>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</si>
  <si>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</si>
  <si>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</si>
  <si>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</si>
  <si>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</si>
  <si>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</si>
  <si>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</si>
  <si>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</si>
  <si>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</si>
  <si>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</si>
  <si>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WBS'!L3714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</si>
  <si>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</si>
  <si>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</si>
  <si>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</si>
  <si>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</si>
  <si>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</si>
  <si>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</si>
  <si>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</si>
  <si>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</si>
  <si>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</si>
  <si>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</si>
  <si>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</si>
  <si>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</si>
  <si>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</si>
  <si>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</si>
  <si>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</si>
  <si>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</si>
  <si>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</si>
  <si>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</si>
  <si>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</si>
  <si>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WBS'!L3717</t>
    </r>
  </si>
  <si>
    <t xml:space="preserve">1.7.1</t>
  </si>
  <si>
    <t xml:space="preserve">คำขอขนานไฟ PPIM (ชุด 11 ไฟล์)</t>
  </si>
  <si>
    <t xml:space="preserve">PPIM1A5080CC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</si>
  <si>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</si>
  <si>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</si>
  <si>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</si>
  <si>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</si>
  <si>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</si>
  <si>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</si>
  <si>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</si>
  <si>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</si>
  <si>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</si>
  <si>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</si>
  <si>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</si>
  <si>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</si>
  <si>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</si>
  <si>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</si>
  <si>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</si>
  <si>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</si>
  <si>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</si>
  <si>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</si>
  <si>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</si>
  <si>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</si>
  <si>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</si>
  <si>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</si>
  <si>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</si>
  <si>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</si>
  <si>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</si>
  <si>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</si>
  <si>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</si>
  <si>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</si>
  <si>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</si>
  <si>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</si>
  <si>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</si>
  <si>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</si>
  <si>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</si>
  <si>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</si>
  <si>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</si>
  <si>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</si>
  <si>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</si>
  <si>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</si>
  <si>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</si>
  <si>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</si>
  <si>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</si>
  <si>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</si>
  <si>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</si>
  <si>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</si>
  <si>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</si>
  <si>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</si>
  <si>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</si>
  <si>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</si>
  <si>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</si>
  <si>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</si>
  <si>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</si>
  <si>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</si>
  <si>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</si>
  <si>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</si>
  <si>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</si>
  <si>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</si>
  <si>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</si>
  <si>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</si>
  <si>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</si>
  <si>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</si>
  <si>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</si>
  <si>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</si>
  <si>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</si>
  <si>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</si>
  <si>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</si>
  <si>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</si>
  <si>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</si>
  <si>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</si>
  <si>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</si>
  <si>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</si>
  <si>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</si>
  <si>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</si>
  <si>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</si>
  <si>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</si>
  <si>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</si>
  <si>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</si>
  <si>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</si>
  <si>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</si>
  <si>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</si>
  <si>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</si>
  <si>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</si>
  <si>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</si>
  <si>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</si>
  <si>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</si>
  <si>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</si>
  <si>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</si>
  <si>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</si>
  <si>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</si>
  <si>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</si>
  <si>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</si>
  <si>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</si>
  <si>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</si>
  <si>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</si>
  <si>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</si>
  <si>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</si>
  <si>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</si>
  <si>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</si>
  <si>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</si>
  <si>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</si>
  <si>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</si>
  <si>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</si>
  <si>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</si>
  <si>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</si>
  <si>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</si>
  <si>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</si>
  <si>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</si>
  <si>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</si>
  <si>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</si>
  <si>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</si>
  <si>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</si>
  <si>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</si>
  <si>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</si>
  <si>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WBS'!L3736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</si>
  <si>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</si>
  <si>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</si>
  <si>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</si>
  <si>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</si>
  <si>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</si>
  <si>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</si>
  <si>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</si>
  <si>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</si>
  <si>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</si>
  <si>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</si>
  <si>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</si>
  <si>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</si>
  <si>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</si>
  <si>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</si>
  <si>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</si>
  <si>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</si>
  <si>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</si>
  <si>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</si>
  <si>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</si>
  <si>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</si>
  <si>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</si>
  <si>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</si>
  <si>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</si>
  <si>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</si>
  <si>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</si>
  <si>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</si>
  <si>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</si>
  <si>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</si>
  <si>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</si>
  <si>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</si>
  <si>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</si>
  <si>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</si>
  <si>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</si>
  <si>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</si>
  <si>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</si>
  <si>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</si>
  <si>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</si>
  <si>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</si>
  <si>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</si>
  <si>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</si>
  <si>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</si>
  <si>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</si>
  <si>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</si>
  <si>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</si>
  <si>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</si>
  <si>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</si>
  <si>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</si>
  <si>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</si>
  <si>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</si>
  <si>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</si>
  <si>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</si>
  <si>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</si>
  <si>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</si>
  <si>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</si>
  <si>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</si>
  <si>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</si>
  <si>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</si>
  <si>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</si>
  <si>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</si>
  <si>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</si>
  <si>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</si>
  <si>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</si>
  <si>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</si>
  <si>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</si>
  <si>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</si>
  <si>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</si>
  <si>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</si>
  <si>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</si>
  <si>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</si>
  <si>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</si>
  <si>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</si>
  <si>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</si>
  <si>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</si>
  <si>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</si>
  <si>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</si>
  <si>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</si>
  <si>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</si>
  <si>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</si>
  <si>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</si>
  <si>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</si>
  <si>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</si>
  <si>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</si>
  <si>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</si>
  <si>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</si>
  <si>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</si>
  <si>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</si>
  <si>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</si>
  <si>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</si>
  <si>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</si>
  <si>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</si>
  <si>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</si>
  <si>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</si>
  <si>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</si>
  <si>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</si>
  <si>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</si>
  <si>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</si>
  <si>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</si>
  <si>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</si>
  <si>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</si>
  <si>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</si>
  <si>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WBS'!L3755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</si>
  <si>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</si>
  <si>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</si>
  <si>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</si>
  <si>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</si>
  <si>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</si>
  <si>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</si>
  <si>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</si>
  <si>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</si>
  <si>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</si>
  <si>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</si>
  <si>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</si>
  <si>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</si>
  <si>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</si>
  <si>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</si>
  <si>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</si>
  <si>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</si>
  <si>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</si>
  <si>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</si>
  <si>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</si>
  <si>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</si>
  <si>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</si>
  <si>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</si>
  <si>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</si>
  <si>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</si>
  <si>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</si>
  <si>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</si>
  <si>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</si>
  <si>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</si>
  <si>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</si>
  <si>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</si>
  <si>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</si>
  <si>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</si>
  <si>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</si>
  <si>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</si>
  <si>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</si>
  <si>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</si>
  <si>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</si>
  <si>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</si>
  <si>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</si>
  <si>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</si>
  <si>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</si>
  <si>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</si>
  <si>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</si>
  <si>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</si>
  <si>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</si>
  <si>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</si>
  <si>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</si>
  <si>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</si>
  <si>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</si>
  <si>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</si>
  <si>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</si>
  <si>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</si>
  <si>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</si>
  <si>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</si>
  <si>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</si>
  <si>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</si>
  <si>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</si>
  <si>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</si>
  <si>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</si>
  <si>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</si>
  <si>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</si>
  <si>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</si>
  <si>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</si>
  <si>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</si>
  <si>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</si>
  <si>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</si>
  <si>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</si>
  <si>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</si>
  <si>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</si>
  <si>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</si>
  <si>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</si>
  <si>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</si>
  <si>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</si>
  <si>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</si>
  <si>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</si>
  <si>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</si>
  <si>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</si>
  <si>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</si>
  <si>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</si>
  <si>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</si>
  <si>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</si>
  <si>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</si>
  <si>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</si>
  <si>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</si>
  <si>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</si>
  <si>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</si>
  <si>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</si>
  <si>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</si>
  <si>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</si>
  <si>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</si>
  <si>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</si>
  <si>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</si>
  <si>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</si>
  <si>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</si>
  <si>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</si>
  <si>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</si>
  <si>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</si>
  <si>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</si>
  <si>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</si>
  <si>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</si>
  <si>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</si>
  <si>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</si>
  <si>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</si>
  <si>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</si>
  <si>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</si>
  <si>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</si>
  <si>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</si>
  <si>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</si>
  <si>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</si>
  <si>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</si>
  <si>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</si>
  <si>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</si>
  <si>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</si>
  <si>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</si>
  <si>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</si>
  <si>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</si>
  <si>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</si>
  <si>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</si>
  <si>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</si>
  <si>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</si>
  <si>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</si>
  <si>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</si>
  <si>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</si>
  <si>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 แม่ข่ายสำนักงาน การประปาส่วนภูมิภาคสาขาปากพนัง ขนาดกำลังผลิต </t>
    </r>
    <r>
      <rPr>
        <sz val="10"/>
        <rFont val="Tahoma"/>
        <family val="0"/>
        <charset val="1"/>
      </rPr>
      <t xml:space="preserve">218.88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</si>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</sst>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2.1666</c:v>
                </c:pt>
                <c:pt idx="8">
                  <c:v>2.4999</c:v>
                </c:pt>
                <c:pt idx="9">
                  <c:v>7.9999</c:v>
                </c:pt>
                <c:pt idx="10">
                  <c:v>12.9999</c:v>
                </c:pt>
                <c:pt idx="11">
                  <c:v>17.9999</c:v>
                </c:pt>
                <c:pt idx="12">
                  <c:v>32.9999</c:v>
                </c:pt>
                <c:pt idx="13">
                  <c:v>91.7499</c:v>
                </c:pt>
                <c:pt idx="14">
                  <c:v>92.9999</c:v>
                </c:pt>
                <c:pt idx="15">
                  <c:v>92.9999</c:v>
                </c:pt>
                <c:pt idx="16">
                  <c:v>92.9999</c:v>
                </c:pt>
                <c:pt idx="17">
                  <c:v>92.9999</c:v>
                </c:pt>
                <c:pt idx="18">
                  <c:v>93.9999</c:v>
                </c:pt>
                <c:pt idx="19">
                  <c:v>93.9999</c:v>
                </c:pt>
                <c:pt idx="20">
                  <c:v>94.3332</c:v>
                </c:pt>
                <c:pt idx="21">
                  <c:v>94.6665</c:v>
                </c:pt>
                <c:pt idx="22">
                  <c:v>94.9998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66622"/>
        <c:axId val="34406164"/>
      </c:lineChart>
      <c:catAx>
        <c:axId val="5966662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06164"/>
        <c:crosses val="autoZero"/>
        <c:auto val="1"/>
        <c:lblAlgn val="ctr"/>
        <c:lblOffset val="100"/>
        <c:noMultiLvlLbl val="0"/>
      </c:catAx>
      <c:valAx>
        <c:axId val="34406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666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77</v>
      </c>
      <c r="M4" s="12"/>
      <c r="N4" s="12" t="n">
        <v>81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83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83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83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83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46248</v>
      </c>
      <c r="M25" s="43"/>
      <c r="N25" s="44" t="n">
        <v>46248</v>
      </c>
      <c r="O25" s="45" t="n">
        <v>46248</v>
      </c>
      <c r="P25" s="46" t="s">
        <v>60</v>
      </c>
      <c r="Q25" s="37" t="n">
        <v>27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46248</v>
      </c>
      <c r="O26" s="55" t="n">
        <v>46248</v>
      </c>
      <c r="P26" s="50" t="s">
        <v>124</v>
      </c>
      <c r="Q26" s="52" t="n">
        <v>27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46248</v>
      </c>
      <c r="O27" s="55" t="n">
        <v>46248</v>
      </c>
      <c r="P27" s="50" t="s">
        <v>124</v>
      </c>
      <c r="Q27" s="52" t="n">
        <v>27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46248</v>
      </c>
      <c r="O28" s="55" t="n">
        <v>46248</v>
      </c>
      <c r="P28" s="50" t="s">
        <v>124</v>
      </c>
      <c r="Q28" s="52" t="n">
        <v>27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46386</v>
      </c>
      <c r="P29" s="34" t="s">
        <v>75</v>
      </c>
      <c r="Q29" s="31" t="n">
        <v>81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46227</v>
      </c>
      <c r="O39" s="45" t="n">
        <v>46227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46227</v>
      </c>
      <c r="O40" s="55" t="n">
        <v>46227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46227</v>
      </c>
      <c r="O41" s="55" t="n">
        <v>46227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46227</v>
      </c>
      <c r="O42" s="55" t="n">
        <v>46227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46288</v>
      </c>
      <c r="M47" s="43"/>
      <c r="N47" s="44" t="n">
        <v>46288</v>
      </c>
      <c r="O47" s="45" t="n">
        <v>46288</v>
      </c>
      <c r="P47" s="46" t="s">
        <v>60</v>
      </c>
      <c r="Q47" s="37" t="n">
        <v>28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252</v>
      </c>
      <c r="N48" s="55" t="n">
        <v>46288</v>
      </c>
      <c r="O48" s="55" t="n">
        <v>46288</v>
      </c>
      <c r="P48" s="50" t="s">
        <v>124</v>
      </c>
      <c r="Q48" s="52" t="n">
        <v>28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256</v>
      </c>
      <c r="N49" s="55" t="n">
        <v>46288</v>
      </c>
      <c r="O49" s="55" t="n">
        <v>46288</v>
      </c>
      <c r="P49" s="50" t="s">
        <v>124</v>
      </c>
      <c r="Q49" s="52" t="n">
        <v>28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263</v>
      </c>
      <c r="N51" s="55" t="n">
        <v>46288</v>
      </c>
      <c r="O51" s="55" t="n">
        <v>46288</v>
      </c>
      <c r="P51" s="50" t="s">
        <v>124</v>
      </c>
      <c r="Q51" s="52" t="n">
        <v>28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8" t="s">
        <v>279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46304</v>
      </c>
      <c r="M55" s="43"/>
      <c r="N55" s="44" t="n">
        <v>46304</v>
      </c>
      <c r="O55" s="45" t="n">
        <v>46304</v>
      </c>
      <c r="P55" s="46" t="s">
        <v>60</v>
      </c>
      <c r="Q55" s="37" t="n">
        <v>44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280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281</v>
      </c>
      <c r="B56" s="39" t="s">
        <v>282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266</v>
      </c>
      <c r="Q56" s="37"/>
      <c r="R56" s="39"/>
      <c r="S56" s="39" t="n">
        <v>1</v>
      </c>
      <c r="T56" s="39" t="s">
        <v>267</v>
      </c>
      <c r="U56" s="39"/>
      <c r="V56" s="47" t="n">
        <v>0</v>
      </c>
      <c r="W56" s="38" t="s">
        <v>80</v>
      </c>
      <c r="X56" s="39"/>
      <c r="Y56" s="38" t="s">
        <v>280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283</v>
      </c>
      <c r="B57" s="39" t="s">
        <v>28</v>
      </c>
      <c r="C57" s="39" t="s">
        <v>284</v>
      </c>
      <c r="D57" s="39" t="s">
        <v>285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46304.0057</v>
      </c>
      <c r="V57" s="47" t="n">
        <v>0</v>
      </c>
      <c r="W57" s="38" t="s">
        <v>80</v>
      </c>
      <c r="X57" s="39"/>
      <c r="Y57" s="38" t="s">
        <v>280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46329</v>
      </c>
      <c r="O58" s="45" t="n">
        <v>46335</v>
      </c>
      <c r="P58" s="46" t="s">
        <v>288</v>
      </c>
      <c r="Q58" s="37" t="n">
        <v>47</v>
      </c>
      <c r="R58" s="39"/>
      <c r="S58" s="39" t="n">
        <v>1</v>
      </c>
      <c r="T58" s="39" t="s">
        <v>289</v>
      </c>
      <c r="U58" s="58" t="n">
        <v>46329.0058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46342</v>
      </c>
      <c r="O59" s="45" t="n">
        <v>46342</v>
      </c>
      <c r="P59" s="46" t="s">
        <v>288</v>
      </c>
      <c r="Q59" s="37" t="n">
        <v>53</v>
      </c>
      <c r="R59" s="39"/>
      <c r="S59" s="39" t="n">
        <v>1</v>
      </c>
      <c r="T59" s="39" t="s">
        <v>289</v>
      </c>
      <c r="U59" s="58" t="n">
        <v>46342.0059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46345</v>
      </c>
      <c r="O60" s="60" t="n">
        <v>46386</v>
      </c>
      <c r="P60" s="46" t="s">
        <v>288</v>
      </c>
      <c r="Q60" s="37" t="n">
        <v>81</v>
      </c>
      <c r="R60" s="39"/>
      <c r="S60" s="39" t="n">
        <v>1</v>
      </c>
      <c r="T60" s="39" t="s">
        <v>289</v>
      </c>
      <c r="U60" s="58" t="n">
        <v>46345.006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46226</v>
      </c>
      <c r="O61" s="33" t="n">
        <v>46266</v>
      </c>
      <c r="P61" s="34" t="s">
        <v>60</v>
      </c>
      <c r="Q61" s="31" t="n">
        <v>7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22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46226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46226</v>
      </c>
      <c r="O63" s="55" t="n">
        <v>46228</v>
      </c>
      <c r="P63" s="50" t="s">
        <v>124</v>
      </c>
      <c r="Q63" s="52" t="n">
        <v>-4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46226</v>
      </c>
      <c r="O64" s="55" t="n">
        <v>46230</v>
      </c>
      <c r="P64" s="50" t="s">
        <v>124</v>
      </c>
      <c r="Q64" s="52" t="n">
        <v>-3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46228</v>
      </c>
      <c r="O65" s="55" t="n">
        <v>46237</v>
      </c>
      <c r="P65" s="50" t="s">
        <v>124</v>
      </c>
      <c r="Q65" s="52" t="n">
        <v>-1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46234</v>
      </c>
      <c r="O66" s="55" t="n">
        <v>46244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46239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46243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9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46249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46249</v>
      </c>
      <c r="O77" s="55" t="n">
        <v>46251</v>
      </c>
      <c r="P77" s="50" t="s">
        <v>124</v>
      </c>
      <c r="Q77" s="52" t="n">
        <v>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46250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46252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46255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466</v>
      </c>
      <c r="N103" s="55" t="n">
        <v>46255</v>
      </c>
      <c r="O103" s="55" t="n">
        <v>46256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417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470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474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478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485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489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493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46266</v>
      </c>
      <c r="M111" s="43"/>
      <c r="N111" s="44" t="n">
        <v>46266</v>
      </c>
      <c r="O111" s="45" t="n">
        <v>46266</v>
      </c>
      <c r="P111" s="46" t="s">
        <v>60</v>
      </c>
      <c r="Q111" s="37" t="n">
        <v>7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502</v>
      </c>
      <c r="N112" s="55" t="n">
        <v>46266</v>
      </c>
      <c r="O112" s="55" t="n">
        <v>46266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506</v>
      </c>
      <c r="N113" s="55" t="n">
        <v>46266</v>
      </c>
      <c r="O113" s="55" t="n">
        <v>46266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46272</v>
      </c>
      <c r="O114" s="33" t="n">
        <v>46405</v>
      </c>
      <c r="P114" s="34" t="s">
        <v>75</v>
      </c>
      <c r="Q114" s="31" t="n">
        <v>83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301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46338</v>
      </c>
      <c r="O115" s="45" t="n">
        <v>46338</v>
      </c>
      <c r="P115" s="46" t="s">
        <v>288</v>
      </c>
      <c r="Q115" s="37" t="n">
        <v>76</v>
      </c>
      <c r="R115" s="39"/>
      <c r="S115" s="39" t="n">
        <v>1</v>
      </c>
      <c r="T115" s="39" t="s">
        <v>289</v>
      </c>
      <c r="U115" s="58" t="n">
        <v>46338.0115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516</v>
      </c>
      <c r="N116" s="55" t="n">
        <v>46338</v>
      </c>
      <c r="O116" s="55" t="n">
        <v>46338</v>
      </c>
      <c r="P116" s="50" t="s">
        <v>288</v>
      </c>
      <c r="Q116" s="52" t="n">
        <v>78</v>
      </c>
      <c r="R116" s="52"/>
      <c r="S116" s="52" t="n">
        <v>2</v>
      </c>
      <c r="T116" s="52" t="s">
        <v>289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520</v>
      </c>
      <c r="N117" s="55" t="n">
        <v>46338</v>
      </c>
      <c r="O117" s="55" t="n">
        <v>46338</v>
      </c>
      <c r="P117" s="50" t="s">
        <v>288</v>
      </c>
      <c r="Q117" s="52" t="n">
        <v>77</v>
      </c>
      <c r="R117" s="52"/>
      <c r="S117" s="52" t="n">
        <v>2</v>
      </c>
      <c r="T117" s="52" t="s">
        <v>289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524</v>
      </c>
      <c r="N118" s="55" t="n">
        <v>46338</v>
      </c>
      <c r="O118" s="55" t="n">
        <v>46338</v>
      </c>
      <c r="P118" s="50" t="s">
        <v>288</v>
      </c>
      <c r="Q118" s="52" t="n">
        <v>77</v>
      </c>
      <c r="R118" s="52"/>
      <c r="S118" s="52" t="n">
        <v>2</v>
      </c>
      <c r="T118" s="52" t="s">
        <v>289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528</v>
      </c>
      <c r="N119" s="55" t="n">
        <v>46338</v>
      </c>
      <c r="O119" s="55" t="n">
        <v>46338</v>
      </c>
      <c r="P119" s="50" t="s">
        <v>288</v>
      </c>
      <c r="Q119" s="52" t="n">
        <v>77</v>
      </c>
      <c r="R119" s="52"/>
      <c r="S119" s="52" t="n">
        <v>2</v>
      </c>
      <c r="T119" s="52" t="s">
        <v>289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532</v>
      </c>
      <c r="N120" s="55" t="n">
        <v>46338</v>
      </c>
      <c r="O120" s="55" t="n">
        <v>46338</v>
      </c>
      <c r="P120" s="50" t="s">
        <v>288</v>
      </c>
      <c r="Q120" s="52" t="n">
        <v>76</v>
      </c>
      <c r="R120" s="52"/>
      <c r="S120" s="52" t="n">
        <v>2</v>
      </c>
      <c r="T120" s="52" t="s">
        <v>289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536</v>
      </c>
      <c r="N121" s="55" t="n">
        <v>46338</v>
      </c>
      <c r="O121" s="55" t="n">
        <v>46338</v>
      </c>
      <c r="P121" s="50" t="s">
        <v>288</v>
      </c>
      <c r="Q121" s="52" t="n">
        <v>76</v>
      </c>
      <c r="R121" s="52"/>
      <c r="S121" s="52" t="n">
        <v>2</v>
      </c>
      <c r="T121" s="52" t="s">
        <v>289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288</v>
      </c>
      <c r="Q122" s="37" t="n">
        <v>59</v>
      </c>
      <c r="R122" s="39"/>
      <c r="S122" s="39" t="n">
        <v>1</v>
      </c>
      <c r="T122" s="39" t="s">
        <v>289</v>
      </c>
      <c r="U122" s="58" t="n">
        <v>46321.0122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9" t="s">
        <v>542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16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46392</v>
      </c>
      <c r="O124" s="45" t="n">
        <v>46405</v>
      </c>
      <c r="P124" s="46" t="s">
        <v>288</v>
      </c>
      <c r="Q124" s="37" t="n">
        <v>83</v>
      </c>
      <c r="R124" s="39"/>
      <c r="S124" s="39" t="n">
        <v>1</v>
      </c>
      <c r="T124" s="39" t="s">
        <v>289</v>
      </c>
      <c r="U124" s="58" t="n">
        <v>46392.0124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551</v>
      </c>
      <c r="N125" s="55" t="n">
        <v>46392</v>
      </c>
      <c r="O125" s="55" t="n">
        <v>46396</v>
      </c>
      <c r="P125" s="50" t="s">
        <v>288</v>
      </c>
      <c r="Q125" s="52" t="n">
        <v>83</v>
      </c>
      <c r="R125" s="52"/>
      <c r="S125" s="52" t="n">
        <v>2</v>
      </c>
      <c r="T125" s="52" t="s">
        <v>289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555</v>
      </c>
      <c r="N126" s="55" t="n">
        <v>46395</v>
      </c>
      <c r="O126" s="55" t="n">
        <v>46402</v>
      </c>
      <c r="P126" s="50" t="s">
        <v>288</v>
      </c>
      <c r="Q126" s="52" t="n">
        <v>83</v>
      </c>
      <c r="R126" s="52"/>
      <c r="S126" s="52" t="n">
        <v>2</v>
      </c>
      <c r="T126" s="52" t="s">
        <v>289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559</v>
      </c>
      <c r="N127" s="55" t="n">
        <v>46402</v>
      </c>
      <c r="O127" s="55" t="n">
        <v>46405</v>
      </c>
      <c r="P127" s="50" t="s">
        <v>288</v>
      </c>
      <c r="Q127" s="52" t="n">
        <v>83</v>
      </c>
      <c r="R127" s="52"/>
      <c r="S127" s="52" t="n">
        <v>2</v>
      </c>
      <c r="T127" s="52" t="s">
        <v>289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301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46349</v>
      </c>
      <c r="O128" s="45" t="n">
        <v>46349</v>
      </c>
      <c r="P128" s="46" t="s">
        <v>288</v>
      </c>
      <c r="Q128" s="37" t="n">
        <v>77</v>
      </c>
      <c r="R128" s="39"/>
      <c r="S128" s="39" t="n">
        <v>1</v>
      </c>
      <c r="T128" s="39" t="s">
        <v>289</v>
      </c>
      <c r="U128" s="58" t="n">
        <v>46349.0128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 t="s">
        <v>565</v>
      </c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46350</v>
      </c>
      <c r="O130" s="45" t="n">
        <v>46356</v>
      </c>
      <c r="P130" s="46" t="s">
        <v>288</v>
      </c>
      <c r="Q130" s="37" t="n">
        <v>84</v>
      </c>
      <c r="R130" s="39"/>
      <c r="S130" s="39" t="n">
        <v>1</v>
      </c>
      <c r="T130" s="39" t="s">
        <v>289</v>
      </c>
      <c r="U130" s="58" t="n">
        <v>46350.013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46387</v>
      </c>
      <c r="O131" s="45" t="n">
        <v>46391</v>
      </c>
      <c r="P131" s="46" t="s">
        <v>288</v>
      </c>
      <c r="Q131" s="37" t="n">
        <v>83</v>
      </c>
      <c r="R131" s="39"/>
      <c r="S131" s="39" t="n">
        <v>1</v>
      </c>
      <c r="T131" s="39" t="s">
        <v>289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570</v>
      </c>
      <c r="D134" s="6" t="s">
        <v>571</v>
      </c>
    </row>
    <row r="135" customFormat="false" ht="15" hidden="false" customHeight="true" outlineLevel="0" collapsed="false">
      <c r="B135" s="62" t="s">
        <v>572</v>
      </c>
      <c r="D135" s="62" t="s">
        <v>573</v>
      </c>
      <c r="E135" s="62" t="s">
        <v>574</v>
      </c>
      <c r="I135" s="63" t="s">
        <v>575</v>
      </c>
      <c r="J135" s="63" t="s">
        <v>576</v>
      </c>
      <c r="K135" s="63" t="s">
        <v>577</v>
      </c>
      <c r="L135" s="63" t="s">
        <v>578</v>
      </c>
      <c r="O135" s="62" t="s">
        <v>579</v>
      </c>
      <c r="P135" s="62" t="s">
        <v>580</v>
      </c>
    </row>
    <row r="136" customFormat="false" ht="15" hidden="false" customHeight="true" outlineLevel="0" collapsed="false">
      <c r="B136" s="64" t="s">
        <v>581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582</v>
      </c>
    </row>
    <row r="137" customFormat="false" ht="15" hidden="false" customHeight="true" outlineLevel="0" collapsed="false">
      <c r="B137" s="64" t="s">
        <v>583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584</v>
      </c>
    </row>
    <row r="138" customFormat="false" ht="15" hidden="false" customHeight="true" outlineLevel="0" collapsed="false">
      <c r="B138" s="64" t="s">
        <v>585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586</v>
      </c>
    </row>
    <row r="139" customFormat="false" ht="15" hidden="false" customHeight="true" outlineLevel="0" collapsed="false">
      <c r="B139" s="64" t="s">
        <v>587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588</v>
      </c>
    </row>
    <row r="140" customFormat="false" ht="15" hidden="false" customHeight="true" outlineLevel="0" collapsed="false">
      <c r="B140" s="64" t="s">
        <v>589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590</v>
      </c>
    </row>
    <row r="141" customFormat="false" ht="15" hidden="false" customHeight="true" outlineLevel="0" collapsed="false">
      <c r="B141" s="69" t="s">
        <v>591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592</v>
      </c>
    </row>
    <row r="142" customFormat="false" ht="15" hidden="false" customHeight="true" outlineLevel="0" collapsed="false">
      <c r="B142" s="71" t="s">
        <v>593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6" t="s">
        <v>595</v>
      </c>
    </row>
    <row r="146" customFormat="false" ht="15" hidden="false" customHeight="true" outlineLevel="0" collapsed="false">
      <c r="B146" s="17" t="s">
        <v>596</v>
      </c>
      <c r="D146" s="77" t="s">
        <v>597</v>
      </c>
      <c r="E146" s="77"/>
      <c r="F146" s="77"/>
      <c r="G146" s="77"/>
      <c r="H146" s="77"/>
      <c r="I146" s="77"/>
      <c r="J146" s="77"/>
      <c r="K146" s="19" t="s">
        <v>598</v>
      </c>
    </row>
    <row r="147" customFormat="false" ht="15" hidden="false" customHeight="true" outlineLevel="0" collapsed="false">
      <c r="B147" s="78" t="s">
        <v>599</v>
      </c>
      <c r="E147" s="79" t="s">
        <v>600</v>
      </c>
      <c r="I147" s="78" t="s">
        <v>601</v>
      </c>
    </row>
    <row r="148" customFormat="false" ht="24" hidden="false" customHeight="true" outlineLevel="0" collapsed="false">
      <c r="A148" s="80" t="s">
        <v>602</v>
      </c>
      <c r="B148" s="81" t="s">
        <v>603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604</v>
      </c>
      <c r="B149" s="81" t="s">
        <v>605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606</v>
      </c>
      <c r="B150" s="81" t="s">
        <v>607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608</v>
      </c>
      <c r="B151" s="81" t="s">
        <v>609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610</v>
      </c>
      <c r="B152" s="81" t="s">
        <v>611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612</v>
      </c>
      <c r="B153" s="81" t="s">
        <v>613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646</v>
      </c>
      <c r="C8" s="95" t="s">
        <v>647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649</v>
      </c>
      <c r="C10" s="95" t="s">
        <v>647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650</v>
      </c>
      <c r="C12" s="95" t="s">
        <v>647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651</v>
      </c>
      <c r="C14" s="95" t="s">
        <v>647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652</v>
      </c>
      <c r="C16" s="95" t="s">
        <v>647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46288</v>
      </c>
      <c r="F17" s="99" t="n">
        <v>46288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46304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0.3333</v>
      </c>
      <c r="AC21" s="101" t="n">
        <v>0.3333</v>
      </c>
      <c r="AD21" s="101" t="n">
        <v>0.3333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656</v>
      </c>
      <c r="C23" s="95" t="s">
        <v>647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46226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5</v>
      </c>
      <c r="R24" s="101" t="n">
        <v>5</v>
      </c>
      <c r="S24" s="101" t="n">
        <v>5</v>
      </c>
      <c r="T24" s="101" t="n">
        <v>5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657</v>
      </c>
      <c r="C25" s="95" t="s">
        <v>647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658</v>
      </c>
      <c r="C27" s="95" t="s">
        <v>647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46249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659</v>
      </c>
      <c r="C29" s="95" t="s">
        <v>647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660</v>
      </c>
      <c r="C31" s="95" t="s">
        <v>647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661</v>
      </c>
      <c r="C33" s="95" t="s">
        <v>647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662</v>
      </c>
      <c r="C35" s="95" t="s">
        <v>647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663</v>
      </c>
      <c r="C37" s="95" t="s">
        <v>647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664</v>
      </c>
      <c r="C39" s="95" t="s">
        <v>647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666</v>
      </c>
      <c r="C42" s="95" t="s">
        <v>647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667</v>
      </c>
      <c r="C44" s="95" t="s">
        <v>647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0.3333</v>
      </c>
      <c r="Q48" s="103" t="n">
        <f aca="false">SUMIF($C$7:$C$45,"Actual",Q$7:Q$45)</f>
        <v>5.5</v>
      </c>
      <c r="R48" s="103" t="n">
        <f aca="false">SUMIF($C$7:$C$45,"Actual",R$7:R$45)</f>
        <v>5</v>
      </c>
      <c r="S48" s="103" t="n">
        <f aca="false">SUMIF($C$7:$C$45,"Actual",S$7:S$45)</f>
        <v>5</v>
      </c>
      <c r="T48" s="103" t="n">
        <f aca="false">SUMIF($C$7:$C$45,"Actual",T$7:T$45)</f>
        <v>15</v>
      </c>
      <c r="U48" s="103" t="n">
        <f aca="false">SUMIF($C$7:$C$45,"Actual",U$7:U$45)</f>
        <v>58.75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1</v>
      </c>
      <c r="AA48" s="103" t="n">
        <f aca="false">SUMIF($C$7:$C$45,"Actual",AA$7:AA$45)</f>
        <v>0</v>
      </c>
      <c r="AB48" s="103" t="n">
        <f aca="false">SUMIF($C$7:$C$45,"Actual",AB$7:AB$45)</f>
        <v>0.3333</v>
      </c>
      <c r="AC48" s="103" t="n">
        <f aca="false">SUMIF($C$7:$C$45,"Actual",AC$7:AC$45)</f>
        <v>0.3333</v>
      </c>
      <c r="AD48" s="103" t="n">
        <f aca="false">SUMIF($C$7:$C$45,"Actual",AD$7:AD$45)</f>
        <v>0.3333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2.1666</v>
      </c>
      <c r="P50" s="105" t="n">
        <f aca="false">IF(P$6&gt;46314,"",O50+P48)</f>
        <v>2.4999</v>
      </c>
      <c r="Q50" s="105" t="n">
        <f aca="false">IF(Q$6&gt;46314,"",P50+Q48)</f>
        <v>7.9999</v>
      </c>
      <c r="R50" s="105" t="n">
        <f aca="false">IF(R$6&gt;46314,"",Q50+R48)</f>
        <v>12.9999</v>
      </c>
      <c r="S50" s="105" t="n">
        <f aca="false">IF(S$6&gt;46314,"",R50+S48)</f>
        <v>17.9999</v>
      </c>
      <c r="T50" s="105" t="n">
        <f aca="false">IF(T$6&gt;46314,"",S50+T48)</f>
        <v>32.9999</v>
      </c>
      <c r="U50" s="105" t="n">
        <f aca="false">IF(U$6&gt;46314,"",T50+U48)</f>
        <v>91.7499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92.9999</v>
      </c>
      <c r="Y50" s="105" t="n">
        <f aca="false">IF(Y$6&gt;46314,"",X50+Y48)</f>
        <v>92.9999</v>
      </c>
      <c r="Z50" s="105" t="n">
        <f aca="false">IF(Z$6&gt;46314,"",Y50+Z48)</f>
        <v>93.9999</v>
      </c>
      <c r="AA50" s="105" t="n">
        <f aca="false">IF(AA$6&gt;46314,"",Z50+AA48)</f>
        <v>93.9999</v>
      </c>
      <c r="AB50" s="105" t="n">
        <f aca="false">IF(AB$6&gt;46314,"",AA50+AB48)</f>
        <v>94.3332</v>
      </c>
      <c r="AC50" s="105" t="n">
        <f aca="false">IF(AC$6&gt;46314,"",AB50+AC48)</f>
        <v>94.6665</v>
      </c>
      <c r="AD50" s="105" t="n">
        <f aca="false">IF(AD$6&gt;46314,"",AC50+AD48)</f>
        <v>94.9998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2026-10-26T04:41:58Z</dcterms:created>
  <dc:creator>openpyxl</dc:creator>
  <dc:description/>
  <dc:language>en-US</dc:language>
  <cp:lastModifiedBy/>
  <dcterms:modified xsi:type="dcterms:W3CDTF">2026-10-26T11:46:12Z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